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iraj Kumar\OneDrive\Desktop\"/>
    </mc:Choice>
  </mc:AlternateContent>
  <bookViews>
    <workbookView xWindow="0" yWindow="0" windowWidth="20490" windowHeight="7350" firstSheet="14" activeTab="19"/>
  </bookViews>
  <sheets>
    <sheet name="Assumption" sheetId="5" r:id="rId1"/>
    <sheet name="Income statement" sheetId="1" r:id="rId2"/>
    <sheet name="Balance Sheet" sheetId="2" r:id="rId3"/>
    <sheet name="Revenue BuildUp" sheetId="4" r:id="rId4"/>
    <sheet name="cost Build_up" sheetId="6" r:id="rId5"/>
    <sheet name="Working Capital" sheetId="7" r:id="rId6"/>
    <sheet name="Debt Schedules" sheetId="8" r:id="rId7"/>
    <sheet name="CashFlow " sheetId="3" r:id="rId8"/>
    <sheet name="CommonSize Statement" sheetId="19" r:id="rId9"/>
    <sheet name="B_Sheet " sheetId="9" r:id="rId10"/>
    <sheet name="FAS" sheetId="10" r:id="rId11"/>
    <sheet name="P&amp;L Statement" sheetId="11" r:id="rId12"/>
    <sheet name="Balance_Sheet" sheetId="12" r:id="rId13"/>
    <sheet name="Equity Market" sheetId="13" r:id="rId14"/>
    <sheet name="Beta" sheetId="14" r:id="rId15"/>
    <sheet name="Comps Data" sheetId="15" r:id="rId16"/>
    <sheet name="Comps Valuation" sheetId="16" r:id="rId17"/>
    <sheet name="WACC" sheetId="18" r:id="rId18"/>
    <sheet name="DCF Valuation" sheetId="17" r:id="rId19"/>
    <sheet name="FootBall Field Analysis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7" l="1"/>
  <c r="C25" i="17"/>
  <c r="C24" i="17"/>
  <c r="C22" i="4"/>
  <c r="C20" i="4"/>
  <c r="G13" i="20"/>
  <c r="F15" i="20"/>
  <c r="F14" i="20"/>
  <c r="F12" i="20"/>
  <c r="E15" i="20"/>
  <c r="E14" i="20"/>
  <c r="E12" i="20"/>
  <c r="I15" i="20"/>
  <c r="H15" i="20"/>
  <c r="G15" i="20"/>
  <c r="I13" i="20"/>
  <c r="H13" i="20"/>
  <c r="F13" i="20"/>
  <c r="E13" i="20"/>
  <c r="C17" i="5"/>
  <c r="F93" i="19"/>
  <c r="E93" i="19"/>
  <c r="D93" i="19"/>
  <c r="C93" i="19"/>
  <c r="F91" i="19"/>
  <c r="E91" i="19"/>
  <c r="D91" i="19"/>
  <c r="C91" i="19"/>
  <c r="F89" i="19"/>
  <c r="E89" i="19"/>
  <c r="D89" i="19"/>
  <c r="C89" i="19"/>
  <c r="F88" i="19"/>
  <c r="E88" i="19"/>
  <c r="D88" i="19"/>
  <c r="C88" i="19"/>
  <c r="F87" i="19"/>
  <c r="E87" i="19"/>
  <c r="D87" i="19"/>
  <c r="C87" i="19"/>
  <c r="F86" i="19"/>
  <c r="E86" i="19"/>
  <c r="D86" i="19"/>
  <c r="C86" i="19"/>
  <c r="F85" i="19"/>
  <c r="E85" i="19"/>
  <c r="D85" i="19"/>
  <c r="C85" i="19"/>
  <c r="F84" i="19"/>
  <c r="E84" i="19"/>
  <c r="D84" i="19"/>
  <c r="C84" i="19"/>
  <c r="F83" i="19"/>
  <c r="E83" i="19"/>
  <c r="D83" i="19"/>
  <c r="C83" i="19"/>
  <c r="F81" i="19"/>
  <c r="E81" i="19"/>
  <c r="D81" i="19"/>
  <c r="C81" i="19"/>
  <c r="F80" i="19"/>
  <c r="E80" i="19"/>
  <c r="D80" i="19"/>
  <c r="C80" i="19"/>
  <c r="F76" i="19"/>
  <c r="E76" i="19"/>
  <c r="D76" i="19"/>
  <c r="C76" i="19"/>
  <c r="F75" i="19"/>
  <c r="E75" i="19"/>
  <c r="D75" i="19"/>
  <c r="C75" i="19"/>
  <c r="F74" i="19"/>
  <c r="E74" i="19"/>
  <c r="D74" i="19"/>
  <c r="C74" i="19"/>
  <c r="F73" i="19"/>
  <c r="E73" i="19"/>
  <c r="D73" i="19"/>
  <c r="C73" i="19"/>
  <c r="F72" i="19"/>
  <c r="E72" i="19"/>
  <c r="D72" i="19"/>
  <c r="C72" i="19"/>
  <c r="F71" i="19"/>
  <c r="E71" i="19"/>
  <c r="D71" i="19"/>
  <c r="C71" i="19"/>
  <c r="F66" i="19"/>
  <c r="E66" i="19"/>
  <c r="D66" i="19"/>
  <c r="C66" i="19"/>
  <c r="F64" i="19"/>
  <c r="E64" i="19"/>
  <c r="D64" i="19"/>
  <c r="C64" i="19"/>
  <c r="F63" i="19"/>
  <c r="E63" i="19"/>
  <c r="D63" i="19"/>
  <c r="C63" i="19"/>
  <c r="F59" i="19"/>
  <c r="E59" i="19"/>
  <c r="D59" i="19"/>
  <c r="C59" i="19"/>
  <c r="F57" i="19"/>
  <c r="E57" i="19"/>
  <c r="D57" i="19"/>
  <c r="C57" i="19"/>
  <c r="F56" i="19"/>
  <c r="E56" i="19"/>
  <c r="D56" i="19"/>
  <c r="C56" i="19"/>
  <c r="F55" i="19"/>
  <c r="E55" i="19"/>
  <c r="D55" i="19"/>
  <c r="C55" i="19"/>
  <c r="F54" i="19"/>
  <c r="E54" i="19"/>
  <c r="D54" i="19"/>
  <c r="C54" i="19"/>
  <c r="F53" i="19"/>
  <c r="E53" i="19"/>
  <c r="D53" i="19"/>
  <c r="C53" i="19"/>
  <c r="F52" i="19"/>
  <c r="E52" i="19"/>
  <c r="D52" i="19"/>
  <c r="C52" i="19"/>
  <c r="F51" i="19"/>
  <c r="E51" i="19"/>
  <c r="D51" i="19"/>
  <c r="C51" i="19"/>
  <c r="F50" i="19"/>
  <c r="E50" i="19"/>
  <c r="D50" i="19"/>
  <c r="C50" i="19"/>
  <c r="F49" i="19"/>
  <c r="E49" i="19"/>
  <c r="D49" i="19"/>
  <c r="C49" i="19"/>
  <c r="F46" i="19"/>
  <c r="E46" i="19"/>
  <c r="D46" i="19"/>
  <c r="C46" i="19"/>
  <c r="F44" i="19"/>
  <c r="E44" i="19"/>
  <c r="D44" i="19"/>
  <c r="C44" i="19"/>
  <c r="F43" i="19"/>
  <c r="E43" i="19"/>
  <c r="D43" i="19"/>
  <c r="C43" i="19"/>
  <c r="F41" i="19"/>
  <c r="E41" i="19"/>
  <c r="D41" i="19"/>
  <c r="C41" i="19"/>
  <c r="F40" i="19"/>
  <c r="E40" i="19"/>
  <c r="D40" i="19"/>
  <c r="C40" i="19"/>
  <c r="F39" i="19"/>
  <c r="E39" i="19"/>
  <c r="D39" i="19"/>
  <c r="C39" i="19"/>
  <c r="F38" i="19"/>
  <c r="E38" i="19"/>
  <c r="D38" i="19"/>
  <c r="C38" i="19"/>
  <c r="F37" i="19"/>
  <c r="E37" i="19"/>
  <c r="D37" i="19"/>
  <c r="C37" i="19"/>
  <c r="F36" i="19"/>
  <c r="E36" i="19"/>
  <c r="D36" i="19"/>
  <c r="C36" i="19"/>
  <c r="F22" i="19"/>
  <c r="E22" i="19"/>
  <c r="D22" i="19"/>
  <c r="C22" i="19"/>
  <c r="F18" i="19"/>
  <c r="E18" i="19"/>
  <c r="D18" i="19"/>
  <c r="C18" i="19"/>
  <c r="F15" i="19"/>
  <c r="E15" i="19"/>
  <c r="D15" i="19"/>
  <c r="F14" i="19"/>
  <c r="E14" i="19"/>
  <c r="D14" i="19"/>
  <c r="C15" i="19"/>
  <c r="C14" i="19"/>
  <c r="F11" i="19"/>
  <c r="E11" i="19"/>
  <c r="D11" i="19"/>
  <c r="C11" i="19"/>
  <c r="F30" i="19"/>
  <c r="E30" i="19"/>
  <c r="D30" i="19"/>
  <c r="C30" i="19"/>
  <c r="F28" i="19"/>
  <c r="E28" i="19"/>
  <c r="D28" i="19"/>
  <c r="C28" i="19"/>
  <c r="F26" i="19"/>
  <c r="E26" i="19"/>
  <c r="D26" i="19"/>
  <c r="C26" i="19"/>
  <c r="F24" i="19"/>
  <c r="E24" i="19"/>
  <c r="D24" i="19"/>
  <c r="C24" i="19"/>
  <c r="F23" i="19"/>
  <c r="E23" i="19"/>
  <c r="D23" i="19"/>
  <c r="C23" i="19"/>
  <c r="F20" i="19"/>
  <c r="E20" i="19"/>
  <c r="D20" i="19"/>
  <c r="C20" i="19"/>
  <c r="F16" i="19"/>
  <c r="E16" i="19"/>
  <c r="D16" i="19"/>
  <c r="C16" i="19"/>
  <c r="F12" i="19"/>
  <c r="E12" i="19"/>
  <c r="D12" i="19"/>
  <c r="C12" i="19"/>
  <c r="F10" i="19"/>
  <c r="E10" i="19"/>
  <c r="D10" i="19"/>
  <c r="C10" i="19"/>
  <c r="D8" i="19"/>
  <c r="E8" i="19" s="1"/>
  <c r="F8" i="19" s="1"/>
  <c r="G8" i="19" s="1"/>
  <c r="H8" i="19" s="1"/>
  <c r="I8" i="19" s="1"/>
  <c r="J8" i="19" s="1"/>
  <c r="K8" i="19" s="1"/>
  <c r="F67" i="2"/>
  <c r="E67" i="2"/>
  <c r="D67" i="2"/>
  <c r="F69" i="2"/>
  <c r="F71" i="2" s="1"/>
  <c r="E69" i="2"/>
  <c r="E71" i="2" s="1"/>
  <c r="D69" i="2"/>
  <c r="D71" i="2" s="1"/>
  <c r="C71" i="2"/>
  <c r="C69" i="2"/>
  <c r="C67" i="2"/>
  <c r="C60" i="3"/>
  <c r="D9" i="17"/>
  <c r="E9" i="17" s="1"/>
  <c r="F9" i="17" s="1"/>
  <c r="G9" i="17" s="1"/>
  <c r="H9" i="17" s="1"/>
  <c r="I9" i="17" s="1"/>
  <c r="J9" i="17" s="1"/>
  <c r="K9" i="17" s="1"/>
  <c r="D8" i="12"/>
  <c r="E8" i="12" s="1"/>
  <c r="F8" i="12" s="1"/>
  <c r="G8" i="12" s="1"/>
  <c r="H8" i="12" s="1"/>
  <c r="I8" i="12" s="1"/>
  <c r="J8" i="12" s="1"/>
  <c r="K8" i="12" s="1"/>
  <c r="D8" i="11"/>
  <c r="E8" i="11" s="1"/>
  <c r="F8" i="11" s="1"/>
  <c r="G8" i="11" s="1"/>
  <c r="H8" i="11" s="1"/>
  <c r="I8" i="11" s="1"/>
  <c r="J8" i="11" s="1"/>
  <c r="K8" i="11" s="1"/>
  <c r="D8" i="10"/>
  <c r="E8" i="10" s="1"/>
  <c r="F8" i="10" s="1"/>
  <c r="G8" i="10" s="1"/>
  <c r="H8" i="10" s="1"/>
  <c r="I8" i="10" s="1"/>
  <c r="J8" i="10" s="1"/>
  <c r="K8" i="10" s="1"/>
  <c r="D8" i="9"/>
  <c r="E8" i="9" s="1"/>
  <c r="F8" i="9" s="1"/>
  <c r="G8" i="9" s="1"/>
  <c r="H8" i="9" s="1"/>
  <c r="I8" i="9" s="1"/>
  <c r="J8" i="9" s="1"/>
  <c r="K8" i="9" s="1"/>
  <c r="D8" i="3"/>
  <c r="E8" i="3" s="1"/>
  <c r="F8" i="3" s="1"/>
  <c r="G8" i="3" s="1"/>
  <c r="H8" i="3" s="1"/>
  <c r="I8" i="3" s="1"/>
  <c r="J8" i="3" s="1"/>
  <c r="K8" i="3" s="1"/>
  <c r="D8" i="8"/>
  <c r="E8" i="8" s="1"/>
  <c r="F8" i="8" s="1"/>
  <c r="G8" i="8" s="1"/>
  <c r="H8" i="8" s="1"/>
  <c r="I8" i="8" s="1"/>
  <c r="J8" i="8" s="1"/>
  <c r="K8" i="8" s="1"/>
  <c r="D8" i="7"/>
  <c r="E8" i="7" s="1"/>
  <c r="F8" i="7" s="1"/>
  <c r="G8" i="7" s="1"/>
  <c r="H8" i="7" s="1"/>
  <c r="I8" i="7" s="1"/>
  <c r="J8" i="7" s="1"/>
  <c r="K8" i="7" s="1"/>
  <c r="C43" i="17"/>
  <c r="C36" i="17"/>
  <c r="C35" i="17"/>
  <c r="C25" i="18"/>
  <c r="C23" i="18"/>
  <c r="C22" i="18"/>
  <c r="C17" i="18"/>
  <c r="C18" i="18"/>
  <c r="C13" i="18"/>
  <c r="C24" i="18"/>
  <c r="H10" i="17"/>
  <c r="I10" i="17" s="1"/>
  <c r="J10" i="17" s="1"/>
  <c r="K10" i="17" s="1"/>
  <c r="F17" i="17"/>
  <c r="E17" i="17"/>
  <c r="D17" i="17"/>
  <c r="C17" i="17"/>
  <c r="F16" i="17"/>
  <c r="E16" i="17"/>
  <c r="D16" i="17"/>
  <c r="C16" i="17"/>
  <c r="F15" i="17"/>
  <c r="E15" i="17"/>
  <c r="D15" i="17"/>
  <c r="C15" i="17"/>
  <c r="F12" i="17"/>
  <c r="E12" i="17"/>
  <c r="D12" i="17"/>
  <c r="D13" i="17" s="1"/>
  <c r="D14" i="17" s="1"/>
  <c r="C12" i="17"/>
  <c r="C13" i="17" s="1"/>
  <c r="C14" i="17" s="1"/>
  <c r="C18" i="5"/>
  <c r="C15" i="5"/>
  <c r="F42" i="16"/>
  <c r="H42" i="16"/>
  <c r="H41" i="16"/>
  <c r="H40" i="16"/>
  <c r="G42" i="16"/>
  <c r="G41" i="16"/>
  <c r="G40" i="16"/>
  <c r="F41" i="16"/>
  <c r="F40" i="16"/>
  <c r="F35" i="16"/>
  <c r="H35" i="16"/>
  <c r="H34" i="16"/>
  <c r="H33" i="16"/>
  <c r="G35" i="16"/>
  <c r="G34" i="16"/>
  <c r="F34" i="16"/>
  <c r="G33" i="16"/>
  <c r="F33" i="16"/>
  <c r="Q14" i="16"/>
  <c r="R18" i="16"/>
  <c r="R17" i="16"/>
  <c r="R16" i="16"/>
  <c r="R15" i="16"/>
  <c r="R14" i="16"/>
  <c r="R13" i="16"/>
  <c r="R12" i="16"/>
  <c r="R11" i="16"/>
  <c r="E28" i="16"/>
  <c r="E18" i="16"/>
  <c r="G18" i="16" s="1"/>
  <c r="J18" i="16" s="1"/>
  <c r="E17" i="16"/>
  <c r="G17" i="16" s="1"/>
  <c r="J17" i="16" s="1"/>
  <c r="E16" i="16"/>
  <c r="G16" i="16" s="1"/>
  <c r="J16" i="16" s="1"/>
  <c r="E15" i="16"/>
  <c r="G15" i="16" s="1"/>
  <c r="J15" i="16" s="1"/>
  <c r="E14" i="16"/>
  <c r="G14" i="16" s="1"/>
  <c r="J14" i="16" s="1"/>
  <c r="E13" i="16"/>
  <c r="G13" i="16" s="1"/>
  <c r="J13" i="16" s="1"/>
  <c r="E12" i="16"/>
  <c r="G12" i="16" s="1"/>
  <c r="J12" i="16" s="1"/>
  <c r="E11" i="16"/>
  <c r="G11" i="16" s="1"/>
  <c r="J11" i="16" s="1"/>
  <c r="B18" i="16"/>
  <c r="B17" i="16"/>
  <c r="B16" i="16"/>
  <c r="B15" i="16"/>
  <c r="B14" i="16"/>
  <c r="B13" i="16"/>
  <c r="B12" i="16"/>
  <c r="B11" i="16"/>
  <c r="F11" i="13"/>
  <c r="F10" i="13"/>
  <c r="K14" i="14"/>
  <c r="D18" i="17" l="1"/>
  <c r="D20" i="17" s="1"/>
  <c r="C18" i="17"/>
  <c r="C20" i="17" s="1"/>
  <c r="E13" i="17"/>
  <c r="E14" i="17" s="1"/>
  <c r="E18" i="17" s="1"/>
  <c r="E20" i="17" s="1"/>
  <c r="F13" i="17"/>
  <c r="F14" i="17" s="1"/>
  <c r="F18" i="17" s="1"/>
  <c r="F20" i="17" s="1"/>
  <c r="C19" i="18"/>
  <c r="C26" i="18"/>
  <c r="Q16" i="16"/>
  <c r="P16" i="16"/>
  <c r="P13" i="16"/>
  <c r="Q13" i="16"/>
  <c r="P17" i="16"/>
  <c r="Q17" i="16"/>
  <c r="P14" i="16"/>
  <c r="P18" i="16"/>
  <c r="Q18" i="16"/>
  <c r="Q12" i="16"/>
  <c r="P12" i="16"/>
  <c r="Q11" i="16"/>
  <c r="P11" i="16"/>
  <c r="Q15" i="16"/>
  <c r="P15" i="16"/>
  <c r="Q26" i="16" l="1"/>
  <c r="Q24" i="16"/>
  <c r="Q22" i="16"/>
  <c r="Q23" i="16"/>
  <c r="Q25" i="16"/>
  <c r="Q21" i="16"/>
  <c r="R23" i="16"/>
  <c r="R25" i="16"/>
  <c r="R26" i="16"/>
  <c r="R24" i="16"/>
  <c r="R22" i="16"/>
  <c r="R21" i="16"/>
  <c r="P26" i="16"/>
  <c r="P22" i="16"/>
  <c r="P21" i="16"/>
  <c r="P24" i="16"/>
  <c r="P23" i="16"/>
  <c r="P25" i="16"/>
  <c r="K13" i="14" l="1"/>
  <c r="K12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K45" i="3"/>
  <c r="J45" i="3"/>
  <c r="I45" i="3"/>
  <c r="H45" i="3"/>
  <c r="G45" i="3"/>
  <c r="E71" i="12"/>
  <c r="H39" i="12"/>
  <c r="I39" i="12" s="1"/>
  <c r="J39" i="12" s="1"/>
  <c r="K39" i="12" s="1"/>
  <c r="G39" i="12"/>
  <c r="H17" i="12"/>
  <c r="I17" i="12" s="1"/>
  <c r="J17" i="12" s="1"/>
  <c r="K17" i="12" s="1"/>
  <c r="H15" i="12"/>
  <c r="I15" i="12" s="1"/>
  <c r="J15" i="12" s="1"/>
  <c r="K15" i="12" s="1"/>
  <c r="G17" i="12"/>
  <c r="G15" i="12"/>
  <c r="E69" i="12"/>
  <c r="E67" i="12"/>
  <c r="F65" i="12"/>
  <c r="E65" i="12"/>
  <c r="C65" i="12"/>
  <c r="F64" i="12"/>
  <c r="E64" i="12"/>
  <c r="D64" i="12"/>
  <c r="F63" i="12"/>
  <c r="E63" i="12"/>
  <c r="D63" i="12"/>
  <c r="F62" i="12"/>
  <c r="E62" i="12"/>
  <c r="D62" i="12"/>
  <c r="F61" i="12"/>
  <c r="E61" i="12"/>
  <c r="D61" i="12"/>
  <c r="F60" i="12"/>
  <c r="E60" i="12"/>
  <c r="D60" i="12"/>
  <c r="F59" i="12"/>
  <c r="E59" i="12"/>
  <c r="D59" i="12"/>
  <c r="F57" i="12"/>
  <c r="E57" i="12"/>
  <c r="D57" i="12"/>
  <c r="D65" i="12" s="1"/>
  <c r="F56" i="12"/>
  <c r="E56" i="12"/>
  <c r="D56" i="12"/>
  <c r="C64" i="12"/>
  <c r="C63" i="12"/>
  <c r="C62" i="12"/>
  <c r="C61" i="12"/>
  <c r="C60" i="12"/>
  <c r="C59" i="12"/>
  <c r="C57" i="12"/>
  <c r="C56" i="12"/>
  <c r="F52" i="12"/>
  <c r="F67" i="12" s="1"/>
  <c r="F69" i="12" s="1"/>
  <c r="F71" i="12" s="1"/>
  <c r="E52" i="12"/>
  <c r="F51" i="12"/>
  <c r="E51" i="12"/>
  <c r="D51" i="12"/>
  <c r="C51" i="12"/>
  <c r="F50" i="12"/>
  <c r="E50" i="12"/>
  <c r="D50" i="12"/>
  <c r="C50" i="12"/>
  <c r="F49" i="12"/>
  <c r="E49" i="12"/>
  <c r="D49" i="12"/>
  <c r="C49" i="12"/>
  <c r="F48" i="12"/>
  <c r="E48" i="12"/>
  <c r="D48" i="12"/>
  <c r="D52" i="12" s="1"/>
  <c r="C48" i="12"/>
  <c r="C52" i="12" s="1"/>
  <c r="C67" i="12" s="1"/>
  <c r="C69" i="12" s="1"/>
  <c r="F47" i="12"/>
  <c r="E47" i="12"/>
  <c r="D47" i="12"/>
  <c r="C47" i="12"/>
  <c r="F42" i="12"/>
  <c r="E42" i="12"/>
  <c r="D42" i="12"/>
  <c r="C42" i="12"/>
  <c r="F40" i="12"/>
  <c r="E40" i="12"/>
  <c r="D40" i="12"/>
  <c r="F39" i="12"/>
  <c r="E39" i="12"/>
  <c r="D39" i="12"/>
  <c r="C40" i="12"/>
  <c r="C39" i="12"/>
  <c r="F35" i="12"/>
  <c r="E35" i="12"/>
  <c r="F33" i="12"/>
  <c r="E33" i="12"/>
  <c r="D33" i="12"/>
  <c r="C33" i="12"/>
  <c r="F32" i="12"/>
  <c r="E32" i="12"/>
  <c r="D32" i="12"/>
  <c r="F31" i="12"/>
  <c r="E31" i="12"/>
  <c r="D31" i="12"/>
  <c r="F30" i="12"/>
  <c r="E30" i="12"/>
  <c r="D30" i="12"/>
  <c r="F29" i="12"/>
  <c r="E29" i="12"/>
  <c r="D29" i="12"/>
  <c r="F28" i="12"/>
  <c r="E28" i="12"/>
  <c r="D28" i="12"/>
  <c r="F27" i="12"/>
  <c r="E27" i="12"/>
  <c r="D27" i="12"/>
  <c r="F26" i="12"/>
  <c r="E26" i="12"/>
  <c r="D26" i="12"/>
  <c r="F25" i="12"/>
  <c r="E25" i="12"/>
  <c r="D25" i="12"/>
  <c r="C32" i="12"/>
  <c r="C31" i="12"/>
  <c r="C30" i="12"/>
  <c r="C29" i="12"/>
  <c r="C28" i="12"/>
  <c r="C27" i="12"/>
  <c r="C26" i="12"/>
  <c r="C25" i="12"/>
  <c r="F22" i="12"/>
  <c r="E22" i="12"/>
  <c r="F20" i="12"/>
  <c r="E20" i="12"/>
  <c r="D20" i="12"/>
  <c r="C20" i="12"/>
  <c r="F19" i="12"/>
  <c r="E19" i="12"/>
  <c r="D19" i="12"/>
  <c r="C19" i="12"/>
  <c r="F17" i="12"/>
  <c r="E17" i="12"/>
  <c r="D17" i="12"/>
  <c r="C17" i="12"/>
  <c r="F16" i="12"/>
  <c r="E16" i="12"/>
  <c r="D16" i="12"/>
  <c r="C16" i="12"/>
  <c r="F15" i="12"/>
  <c r="E15" i="12"/>
  <c r="D15" i="12"/>
  <c r="C15" i="12"/>
  <c r="F14" i="12"/>
  <c r="E14" i="12"/>
  <c r="D14" i="12"/>
  <c r="D22" i="12" s="1"/>
  <c r="D35" i="12" s="1"/>
  <c r="C14" i="12"/>
  <c r="C22" i="12" s="1"/>
  <c r="C35" i="12" s="1"/>
  <c r="F13" i="12"/>
  <c r="E13" i="12"/>
  <c r="D13" i="12"/>
  <c r="C13" i="12"/>
  <c r="F12" i="12"/>
  <c r="E12" i="12"/>
  <c r="D12" i="12"/>
  <c r="C12" i="12"/>
  <c r="F42" i="11"/>
  <c r="F34" i="11"/>
  <c r="E34" i="11"/>
  <c r="D34" i="11"/>
  <c r="C34" i="11"/>
  <c r="F29" i="11"/>
  <c r="E29" i="11"/>
  <c r="D29" i="11"/>
  <c r="C29" i="11"/>
  <c r="F22" i="11"/>
  <c r="E22" i="11"/>
  <c r="D22" i="11"/>
  <c r="C22" i="11"/>
  <c r="C21" i="5"/>
  <c r="F28" i="16" s="1"/>
  <c r="F38" i="11"/>
  <c r="E38" i="11"/>
  <c r="D38" i="11"/>
  <c r="C38" i="11"/>
  <c r="F31" i="11"/>
  <c r="E31" i="11"/>
  <c r="D31" i="11"/>
  <c r="C31" i="11"/>
  <c r="F26" i="11"/>
  <c r="E26" i="11"/>
  <c r="D26" i="11"/>
  <c r="C26" i="11"/>
  <c r="F25" i="11"/>
  <c r="E25" i="11"/>
  <c r="D25" i="11"/>
  <c r="C25" i="11"/>
  <c r="F24" i="11"/>
  <c r="E24" i="11"/>
  <c r="D24" i="11"/>
  <c r="C24" i="11"/>
  <c r="F19" i="11"/>
  <c r="E19" i="11"/>
  <c r="D19" i="11"/>
  <c r="C19" i="11"/>
  <c r="F15" i="11"/>
  <c r="E15" i="11"/>
  <c r="D15" i="11"/>
  <c r="F14" i="11"/>
  <c r="E14" i="11"/>
  <c r="D14" i="11"/>
  <c r="C15" i="11"/>
  <c r="C14" i="11"/>
  <c r="F10" i="11"/>
  <c r="E10" i="11"/>
  <c r="D10" i="11"/>
  <c r="C10" i="11"/>
  <c r="F9" i="11"/>
  <c r="E9" i="11"/>
  <c r="D9" i="11"/>
  <c r="C9" i="11"/>
  <c r="J17" i="4"/>
  <c r="K17" i="4" s="1"/>
  <c r="I17" i="4"/>
  <c r="H17" i="4"/>
  <c r="G17" i="4"/>
  <c r="F17" i="4"/>
  <c r="E17" i="4"/>
  <c r="D17" i="4"/>
  <c r="C17" i="4"/>
  <c r="F16" i="4"/>
  <c r="E16" i="4"/>
  <c r="D16" i="4"/>
  <c r="C16" i="4"/>
  <c r="F13" i="4"/>
  <c r="E13" i="4"/>
  <c r="D13" i="4"/>
  <c r="C13" i="4"/>
  <c r="I41" i="16" l="1"/>
  <c r="J41" i="16" s="1"/>
  <c r="L41" i="16" s="1"/>
  <c r="I34" i="16"/>
  <c r="J34" i="16" s="1"/>
  <c r="L34" i="16" s="1"/>
  <c r="I40" i="16"/>
  <c r="J40" i="16" s="1"/>
  <c r="L40" i="16" s="1"/>
  <c r="I33" i="16"/>
  <c r="J33" i="16" s="1"/>
  <c r="L33" i="16" s="1"/>
  <c r="I42" i="16"/>
  <c r="J42" i="16" s="1"/>
  <c r="L42" i="16" s="1"/>
  <c r="I35" i="16"/>
  <c r="J35" i="16" s="1"/>
  <c r="L35" i="16" s="1"/>
  <c r="G28" i="16"/>
  <c r="D67" i="12"/>
  <c r="D69" i="12" s="1"/>
  <c r="C71" i="12"/>
  <c r="D71" i="12"/>
  <c r="E11" i="11"/>
  <c r="F11" i="11"/>
  <c r="D11" i="11"/>
  <c r="C11" i="11"/>
  <c r="R28" i="16" l="1"/>
  <c r="C12" i="18"/>
  <c r="C14" i="18" s="1"/>
  <c r="C28" i="18" s="1"/>
  <c r="C20" i="5" s="1"/>
  <c r="J28" i="16"/>
  <c r="D16" i="11"/>
  <c r="D12" i="11"/>
  <c r="F16" i="11"/>
  <c r="F12" i="11"/>
  <c r="E16" i="11"/>
  <c r="E12" i="11"/>
  <c r="C16" i="11"/>
  <c r="C12" i="11"/>
  <c r="Q28" i="16" l="1"/>
  <c r="P28" i="16"/>
  <c r="C21" i="11"/>
  <c r="C28" i="11" s="1"/>
  <c r="C33" i="11" s="1"/>
  <c r="C17" i="11"/>
  <c r="F21" i="11"/>
  <c r="F28" i="11" s="1"/>
  <c r="F33" i="11" s="1"/>
  <c r="F17" i="11"/>
  <c r="E21" i="11"/>
  <c r="E28" i="11" s="1"/>
  <c r="E33" i="11" s="1"/>
  <c r="E17" i="11"/>
  <c r="D21" i="11"/>
  <c r="D28" i="11" s="1"/>
  <c r="D33" i="11" s="1"/>
  <c r="D17" i="11"/>
  <c r="D36" i="11" l="1"/>
  <c r="D41" i="11"/>
  <c r="D42" i="11" s="1"/>
  <c r="D39" i="11"/>
  <c r="F36" i="11"/>
  <c r="F41" i="11"/>
  <c r="F39" i="11"/>
  <c r="E36" i="11"/>
  <c r="E41" i="11"/>
  <c r="E42" i="11" s="1"/>
  <c r="E39" i="11"/>
  <c r="C36" i="11"/>
  <c r="C41" i="11"/>
  <c r="C42" i="11" s="1"/>
  <c r="C39" i="11"/>
  <c r="G39" i="11" l="1"/>
  <c r="H39" i="11" s="1"/>
  <c r="I39" i="11" s="1"/>
  <c r="J39" i="11" s="1"/>
  <c r="K39" i="11" s="1"/>
  <c r="C48" i="10" l="1"/>
  <c r="C49" i="10"/>
  <c r="D49" i="10"/>
  <c r="E49" i="10"/>
  <c r="F49" i="10"/>
  <c r="G67" i="10"/>
  <c r="H67" i="10" s="1"/>
  <c r="I67" i="10" s="1"/>
  <c r="J67" i="10" s="1"/>
  <c r="K67" i="10" s="1"/>
  <c r="C69" i="10"/>
  <c r="G37" i="10"/>
  <c r="H37" i="10" s="1"/>
  <c r="I37" i="10" s="1"/>
  <c r="J37" i="10" s="1"/>
  <c r="K37" i="10" s="1"/>
  <c r="G24" i="10"/>
  <c r="H24" i="10" s="1"/>
  <c r="I24" i="10" s="1"/>
  <c r="J24" i="10" s="1"/>
  <c r="K24" i="10" s="1"/>
  <c r="G12" i="10"/>
  <c r="H12" i="10" s="1"/>
  <c r="I12" i="10" s="1"/>
  <c r="J12" i="10" s="1"/>
  <c r="K12" i="10" s="1"/>
  <c r="C24" i="5"/>
  <c r="K55" i="10"/>
  <c r="J55" i="10"/>
  <c r="I55" i="10"/>
  <c r="H55" i="10"/>
  <c r="K51" i="10"/>
  <c r="J51" i="10"/>
  <c r="I51" i="10"/>
  <c r="H51" i="10"/>
  <c r="K50" i="10"/>
  <c r="J50" i="10"/>
  <c r="I50" i="10"/>
  <c r="H50" i="10"/>
  <c r="G55" i="10"/>
  <c r="F55" i="10"/>
  <c r="E55" i="10"/>
  <c r="D55" i="10"/>
  <c r="C55" i="10"/>
  <c r="F54" i="10"/>
  <c r="F61" i="10" s="1"/>
  <c r="F76" i="10" s="1"/>
  <c r="E54" i="10"/>
  <c r="E61" i="10" s="1"/>
  <c r="E76" i="10" s="1"/>
  <c r="D54" i="10"/>
  <c r="D61" i="10" s="1"/>
  <c r="D76" i="10" s="1"/>
  <c r="C54" i="10"/>
  <c r="C61" i="10" s="1"/>
  <c r="C76" i="10" s="1"/>
  <c r="C53" i="10"/>
  <c r="G51" i="10"/>
  <c r="F51" i="10"/>
  <c r="E51" i="10"/>
  <c r="D51" i="10"/>
  <c r="C51" i="10"/>
  <c r="G50" i="10"/>
  <c r="F50" i="10"/>
  <c r="E50" i="10"/>
  <c r="D50" i="10"/>
  <c r="C50" i="10"/>
  <c r="E44" i="10"/>
  <c r="E40" i="10"/>
  <c r="F36" i="10" s="1"/>
  <c r="F40" i="10" s="1"/>
  <c r="G36" i="10" s="1"/>
  <c r="C31" i="10"/>
  <c r="D28" i="10" s="1"/>
  <c r="D31" i="10" s="1"/>
  <c r="E28" i="10" s="1"/>
  <c r="E31" i="10" s="1"/>
  <c r="C27" i="10"/>
  <c r="D23" i="10" s="1"/>
  <c r="C15" i="10"/>
  <c r="C19" i="10"/>
  <c r="D16" i="10" s="1"/>
  <c r="D19" i="10" s="1"/>
  <c r="E16" i="10" s="1"/>
  <c r="F51" i="9"/>
  <c r="E51" i="9"/>
  <c r="D51" i="9"/>
  <c r="F49" i="9"/>
  <c r="E49" i="9"/>
  <c r="D49" i="9"/>
  <c r="F47" i="9"/>
  <c r="E47" i="9"/>
  <c r="D47" i="9"/>
  <c r="F45" i="9"/>
  <c r="E45" i="9"/>
  <c r="D45" i="9"/>
  <c r="F43" i="9"/>
  <c r="E43" i="9"/>
  <c r="D43" i="9"/>
  <c r="F41" i="9"/>
  <c r="E41" i="9"/>
  <c r="D41" i="9"/>
  <c r="F37" i="9"/>
  <c r="E37" i="9"/>
  <c r="D37" i="9"/>
  <c r="F35" i="9"/>
  <c r="E35" i="9"/>
  <c r="D35" i="9"/>
  <c r="F33" i="9"/>
  <c r="E33" i="9"/>
  <c r="D33" i="9"/>
  <c r="F31" i="9"/>
  <c r="E31" i="9"/>
  <c r="D31" i="9"/>
  <c r="F29" i="9"/>
  <c r="E29" i="9"/>
  <c r="D29" i="9"/>
  <c r="F24" i="9"/>
  <c r="E24" i="9"/>
  <c r="D24" i="9"/>
  <c r="F22" i="9"/>
  <c r="E22" i="9"/>
  <c r="D22" i="9"/>
  <c r="F20" i="9"/>
  <c r="F21" i="9" s="1"/>
  <c r="E20" i="9"/>
  <c r="D20" i="9"/>
  <c r="F18" i="9"/>
  <c r="E18" i="9"/>
  <c r="D18" i="9"/>
  <c r="F13" i="9"/>
  <c r="E13" i="9"/>
  <c r="D13" i="9"/>
  <c r="F11" i="9"/>
  <c r="E11" i="9"/>
  <c r="D11" i="9"/>
  <c r="C51" i="9"/>
  <c r="C49" i="9"/>
  <c r="C47" i="9"/>
  <c r="C45" i="9"/>
  <c r="C43" i="9"/>
  <c r="C41" i="9"/>
  <c r="C37" i="9"/>
  <c r="C35" i="9"/>
  <c r="C33" i="9"/>
  <c r="C31" i="9"/>
  <c r="C29" i="9"/>
  <c r="C24" i="9"/>
  <c r="C22" i="9"/>
  <c r="C20" i="9"/>
  <c r="C18" i="9"/>
  <c r="C13" i="9"/>
  <c r="C11" i="9"/>
  <c r="F13" i="8"/>
  <c r="E13" i="8"/>
  <c r="F14" i="8"/>
  <c r="E14" i="8"/>
  <c r="D14" i="8"/>
  <c r="C14" i="8"/>
  <c r="F11" i="8"/>
  <c r="G10" i="8"/>
  <c r="F10" i="8"/>
  <c r="F12" i="8"/>
  <c r="E12" i="8"/>
  <c r="D12" i="8"/>
  <c r="D13" i="8" s="1"/>
  <c r="C12" i="8"/>
  <c r="D10" i="8" s="1"/>
  <c r="I20" i="7"/>
  <c r="J20" i="7" s="1"/>
  <c r="K20" i="7" s="1"/>
  <c r="J18" i="7"/>
  <c r="K18" i="7" s="1"/>
  <c r="I18" i="7"/>
  <c r="H20" i="7"/>
  <c r="H18" i="7"/>
  <c r="G20" i="7"/>
  <c r="G18" i="7"/>
  <c r="F20" i="7"/>
  <c r="E20" i="7"/>
  <c r="D20" i="7"/>
  <c r="F18" i="7"/>
  <c r="E18" i="7"/>
  <c r="D18" i="7"/>
  <c r="C20" i="7"/>
  <c r="C18" i="7"/>
  <c r="F14" i="7"/>
  <c r="E14" i="7"/>
  <c r="D14" i="7"/>
  <c r="C14" i="7"/>
  <c r="F13" i="7"/>
  <c r="E13" i="7"/>
  <c r="D13" i="7"/>
  <c r="F12" i="7"/>
  <c r="E12" i="7"/>
  <c r="D12" i="7"/>
  <c r="F11" i="7"/>
  <c r="E11" i="7"/>
  <c r="D11" i="7"/>
  <c r="C13" i="7"/>
  <c r="C12" i="7"/>
  <c r="C11" i="7"/>
  <c r="D9" i="7"/>
  <c r="E9" i="7" s="1"/>
  <c r="F9" i="7" s="1"/>
  <c r="G9" i="7" s="1"/>
  <c r="H9" i="7" s="1"/>
  <c r="I9" i="7" s="1"/>
  <c r="J9" i="7" s="1"/>
  <c r="K9" i="7" s="1"/>
  <c r="H35" i="6"/>
  <c r="I35" i="6" s="1"/>
  <c r="J35" i="6" s="1"/>
  <c r="K35" i="6" s="1"/>
  <c r="G35" i="6"/>
  <c r="F35" i="6"/>
  <c r="E35" i="6"/>
  <c r="D35" i="6"/>
  <c r="C35" i="6"/>
  <c r="F32" i="6"/>
  <c r="E32" i="6"/>
  <c r="D32" i="6"/>
  <c r="C32" i="6"/>
  <c r="F29" i="6"/>
  <c r="E29" i="6"/>
  <c r="D29" i="6"/>
  <c r="F26" i="6"/>
  <c r="E26" i="6"/>
  <c r="D26" i="6"/>
  <c r="C29" i="6"/>
  <c r="C26" i="6"/>
  <c r="F21" i="6"/>
  <c r="E21" i="6"/>
  <c r="D21" i="6"/>
  <c r="C21" i="6"/>
  <c r="F18" i="6"/>
  <c r="E18" i="6"/>
  <c r="D18" i="6"/>
  <c r="C18" i="6"/>
  <c r="F15" i="6"/>
  <c r="E15" i="6"/>
  <c r="D15" i="6"/>
  <c r="C15" i="6"/>
  <c r="F12" i="6"/>
  <c r="E12" i="6"/>
  <c r="D12" i="6"/>
  <c r="C12" i="6"/>
  <c r="D8" i="6"/>
  <c r="E8" i="6" s="1"/>
  <c r="F8" i="6" s="1"/>
  <c r="G8" i="6" s="1"/>
  <c r="H8" i="6" s="1"/>
  <c r="I8" i="6" s="1"/>
  <c r="J8" i="6" s="1"/>
  <c r="K8" i="6" s="1"/>
  <c r="C9" i="5"/>
  <c r="H8" i="4"/>
  <c r="I8" i="4" s="1"/>
  <c r="J8" i="4" s="1"/>
  <c r="K8" i="4" s="1"/>
  <c r="G8" i="4"/>
  <c r="F10" i="4"/>
  <c r="E10" i="4"/>
  <c r="E14" i="4" s="1"/>
  <c r="D10" i="4"/>
  <c r="C10" i="4"/>
  <c r="D8" i="4"/>
  <c r="E8" i="4" s="1"/>
  <c r="F8" i="4" s="1"/>
  <c r="F35" i="3"/>
  <c r="E35" i="3"/>
  <c r="F48" i="3"/>
  <c r="E48" i="3"/>
  <c r="D48" i="3"/>
  <c r="C48" i="3"/>
  <c r="F60" i="3"/>
  <c r="E60" i="3"/>
  <c r="D60" i="3"/>
  <c r="C62" i="3"/>
  <c r="C64" i="3" s="1"/>
  <c r="D63" i="3" s="1"/>
  <c r="D35" i="3"/>
  <c r="C35" i="3"/>
  <c r="D32" i="3"/>
  <c r="C32" i="3"/>
  <c r="F24" i="3"/>
  <c r="F32" i="3" s="1"/>
  <c r="E24" i="3"/>
  <c r="E32" i="3" s="1"/>
  <c r="D24" i="3"/>
  <c r="C24" i="3"/>
  <c r="F42" i="2"/>
  <c r="E42" i="2"/>
  <c r="F65" i="2"/>
  <c r="E65" i="2"/>
  <c r="D65" i="2"/>
  <c r="C65" i="2"/>
  <c r="F52" i="2"/>
  <c r="E52" i="2"/>
  <c r="D52" i="2"/>
  <c r="C52" i="2"/>
  <c r="D42" i="2"/>
  <c r="C42" i="2"/>
  <c r="F33" i="2"/>
  <c r="E33" i="2"/>
  <c r="D33" i="2"/>
  <c r="C33" i="2"/>
  <c r="F22" i="2"/>
  <c r="E22" i="2"/>
  <c r="D22" i="2"/>
  <c r="D35" i="2" s="1"/>
  <c r="C22" i="2"/>
  <c r="D8" i="2"/>
  <c r="E8" i="2" s="1"/>
  <c r="F8" i="2" s="1"/>
  <c r="D28" i="1"/>
  <c r="D26" i="1"/>
  <c r="C26" i="1"/>
  <c r="F21" i="1"/>
  <c r="E21" i="1"/>
  <c r="F12" i="1"/>
  <c r="E12" i="1"/>
  <c r="D21" i="1"/>
  <c r="C21" i="1"/>
  <c r="C23" i="1" s="1"/>
  <c r="D12" i="1"/>
  <c r="C12" i="1"/>
  <c r="E10" i="8" l="1"/>
  <c r="E11" i="8" s="1"/>
  <c r="C13" i="8"/>
  <c r="G13" i="8" s="1"/>
  <c r="H13" i="8" s="1"/>
  <c r="I13" i="8" s="1"/>
  <c r="J13" i="8" s="1"/>
  <c r="K13" i="8" s="1"/>
  <c r="D11" i="8"/>
  <c r="C10" i="6"/>
  <c r="C14" i="4"/>
  <c r="D10" i="6"/>
  <c r="D13" i="6" s="1"/>
  <c r="D14" i="4"/>
  <c r="F10" i="6"/>
  <c r="F14" i="4"/>
  <c r="E11" i="4"/>
  <c r="D11" i="4"/>
  <c r="C14" i="9"/>
  <c r="D12" i="9"/>
  <c r="F19" i="9"/>
  <c r="G19" i="9" s="1"/>
  <c r="H19" i="9" s="1"/>
  <c r="D23" i="9"/>
  <c r="F30" i="9"/>
  <c r="D34" i="9"/>
  <c r="F38" i="9"/>
  <c r="D44" i="9"/>
  <c r="F48" i="9"/>
  <c r="D52" i="9"/>
  <c r="C19" i="9"/>
  <c r="D21" i="9"/>
  <c r="D32" i="9"/>
  <c r="F36" i="9"/>
  <c r="D42" i="9"/>
  <c r="F46" i="9"/>
  <c r="D50" i="9"/>
  <c r="D19" i="9"/>
  <c r="D30" i="9"/>
  <c r="D38" i="9"/>
  <c r="D48" i="9"/>
  <c r="E14" i="9"/>
  <c r="E36" i="9"/>
  <c r="E12" i="9"/>
  <c r="E23" i="9"/>
  <c r="E34" i="9"/>
  <c r="E44" i="9"/>
  <c r="E52" i="9"/>
  <c r="F42" i="9"/>
  <c r="C21" i="9"/>
  <c r="C32" i="9"/>
  <c r="C42" i="9"/>
  <c r="C50" i="9"/>
  <c r="F12" i="9"/>
  <c r="E21" i="9"/>
  <c r="F23" i="9"/>
  <c r="E32" i="9"/>
  <c r="F34" i="9"/>
  <c r="E42" i="9"/>
  <c r="F44" i="9"/>
  <c r="E50" i="9"/>
  <c r="F52" i="9"/>
  <c r="F32" i="9"/>
  <c r="C12" i="9"/>
  <c r="I12" i="9" s="1"/>
  <c r="C23" i="9"/>
  <c r="C34" i="9"/>
  <c r="C44" i="9"/>
  <c r="C52" i="9"/>
  <c r="G52" i="9" s="1"/>
  <c r="H52" i="9" s="1"/>
  <c r="I52" i="9" s="1"/>
  <c r="J52" i="9" s="1"/>
  <c r="K52" i="9" s="1"/>
  <c r="D14" i="9"/>
  <c r="E19" i="9"/>
  <c r="D25" i="9"/>
  <c r="E30" i="9"/>
  <c r="D36" i="9"/>
  <c r="E38" i="9"/>
  <c r="D46" i="9"/>
  <c r="E48" i="9"/>
  <c r="E25" i="9"/>
  <c r="E46" i="9"/>
  <c r="F14" i="9"/>
  <c r="G14" i="9" s="1"/>
  <c r="H14" i="9" s="1"/>
  <c r="F25" i="9"/>
  <c r="F50" i="9"/>
  <c r="C27" i="6"/>
  <c r="C24" i="6"/>
  <c r="C22" i="6"/>
  <c r="C30" i="6"/>
  <c r="C19" i="6"/>
  <c r="C16" i="6"/>
  <c r="C13" i="6"/>
  <c r="C19" i="7"/>
  <c r="C33" i="6"/>
  <c r="G42" i="9"/>
  <c r="F27" i="6"/>
  <c r="F19" i="7"/>
  <c r="F21" i="7" s="1"/>
  <c r="F16" i="6"/>
  <c r="F33" i="6"/>
  <c r="F30" i="6"/>
  <c r="F24" i="6"/>
  <c r="F22" i="6"/>
  <c r="F19" i="6"/>
  <c r="F13" i="6"/>
  <c r="D19" i="6"/>
  <c r="D16" i="6"/>
  <c r="D33" i="6"/>
  <c r="D30" i="6"/>
  <c r="K12" i="9"/>
  <c r="C25" i="9"/>
  <c r="C30" i="9"/>
  <c r="C36" i="9"/>
  <c r="C38" i="9"/>
  <c r="G38" i="9" s="1"/>
  <c r="H38" i="9" s="1"/>
  <c r="I38" i="9" s="1"/>
  <c r="C46" i="9"/>
  <c r="C48" i="9"/>
  <c r="F11" i="4"/>
  <c r="E10" i="6"/>
  <c r="C20" i="10"/>
  <c r="D65" i="10"/>
  <c r="D69" i="10" s="1"/>
  <c r="E65" i="10" s="1"/>
  <c r="K49" i="10"/>
  <c r="G49" i="10"/>
  <c r="I49" i="10"/>
  <c r="J49" i="10"/>
  <c r="H49" i="10"/>
  <c r="C56" i="10"/>
  <c r="D27" i="10"/>
  <c r="D32" i="10" s="1"/>
  <c r="E19" i="10"/>
  <c r="F16" i="10" s="1"/>
  <c r="F19" i="10" s="1"/>
  <c r="G16" i="10" s="1"/>
  <c r="E53" i="10"/>
  <c r="D56" i="10"/>
  <c r="C52" i="10"/>
  <c r="D53" i="10"/>
  <c r="G40" i="10"/>
  <c r="H36" i="10" s="1"/>
  <c r="D11" i="10"/>
  <c r="E45" i="10"/>
  <c r="C32" i="10"/>
  <c r="F41" i="10"/>
  <c r="F28" i="10"/>
  <c r="F31" i="10" s="1"/>
  <c r="D62" i="3"/>
  <c r="D64" i="3" s="1"/>
  <c r="E63" i="3" s="1"/>
  <c r="E64" i="3" s="1"/>
  <c r="F63" i="3" s="1"/>
  <c r="F62" i="3"/>
  <c r="E62" i="3"/>
  <c r="F35" i="2"/>
  <c r="C35" i="2"/>
  <c r="E35" i="2"/>
  <c r="F23" i="1"/>
  <c r="F26" i="1" s="1"/>
  <c r="F28" i="1" s="1"/>
  <c r="E23" i="1"/>
  <c r="E26" i="1" s="1"/>
  <c r="E28" i="1" s="1"/>
  <c r="D23" i="1"/>
  <c r="C28" i="1"/>
  <c r="G21" i="9" l="1"/>
  <c r="H21" i="9" s="1"/>
  <c r="I21" i="9" s="1"/>
  <c r="G34" i="9"/>
  <c r="H34" i="9" s="1"/>
  <c r="I34" i="9" s="1"/>
  <c r="J34" i="9" s="1"/>
  <c r="K34" i="9" s="1"/>
  <c r="F64" i="3"/>
  <c r="G63" i="3" s="1"/>
  <c r="G44" i="9"/>
  <c r="H44" i="9" s="1"/>
  <c r="I44" i="9" s="1"/>
  <c r="J44" i="9" s="1"/>
  <c r="K44" i="9" s="1"/>
  <c r="G48" i="9"/>
  <c r="H48" i="9" s="1"/>
  <c r="I48" i="9" s="1"/>
  <c r="J48" i="9" s="1"/>
  <c r="K48" i="9" s="1"/>
  <c r="D27" i="6"/>
  <c r="D19" i="7"/>
  <c r="D21" i="7" s="1"/>
  <c r="G14" i="4"/>
  <c r="H14" i="4" s="1"/>
  <c r="I14" i="4" s="1"/>
  <c r="J14" i="4" s="1"/>
  <c r="K14" i="4" s="1"/>
  <c r="H12" i="9"/>
  <c r="G30" i="9"/>
  <c r="H30" i="9" s="1"/>
  <c r="I30" i="9" s="1"/>
  <c r="J30" i="9" s="1"/>
  <c r="D24" i="6"/>
  <c r="G46" i="9"/>
  <c r="H46" i="9" s="1"/>
  <c r="I46" i="9" s="1"/>
  <c r="J46" i="9" s="1"/>
  <c r="K46" i="9" s="1"/>
  <c r="D22" i="6"/>
  <c r="J12" i="9"/>
  <c r="G20" i="4"/>
  <c r="H20" i="4" s="1"/>
  <c r="I20" i="4" s="1"/>
  <c r="J20" i="4" s="1"/>
  <c r="K20" i="4" s="1"/>
  <c r="G12" i="9"/>
  <c r="G23" i="9"/>
  <c r="H23" i="9" s="1"/>
  <c r="I23" i="9" s="1"/>
  <c r="G32" i="9"/>
  <c r="H32" i="9" s="1"/>
  <c r="I32" i="9" s="1"/>
  <c r="G50" i="9"/>
  <c r="H50" i="9" s="1"/>
  <c r="I50" i="9" s="1"/>
  <c r="J50" i="9" s="1"/>
  <c r="K50" i="9" s="1"/>
  <c r="C21" i="4"/>
  <c r="G21" i="4" s="1"/>
  <c r="H21" i="4" s="1"/>
  <c r="G36" i="9"/>
  <c r="H36" i="9" s="1"/>
  <c r="I36" i="9" s="1"/>
  <c r="G22" i="4"/>
  <c r="H22" i="4" s="1"/>
  <c r="I22" i="4" s="1"/>
  <c r="J22" i="4" s="1"/>
  <c r="K22" i="4" s="1"/>
  <c r="G25" i="9"/>
  <c r="H25" i="9" s="1"/>
  <c r="E33" i="6"/>
  <c r="E22" i="6"/>
  <c r="E19" i="6"/>
  <c r="H19" i="6" s="1"/>
  <c r="E27" i="6"/>
  <c r="I27" i="6" s="1"/>
  <c r="E30" i="6"/>
  <c r="J30" i="6" s="1"/>
  <c r="E24" i="6"/>
  <c r="E16" i="6"/>
  <c r="H16" i="6" s="1"/>
  <c r="E19" i="7"/>
  <c r="E21" i="7" s="1"/>
  <c r="E13" i="6"/>
  <c r="G13" i="6" s="1"/>
  <c r="H13" i="6" s="1"/>
  <c r="I13" i="6" s="1"/>
  <c r="J13" i="6" s="1"/>
  <c r="K13" i="6" s="1"/>
  <c r="G30" i="6"/>
  <c r="I30" i="6"/>
  <c r="G11" i="4"/>
  <c r="G10" i="4" s="1"/>
  <c r="C21" i="7"/>
  <c r="H42" i="9"/>
  <c r="I42" i="9" s="1"/>
  <c r="G19" i="6"/>
  <c r="G27" i="6"/>
  <c r="C57" i="10"/>
  <c r="C60" i="10" s="1"/>
  <c r="D15" i="10"/>
  <c r="D20" i="10" s="1"/>
  <c r="D57" i="10" s="1"/>
  <c r="D60" i="10" s="1"/>
  <c r="D62" i="10" s="1"/>
  <c r="D48" i="10"/>
  <c r="H40" i="10"/>
  <c r="I36" i="10" s="1"/>
  <c r="E23" i="10"/>
  <c r="D52" i="10"/>
  <c r="F44" i="10"/>
  <c r="F45" i="10" s="1"/>
  <c r="F53" i="10"/>
  <c r="E56" i="10"/>
  <c r="E69" i="10"/>
  <c r="G28" i="10"/>
  <c r="J38" i="9"/>
  <c r="J23" i="9"/>
  <c r="J21" i="9"/>
  <c r="I19" i="9"/>
  <c r="I14" i="9"/>
  <c r="C77" i="10" l="1"/>
  <c r="D74" i="10" s="1"/>
  <c r="G16" i="4"/>
  <c r="G9" i="11"/>
  <c r="J27" i="6"/>
  <c r="G19" i="7"/>
  <c r="H27" i="6"/>
  <c r="G35" i="9"/>
  <c r="G50" i="12" s="1"/>
  <c r="G13" i="4"/>
  <c r="G25" i="11" s="1"/>
  <c r="K27" i="6"/>
  <c r="K16" i="6"/>
  <c r="G51" i="9"/>
  <c r="G64" i="12" s="1"/>
  <c r="H30" i="6"/>
  <c r="I25" i="9"/>
  <c r="J25" i="9" s="1"/>
  <c r="G31" i="9"/>
  <c r="G48" i="12" s="1"/>
  <c r="I21" i="4"/>
  <c r="H11" i="4"/>
  <c r="H10" i="4" s="1"/>
  <c r="I16" i="6"/>
  <c r="I19" i="6"/>
  <c r="J16" i="6"/>
  <c r="G33" i="9"/>
  <c r="G49" i="12" s="1"/>
  <c r="G43" i="9"/>
  <c r="G57" i="12" s="1"/>
  <c r="G49" i="9"/>
  <c r="G63" i="12" s="1"/>
  <c r="G22" i="9"/>
  <c r="G31" i="12" s="1"/>
  <c r="G10" i="6"/>
  <c r="G29" i="9"/>
  <c r="G47" i="12" s="1"/>
  <c r="G18" i="9"/>
  <c r="G26" i="12" s="1"/>
  <c r="G47" i="9"/>
  <c r="G62" i="12" s="1"/>
  <c r="G24" i="9"/>
  <c r="G32" i="12" s="1"/>
  <c r="G20" i="9"/>
  <c r="G30" i="12" s="1"/>
  <c r="G37" i="9"/>
  <c r="G51" i="12" s="1"/>
  <c r="G45" i="9"/>
  <c r="G61" i="12" s="1"/>
  <c r="G41" i="9"/>
  <c r="G56" i="12" s="1"/>
  <c r="K19" i="6"/>
  <c r="G16" i="6"/>
  <c r="J19" i="6"/>
  <c r="G21" i="7"/>
  <c r="H19" i="7"/>
  <c r="K30" i="6"/>
  <c r="G13" i="9"/>
  <c r="G20" i="12" s="1"/>
  <c r="G11" i="9"/>
  <c r="G19" i="12" s="1"/>
  <c r="F56" i="10"/>
  <c r="G41" i="10"/>
  <c r="G53" i="10" s="1"/>
  <c r="F65" i="10"/>
  <c r="F69" i="10" s="1"/>
  <c r="D77" i="10"/>
  <c r="E11" i="10"/>
  <c r="E15" i="10" s="1"/>
  <c r="E27" i="10"/>
  <c r="G42" i="10"/>
  <c r="I40" i="10"/>
  <c r="J36" i="10" s="1"/>
  <c r="J42" i="9"/>
  <c r="K38" i="9"/>
  <c r="J36" i="9"/>
  <c r="J32" i="9"/>
  <c r="K30" i="9"/>
  <c r="K23" i="9"/>
  <c r="K21" i="9"/>
  <c r="J19" i="9"/>
  <c r="J14" i="9"/>
  <c r="G23" i="19" l="1"/>
  <c r="G18" i="19"/>
  <c r="G10" i="19"/>
  <c r="G31" i="3"/>
  <c r="G26" i="11"/>
  <c r="G24" i="19" s="1"/>
  <c r="G23" i="3"/>
  <c r="G52" i="12"/>
  <c r="G29" i="3"/>
  <c r="G41" i="3"/>
  <c r="G52" i="3"/>
  <c r="H9" i="11"/>
  <c r="H10" i="19" s="1"/>
  <c r="H13" i="4"/>
  <c r="H25" i="11" s="1"/>
  <c r="H16" i="4"/>
  <c r="H47" i="9"/>
  <c r="H62" i="12" s="1"/>
  <c r="H49" i="9"/>
  <c r="H63" i="12" s="1"/>
  <c r="H20" i="9"/>
  <c r="H30" i="12" s="1"/>
  <c r="H13" i="9"/>
  <c r="H20" i="12" s="1"/>
  <c r="H37" i="9"/>
  <c r="H51" i="12" s="1"/>
  <c r="H24" i="9"/>
  <c r="H32" i="12" s="1"/>
  <c r="H51" i="9"/>
  <c r="H64" i="12" s="1"/>
  <c r="H10" i="6"/>
  <c r="H26" i="6" s="1"/>
  <c r="H14" i="11" s="1"/>
  <c r="H18" i="9"/>
  <c r="H26" i="12" s="1"/>
  <c r="H29" i="9"/>
  <c r="H47" i="12" s="1"/>
  <c r="H43" i="9"/>
  <c r="H57" i="12" s="1"/>
  <c r="H33" i="9"/>
  <c r="H49" i="12" s="1"/>
  <c r="H45" i="9"/>
  <c r="H61" i="12" s="1"/>
  <c r="H31" i="9"/>
  <c r="H48" i="12" s="1"/>
  <c r="H11" i="9"/>
  <c r="H19" i="12" s="1"/>
  <c r="H41" i="9"/>
  <c r="H56" i="12" s="1"/>
  <c r="H22" i="9"/>
  <c r="H31" i="12" s="1"/>
  <c r="H35" i="9"/>
  <c r="H50" i="12" s="1"/>
  <c r="J21" i="4"/>
  <c r="I11" i="4"/>
  <c r="I10" i="4" s="1"/>
  <c r="H21" i="7"/>
  <c r="I19" i="7"/>
  <c r="G12" i="7"/>
  <c r="G27" i="12" s="1"/>
  <c r="G12" i="6"/>
  <c r="G26" i="6"/>
  <c r="G14" i="11" s="1"/>
  <c r="G14" i="19" s="1"/>
  <c r="G18" i="6"/>
  <c r="G15" i="6"/>
  <c r="G12" i="8"/>
  <c r="G29" i="6"/>
  <c r="G15" i="11" s="1"/>
  <c r="G15" i="19" s="1"/>
  <c r="G44" i="10"/>
  <c r="G45" i="10" s="1"/>
  <c r="G14" i="12" s="1"/>
  <c r="G65" i="10"/>
  <c r="G69" i="10" s="1"/>
  <c r="G13" i="12" s="1"/>
  <c r="E74" i="10"/>
  <c r="D75" i="10"/>
  <c r="E48" i="10"/>
  <c r="F11" i="10"/>
  <c r="F15" i="10" s="1"/>
  <c r="E20" i="10"/>
  <c r="F23" i="10"/>
  <c r="E52" i="10"/>
  <c r="E32" i="10"/>
  <c r="K42" i="9"/>
  <c r="K36" i="9"/>
  <c r="K32" i="9"/>
  <c r="K25" i="9"/>
  <c r="K19" i="9"/>
  <c r="K14" i="9"/>
  <c r="H23" i="19" l="1"/>
  <c r="H14" i="19"/>
  <c r="H26" i="11"/>
  <c r="H24" i="19" s="1"/>
  <c r="H23" i="3"/>
  <c r="G28" i="3"/>
  <c r="H31" i="3"/>
  <c r="H41" i="10"/>
  <c r="H52" i="12"/>
  <c r="H29" i="3"/>
  <c r="H41" i="3"/>
  <c r="H52" i="3"/>
  <c r="I9" i="11"/>
  <c r="I10" i="19" s="1"/>
  <c r="I13" i="4"/>
  <c r="I25" i="11" s="1"/>
  <c r="I16" i="4"/>
  <c r="I49" i="9"/>
  <c r="I63" i="12" s="1"/>
  <c r="I37" i="9"/>
  <c r="I51" i="12" s="1"/>
  <c r="I47" i="9"/>
  <c r="I62" i="12" s="1"/>
  <c r="I22" i="9"/>
  <c r="I31" i="12" s="1"/>
  <c r="I10" i="6"/>
  <c r="I51" i="9"/>
  <c r="I64" i="12" s="1"/>
  <c r="I24" i="9"/>
  <c r="I32" i="12" s="1"/>
  <c r="I41" i="9"/>
  <c r="I56" i="12" s="1"/>
  <c r="I13" i="9"/>
  <c r="I20" i="12" s="1"/>
  <c r="I11" i="9"/>
  <c r="I19" i="12" s="1"/>
  <c r="I43" i="9"/>
  <c r="I57" i="12" s="1"/>
  <c r="I18" i="9"/>
  <c r="I26" i="12" s="1"/>
  <c r="I33" i="9"/>
  <c r="I49" i="12" s="1"/>
  <c r="I31" i="9"/>
  <c r="I48" i="12" s="1"/>
  <c r="I45" i="9"/>
  <c r="I61" i="12" s="1"/>
  <c r="H18" i="6"/>
  <c r="H12" i="6"/>
  <c r="H29" i="6"/>
  <c r="H15" i="6"/>
  <c r="H12" i="7"/>
  <c r="H27" i="12" s="1"/>
  <c r="H28" i="3" s="1"/>
  <c r="I29" i="9"/>
  <c r="I47" i="12" s="1"/>
  <c r="H12" i="8"/>
  <c r="K21" i="4"/>
  <c r="K11" i="4" s="1"/>
  <c r="J11" i="4"/>
  <c r="J10" i="4" s="1"/>
  <c r="I35" i="9"/>
  <c r="I50" i="12" s="1"/>
  <c r="I20" i="9"/>
  <c r="I30" i="12" s="1"/>
  <c r="G32" i="6"/>
  <c r="G33" i="6" s="1"/>
  <c r="G21" i="6"/>
  <c r="G10" i="11" s="1"/>
  <c r="J19" i="7"/>
  <c r="I21" i="7"/>
  <c r="G14" i="8"/>
  <c r="G24" i="11" s="1"/>
  <c r="G22" i="19" s="1"/>
  <c r="G11" i="8"/>
  <c r="H10" i="8"/>
  <c r="F48" i="10"/>
  <c r="H65" i="10"/>
  <c r="H69" i="10" s="1"/>
  <c r="H13" i="12" s="1"/>
  <c r="E57" i="10"/>
  <c r="H42" i="10"/>
  <c r="H44" i="10" s="1"/>
  <c r="F20" i="10"/>
  <c r="G17" i="10" s="1"/>
  <c r="G11" i="10"/>
  <c r="G15" i="10" s="1"/>
  <c r="F27" i="10"/>
  <c r="J40" i="10"/>
  <c r="K36" i="10" s="1"/>
  <c r="I23" i="19" l="1"/>
  <c r="I52" i="3"/>
  <c r="I31" i="3"/>
  <c r="G11" i="11"/>
  <c r="G16" i="11" s="1"/>
  <c r="G16" i="19" s="1"/>
  <c r="G11" i="19"/>
  <c r="I26" i="11"/>
  <c r="I24" i="19" s="1"/>
  <c r="I23" i="3"/>
  <c r="I52" i="12"/>
  <c r="I29" i="3"/>
  <c r="I41" i="3"/>
  <c r="G56" i="3"/>
  <c r="G14" i="3"/>
  <c r="J9" i="11"/>
  <c r="J10" i="19" s="1"/>
  <c r="H32" i="6"/>
  <c r="H33" i="6" s="1"/>
  <c r="H15" i="11"/>
  <c r="H15" i="19" s="1"/>
  <c r="J13" i="4"/>
  <c r="J25" i="11" s="1"/>
  <c r="J16" i="4"/>
  <c r="I12" i="8"/>
  <c r="J10" i="6"/>
  <c r="J43" i="9"/>
  <c r="J57" i="12" s="1"/>
  <c r="J22" i="9"/>
  <c r="J31" i="12" s="1"/>
  <c r="J41" i="9"/>
  <c r="J56" i="12" s="1"/>
  <c r="J31" i="9"/>
  <c r="J48" i="12" s="1"/>
  <c r="J18" i="9"/>
  <c r="J26" i="12" s="1"/>
  <c r="J33" i="9"/>
  <c r="J49" i="12" s="1"/>
  <c r="J29" i="9"/>
  <c r="J47" i="12" s="1"/>
  <c r="J20" i="9"/>
  <c r="J30" i="12" s="1"/>
  <c r="K10" i="4"/>
  <c r="J47" i="9"/>
  <c r="J62" i="12" s="1"/>
  <c r="J45" i="9"/>
  <c r="J61" i="12" s="1"/>
  <c r="J11" i="9"/>
  <c r="J19" i="12" s="1"/>
  <c r="J49" i="9"/>
  <c r="J63" i="12" s="1"/>
  <c r="J37" i="9"/>
  <c r="J51" i="12" s="1"/>
  <c r="J35" i="9"/>
  <c r="J50" i="12" s="1"/>
  <c r="J24" i="9"/>
  <c r="J32" i="12" s="1"/>
  <c r="J13" i="9"/>
  <c r="J20" i="12" s="1"/>
  <c r="J51" i="9"/>
  <c r="J64" i="12" s="1"/>
  <c r="H14" i="8"/>
  <c r="H24" i="11" s="1"/>
  <c r="H22" i="19" s="1"/>
  <c r="I10" i="8"/>
  <c r="H11" i="8"/>
  <c r="H21" i="6"/>
  <c r="H10" i="11" s="1"/>
  <c r="I15" i="6"/>
  <c r="I12" i="6"/>
  <c r="I12" i="7"/>
  <c r="I27" i="12" s="1"/>
  <c r="I29" i="6"/>
  <c r="I15" i="11" s="1"/>
  <c r="I15" i="19" s="1"/>
  <c r="I18" i="6"/>
  <c r="I26" i="6"/>
  <c r="I14" i="11" s="1"/>
  <c r="I14" i="19" s="1"/>
  <c r="K19" i="7"/>
  <c r="K21" i="7" s="1"/>
  <c r="J21" i="7"/>
  <c r="G24" i="6"/>
  <c r="G11" i="7"/>
  <c r="G25" i="12" s="1"/>
  <c r="G13" i="7"/>
  <c r="G60" i="12" s="1"/>
  <c r="G22" i="6"/>
  <c r="E60" i="10"/>
  <c r="E62" i="10" s="1"/>
  <c r="E77" i="10"/>
  <c r="I65" i="10"/>
  <c r="I69" i="10" s="1"/>
  <c r="I13" i="12" s="1"/>
  <c r="G19" i="10"/>
  <c r="H16" i="10" s="1"/>
  <c r="H11" i="10"/>
  <c r="H15" i="10" s="1"/>
  <c r="I11" i="10" s="1"/>
  <c r="I15" i="10" s="1"/>
  <c r="G23" i="10"/>
  <c r="G48" i="10" s="1"/>
  <c r="F52" i="10"/>
  <c r="F32" i="10"/>
  <c r="F57" i="10" s="1"/>
  <c r="K40" i="10"/>
  <c r="H45" i="10"/>
  <c r="H14" i="12" s="1"/>
  <c r="I41" i="10"/>
  <c r="J23" i="19" l="1"/>
  <c r="G30" i="3"/>
  <c r="G65" i="12"/>
  <c r="G27" i="3"/>
  <c r="J31" i="3"/>
  <c r="G12" i="11"/>
  <c r="G12" i="19"/>
  <c r="I28" i="3"/>
  <c r="H11" i="11"/>
  <c r="H11" i="19"/>
  <c r="J26" i="11"/>
  <c r="J24" i="19" s="1"/>
  <c r="J23" i="3"/>
  <c r="J52" i="12"/>
  <c r="J29" i="3"/>
  <c r="J41" i="3"/>
  <c r="J52" i="3"/>
  <c r="H56" i="3"/>
  <c r="H14" i="3"/>
  <c r="G17" i="11"/>
  <c r="K9" i="11"/>
  <c r="K10" i="19" s="1"/>
  <c r="I32" i="6"/>
  <c r="I33" i="6" s="1"/>
  <c r="K13" i="4"/>
  <c r="K25" i="11" s="1"/>
  <c r="K16" i="4"/>
  <c r="I11" i="8"/>
  <c r="H24" i="6"/>
  <c r="H11" i="7"/>
  <c r="H25" i="12" s="1"/>
  <c r="H27" i="3" s="1"/>
  <c r="H13" i="7"/>
  <c r="H60" i="12" s="1"/>
  <c r="H22" i="6"/>
  <c r="K20" i="9"/>
  <c r="K30" i="12" s="1"/>
  <c r="K29" i="9"/>
  <c r="K47" i="12" s="1"/>
  <c r="K35" i="9"/>
  <c r="K50" i="12" s="1"/>
  <c r="K18" i="9"/>
  <c r="K26" i="12" s="1"/>
  <c r="K11" i="9"/>
  <c r="K19" i="12" s="1"/>
  <c r="K47" i="9"/>
  <c r="K62" i="12" s="1"/>
  <c r="K31" i="9"/>
  <c r="K48" i="12" s="1"/>
  <c r="K13" i="9"/>
  <c r="K20" i="12" s="1"/>
  <c r="K37" i="9"/>
  <c r="K51" i="12" s="1"/>
  <c r="K45" i="9"/>
  <c r="K61" i="12" s="1"/>
  <c r="K43" i="9"/>
  <c r="K57" i="12" s="1"/>
  <c r="K51" i="9"/>
  <c r="K64" i="12" s="1"/>
  <c r="K22" i="9"/>
  <c r="K31" i="12" s="1"/>
  <c r="K41" i="9"/>
  <c r="K56" i="12" s="1"/>
  <c r="K10" i="6"/>
  <c r="K33" i="9"/>
  <c r="K49" i="12" s="1"/>
  <c r="K49" i="9"/>
  <c r="K63" i="12" s="1"/>
  <c r="K24" i="9"/>
  <c r="K32" i="12" s="1"/>
  <c r="G14" i="7"/>
  <c r="J26" i="6"/>
  <c r="J14" i="11" s="1"/>
  <c r="J14" i="19" s="1"/>
  <c r="J12" i="6"/>
  <c r="J15" i="6"/>
  <c r="J12" i="7"/>
  <c r="J27" i="12" s="1"/>
  <c r="J29" i="6"/>
  <c r="J18" i="6"/>
  <c r="I21" i="6"/>
  <c r="I10" i="11" s="1"/>
  <c r="J12" i="8"/>
  <c r="J10" i="8"/>
  <c r="I14" i="8"/>
  <c r="I24" i="11" s="1"/>
  <c r="I22" i="19" s="1"/>
  <c r="G20" i="10"/>
  <c r="F74" i="10"/>
  <c r="E75" i="10"/>
  <c r="F60" i="10"/>
  <c r="F62" i="10" s="1"/>
  <c r="F77" i="10"/>
  <c r="J65" i="10"/>
  <c r="J69" i="10" s="1"/>
  <c r="J13" i="12" s="1"/>
  <c r="I42" i="10"/>
  <c r="I44" i="10" s="1"/>
  <c r="I45" i="10" s="1"/>
  <c r="I14" i="12" s="1"/>
  <c r="G29" i="10"/>
  <c r="G27" i="10"/>
  <c r="J11" i="10"/>
  <c r="G17" i="17" l="1"/>
  <c r="H12" i="11"/>
  <c r="H12" i="19"/>
  <c r="H65" i="12"/>
  <c r="H30" i="3"/>
  <c r="H17" i="17" s="1"/>
  <c r="K26" i="11"/>
  <c r="K24" i="19" s="1"/>
  <c r="K23" i="3"/>
  <c r="H16" i="11"/>
  <c r="I11" i="11"/>
  <c r="I12" i="19" s="1"/>
  <c r="I11" i="19"/>
  <c r="K23" i="19"/>
  <c r="G67" i="12"/>
  <c r="J28" i="3"/>
  <c r="K31" i="3"/>
  <c r="H17" i="10"/>
  <c r="H19" i="10" s="1"/>
  <c r="I16" i="10" s="1"/>
  <c r="G12" i="12"/>
  <c r="K52" i="12"/>
  <c r="K29" i="3"/>
  <c r="K41" i="3"/>
  <c r="K52" i="3"/>
  <c r="I14" i="3"/>
  <c r="I56" i="3"/>
  <c r="J32" i="6"/>
  <c r="J33" i="6" s="1"/>
  <c r="J15" i="11"/>
  <c r="J15" i="19" s="1"/>
  <c r="K12" i="8"/>
  <c r="K14" i="8" s="1"/>
  <c r="K24" i="11" s="1"/>
  <c r="K22" i="19" s="1"/>
  <c r="I11" i="7"/>
  <c r="I22" i="6"/>
  <c r="I24" i="6"/>
  <c r="I13" i="7"/>
  <c r="I60" i="12" s="1"/>
  <c r="H14" i="7"/>
  <c r="J14" i="8"/>
  <c r="J24" i="11" s="1"/>
  <c r="J22" i="19" s="1"/>
  <c r="K10" i="8"/>
  <c r="J11" i="8"/>
  <c r="K26" i="6"/>
  <c r="K14" i="11" s="1"/>
  <c r="K14" i="19" s="1"/>
  <c r="K29" i="6"/>
  <c r="K15" i="11" s="1"/>
  <c r="K15" i="19" s="1"/>
  <c r="K12" i="6"/>
  <c r="K18" i="6"/>
  <c r="K15" i="6"/>
  <c r="K12" i="7"/>
  <c r="K27" i="12" s="1"/>
  <c r="J21" i="6"/>
  <c r="J10" i="11" s="1"/>
  <c r="G74" i="10"/>
  <c r="F75" i="10"/>
  <c r="K65" i="10"/>
  <c r="K69" i="10" s="1"/>
  <c r="K13" i="12" s="1"/>
  <c r="J42" i="10"/>
  <c r="H20" i="10"/>
  <c r="G31" i="10"/>
  <c r="G32" i="10" s="1"/>
  <c r="G54" i="10"/>
  <c r="G61" i="10" s="1"/>
  <c r="G76" i="10" s="1"/>
  <c r="G19" i="11" s="1"/>
  <c r="H23" i="10"/>
  <c r="H48" i="10" s="1"/>
  <c r="G52" i="10"/>
  <c r="J41" i="10"/>
  <c r="J15" i="10"/>
  <c r="I12" i="11" l="1"/>
  <c r="I16" i="11"/>
  <c r="I17" i="11" s="1"/>
  <c r="I65" i="12"/>
  <c r="I30" i="3"/>
  <c r="J11" i="11"/>
  <c r="J12" i="19" s="1"/>
  <c r="J11" i="19"/>
  <c r="I14" i="7"/>
  <c r="I25" i="12"/>
  <c r="K28" i="3"/>
  <c r="H17" i="11"/>
  <c r="H16" i="19"/>
  <c r="H67" i="12"/>
  <c r="G57" i="10"/>
  <c r="G60" i="10" s="1"/>
  <c r="G62" i="10" s="1"/>
  <c r="G16" i="12"/>
  <c r="G15" i="17"/>
  <c r="G13" i="3"/>
  <c r="G21" i="11"/>
  <c r="G20" i="19" s="1"/>
  <c r="G22" i="12"/>
  <c r="I17" i="10"/>
  <c r="I19" i="10" s="1"/>
  <c r="I20" i="10" s="1"/>
  <c r="H12" i="12"/>
  <c r="J14" i="3"/>
  <c r="J56" i="3"/>
  <c r="K56" i="3"/>
  <c r="K14" i="3"/>
  <c r="J16" i="11"/>
  <c r="K11" i="8"/>
  <c r="K32" i="6"/>
  <c r="K33" i="6" s="1"/>
  <c r="K21" i="6"/>
  <c r="K10" i="11" s="1"/>
  <c r="J11" i="7"/>
  <c r="J25" i="12" s="1"/>
  <c r="J22" i="6"/>
  <c r="J24" i="6"/>
  <c r="J13" i="7"/>
  <c r="J60" i="12" s="1"/>
  <c r="J44" i="10"/>
  <c r="J45" i="10" s="1"/>
  <c r="J14" i="12" s="1"/>
  <c r="J16" i="10"/>
  <c r="H27" i="10"/>
  <c r="H29" i="10"/>
  <c r="H54" i="10" s="1"/>
  <c r="H61" i="10" s="1"/>
  <c r="H76" i="10" s="1"/>
  <c r="H28" i="10"/>
  <c r="G56" i="10"/>
  <c r="K11" i="10"/>
  <c r="I16" i="19" l="1"/>
  <c r="K11" i="11"/>
  <c r="K12" i="19" s="1"/>
  <c r="K11" i="19"/>
  <c r="G77" i="10"/>
  <c r="G75" i="10" s="1"/>
  <c r="G39" i="3" s="1"/>
  <c r="G16" i="17" s="1"/>
  <c r="J30" i="3"/>
  <c r="J65" i="12"/>
  <c r="J17" i="11"/>
  <c r="J16" i="19"/>
  <c r="J27" i="3"/>
  <c r="I27" i="3"/>
  <c r="I17" i="17" s="1"/>
  <c r="J12" i="11"/>
  <c r="I67" i="12"/>
  <c r="G12" i="17"/>
  <c r="G13" i="17" s="1"/>
  <c r="G14" i="17" s="1"/>
  <c r="G28" i="11"/>
  <c r="G26" i="19" s="1"/>
  <c r="G22" i="11"/>
  <c r="J17" i="10"/>
  <c r="I12" i="12"/>
  <c r="K16" i="11"/>
  <c r="K12" i="11"/>
  <c r="H19" i="11"/>
  <c r="H18" i="19" s="1"/>
  <c r="J14" i="7"/>
  <c r="K13" i="7"/>
  <c r="K60" i="12" s="1"/>
  <c r="K11" i="7"/>
  <c r="K25" i="12" s="1"/>
  <c r="K27" i="3" s="1"/>
  <c r="K22" i="6"/>
  <c r="K24" i="6"/>
  <c r="K41" i="10"/>
  <c r="J19" i="10"/>
  <c r="K16" i="10" s="1"/>
  <c r="K42" i="10"/>
  <c r="H31" i="10"/>
  <c r="H32" i="10" s="1"/>
  <c r="H53" i="10"/>
  <c r="I23" i="10"/>
  <c r="I48" i="10" s="1"/>
  <c r="H52" i="10"/>
  <c r="K15" i="10"/>
  <c r="J17" i="17" l="1"/>
  <c r="H74" i="10"/>
  <c r="G48" i="3"/>
  <c r="J67" i="12"/>
  <c r="K65" i="12"/>
  <c r="K30" i="3"/>
  <c r="K17" i="17" s="1"/>
  <c r="K17" i="11"/>
  <c r="K16" i="19"/>
  <c r="K44" i="10"/>
  <c r="K45" i="10" s="1"/>
  <c r="K14" i="12" s="1"/>
  <c r="G11" i="3"/>
  <c r="G24" i="3" s="1"/>
  <c r="G32" i="3" s="1"/>
  <c r="G31" i="11"/>
  <c r="G33" i="11" s="1"/>
  <c r="G38" i="11" s="1"/>
  <c r="G41" i="11" s="1"/>
  <c r="G42" i="11" s="1"/>
  <c r="G29" i="11"/>
  <c r="H57" i="10"/>
  <c r="H60" i="10" s="1"/>
  <c r="H62" i="10" s="1"/>
  <c r="H16" i="12"/>
  <c r="G18" i="17"/>
  <c r="G20" i="17" s="1"/>
  <c r="H21" i="11"/>
  <c r="H15" i="17"/>
  <c r="H13" i="3"/>
  <c r="K14" i="7"/>
  <c r="J20" i="10"/>
  <c r="I29" i="10"/>
  <c r="I54" i="10" s="1"/>
  <c r="I61" i="10" s="1"/>
  <c r="I76" i="10" s="1"/>
  <c r="I19" i="11" s="1"/>
  <c r="I18" i="19" s="1"/>
  <c r="I27" i="10"/>
  <c r="I28" i="10"/>
  <c r="H56" i="10"/>
  <c r="G36" i="11" l="1"/>
  <c r="G30" i="19"/>
  <c r="G33" i="3"/>
  <c r="G35" i="3" s="1"/>
  <c r="G28" i="19"/>
  <c r="H22" i="12"/>
  <c r="H12" i="17"/>
  <c r="H13" i="17" s="1"/>
  <c r="H14" i="17" s="1"/>
  <c r="H20" i="19"/>
  <c r="K67" i="12"/>
  <c r="H22" i="11"/>
  <c r="H77" i="10"/>
  <c r="H75" i="10" s="1"/>
  <c r="H39" i="3" s="1"/>
  <c r="H48" i="3" s="1"/>
  <c r="G34" i="11"/>
  <c r="H28" i="11"/>
  <c r="K17" i="10"/>
  <c r="K19" i="10" s="1"/>
  <c r="K20" i="10" s="1"/>
  <c r="K12" i="12" s="1"/>
  <c r="J12" i="12"/>
  <c r="I21" i="11"/>
  <c r="I15" i="17"/>
  <c r="I13" i="3"/>
  <c r="G40" i="12"/>
  <c r="G57" i="3"/>
  <c r="G60" i="3" s="1"/>
  <c r="I31" i="10"/>
  <c r="I32" i="10" s="1"/>
  <c r="I53" i="10"/>
  <c r="J23" i="10"/>
  <c r="J48" i="10" s="1"/>
  <c r="I52" i="10"/>
  <c r="I12" i="17" l="1"/>
  <c r="I13" i="17" s="1"/>
  <c r="I14" i="17" s="1"/>
  <c r="I20" i="19"/>
  <c r="G42" i="12"/>
  <c r="G62" i="3"/>
  <c r="G64" i="3" s="1"/>
  <c r="G28" i="12" s="1"/>
  <c r="H11" i="3"/>
  <c r="H24" i="3" s="1"/>
  <c r="H32" i="3" s="1"/>
  <c r="H26" i="19"/>
  <c r="H16" i="17"/>
  <c r="H18" i="17" s="1"/>
  <c r="H20" i="17" s="1"/>
  <c r="I74" i="10"/>
  <c r="I57" i="10"/>
  <c r="I16" i="12"/>
  <c r="H29" i="11"/>
  <c r="H31" i="11"/>
  <c r="I22" i="11"/>
  <c r="I28" i="11"/>
  <c r="I60" i="10"/>
  <c r="I62" i="10" s="1"/>
  <c r="I77" i="10"/>
  <c r="J27" i="10"/>
  <c r="J29" i="10"/>
  <c r="J54" i="10" s="1"/>
  <c r="J61" i="10" s="1"/>
  <c r="J76" i="10" s="1"/>
  <c r="J19" i="11" s="1"/>
  <c r="J18" i="19" s="1"/>
  <c r="J28" i="10"/>
  <c r="I56" i="10"/>
  <c r="H63" i="3" l="1"/>
  <c r="G33" i="12"/>
  <c r="I75" i="10"/>
  <c r="I39" i="3" s="1"/>
  <c r="I48" i="3" s="1"/>
  <c r="I11" i="3"/>
  <c r="I24" i="3" s="1"/>
  <c r="I32" i="3" s="1"/>
  <c r="I26" i="19"/>
  <c r="I22" i="12"/>
  <c r="G69" i="12"/>
  <c r="H33" i="11"/>
  <c r="H38" i="11" s="1"/>
  <c r="H57" i="3" s="1"/>
  <c r="H60" i="3" s="1"/>
  <c r="H28" i="19"/>
  <c r="H33" i="3"/>
  <c r="H35" i="3" s="1"/>
  <c r="I29" i="11"/>
  <c r="I31" i="11"/>
  <c r="I28" i="19" s="1"/>
  <c r="I16" i="17"/>
  <c r="I18" i="17" s="1"/>
  <c r="I20" i="17" s="1"/>
  <c r="J21" i="11"/>
  <c r="J15" i="17"/>
  <c r="J13" i="3"/>
  <c r="J74" i="10"/>
  <c r="J31" i="10"/>
  <c r="J32" i="10" s="1"/>
  <c r="J53" i="10"/>
  <c r="K23" i="10"/>
  <c r="K48" i="10" s="1"/>
  <c r="J52" i="10"/>
  <c r="I33" i="3" l="1"/>
  <c r="I35" i="3" s="1"/>
  <c r="I33" i="11"/>
  <c r="I36" i="11" s="1"/>
  <c r="H62" i="3"/>
  <c r="H64" i="3" s="1"/>
  <c r="I63" i="3" s="1"/>
  <c r="J12" i="17"/>
  <c r="J13" i="17" s="1"/>
  <c r="J14" i="17" s="1"/>
  <c r="J20" i="19"/>
  <c r="H36" i="11"/>
  <c r="H30" i="19"/>
  <c r="H34" i="11"/>
  <c r="G35" i="12"/>
  <c r="G57" i="19" s="1"/>
  <c r="H41" i="11"/>
  <c r="H42" i="11" s="1"/>
  <c r="J57" i="10"/>
  <c r="J60" i="10" s="1"/>
  <c r="J62" i="10" s="1"/>
  <c r="J16" i="12"/>
  <c r="H40" i="12"/>
  <c r="J22" i="11"/>
  <c r="J28" i="11"/>
  <c r="K27" i="10"/>
  <c r="K29" i="10"/>
  <c r="K54" i="10" s="1"/>
  <c r="K61" i="10" s="1"/>
  <c r="K76" i="10" s="1"/>
  <c r="K19" i="11" s="1"/>
  <c r="K18" i="19" s="1"/>
  <c r="K28" i="10"/>
  <c r="J56" i="10"/>
  <c r="I38" i="11" l="1"/>
  <c r="I57" i="3" s="1"/>
  <c r="I60" i="3" s="1"/>
  <c r="I34" i="11"/>
  <c r="I30" i="19"/>
  <c r="H28" i="12"/>
  <c r="H33" i="12" s="1"/>
  <c r="G71" i="12"/>
  <c r="I62" i="3"/>
  <c r="J11" i="3"/>
  <c r="J24" i="3" s="1"/>
  <c r="J32" i="3" s="1"/>
  <c r="J26" i="19"/>
  <c r="H42" i="12"/>
  <c r="J77" i="10"/>
  <c r="J75" i="10" s="1"/>
  <c r="J39" i="3" s="1"/>
  <c r="J48" i="3" s="1"/>
  <c r="J22" i="12"/>
  <c r="G83" i="19"/>
  <c r="G59" i="19"/>
  <c r="G63" i="19"/>
  <c r="G53" i="19"/>
  <c r="G41" i="19"/>
  <c r="G39" i="19"/>
  <c r="G43" i="19"/>
  <c r="G74" i="19"/>
  <c r="G85" i="19"/>
  <c r="G87" i="19"/>
  <c r="G80" i="19"/>
  <c r="G71" i="19"/>
  <c r="G88" i="19"/>
  <c r="G54" i="19"/>
  <c r="G44" i="19"/>
  <c r="G75" i="19"/>
  <c r="G72" i="19"/>
  <c r="G73" i="19"/>
  <c r="G81" i="19"/>
  <c r="G56" i="19"/>
  <c r="G55" i="19"/>
  <c r="G50" i="19"/>
  <c r="G86" i="19"/>
  <c r="G76" i="19"/>
  <c r="G38" i="19"/>
  <c r="G37" i="19"/>
  <c r="G51" i="19"/>
  <c r="G84" i="19"/>
  <c r="G49" i="19"/>
  <c r="G89" i="19"/>
  <c r="G36" i="19"/>
  <c r="G91" i="19"/>
  <c r="G46" i="19"/>
  <c r="G40" i="19"/>
  <c r="G64" i="19"/>
  <c r="G66" i="19"/>
  <c r="G52" i="19"/>
  <c r="G93" i="19"/>
  <c r="I40" i="12"/>
  <c r="I42" i="12" s="1"/>
  <c r="I41" i="11"/>
  <c r="I42" i="11" s="1"/>
  <c r="J29" i="11"/>
  <c r="J31" i="11"/>
  <c r="K21" i="11"/>
  <c r="K15" i="17"/>
  <c r="K13" i="3"/>
  <c r="J16" i="17"/>
  <c r="J18" i="17" s="1"/>
  <c r="J20" i="17" s="1"/>
  <c r="I64" i="3"/>
  <c r="K31" i="10"/>
  <c r="K56" i="10" s="1"/>
  <c r="K53" i="10"/>
  <c r="K52" i="10"/>
  <c r="J33" i="3" l="1"/>
  <c r="J35" i="3" s="1"/>
  <c r="J28" i="19"/>
  <c r="I69" i="12"/>
  <c r="H69" i="12"/>
  <c r="K74" i="10"/>
  <c r="K12" i="17"/>
  <c r="K13" i="17" s="1"/>
  <c r="K14" i="17" s="1"/>
  <c r="K20" i="19"/>
  <c r="H35" i="12"/>
  <c r="J33" i="11"/>
  <c r="J34" i="11" s="1"/>
  <c r="J38" i="11"/>
  <c r="J40" i="12" s="1"/>
  <c r="K28" i="11"/>
  <c r="K22" i="11"/>
  <c r="I28" i="12"/>
  <c r="J63" i="3"/>
  <c r="K32" i="10"/>
  <c r="C28" i="17" l="1"/>
  <c r="J41" i="11"/>
  <c r="J42" i="11" s="1"/>
  <c r="H53" i="19"/>
  <c r="H41" i="19"/>
  <c r="H83" i="19"/>
  <c r="H63" i="19"/>
  <c r="H39" i="19"/>
  <c r="H59" i="19"/>
  <c r="H55" i="19"/>
  <c r="H73" i="19"/>
  <c r="H88" i="19"/>
  <c r="H74" i="19"/>
  <c r="H71" i="19"/>
  <c r="H75" i="19"/>
  <c r="H44" i="19"/>
  <c r="H50" i="19"/>
  <c r="H54" i="19"/>
  <c r="H72" i="19"/>
  <c r="H87" i="19"/>
  <c r="H86" i="19"/>
  <c r="H43" i="19"/>
  <c r="H85" i="19"/>
  <c r="H80" i="19"/>
  <c r="H81" i="19"/>
  <c r="H56" i="19"/>
  <c r="H37" i="19"/>
  <c r="H51" i="19"/>
  <c r="H76" i="19"/>
  <c r="H38" i="19"/>
  <c r="H49" i="19"/>
  <c r="H84" i="19"/>
  <c r="H89" i="19"/>
  <c r="H91" i="19"/>
  <c r="H36" i="19"/>
  <c r="H40" i="19"/>
  <c r="H46" i="19"/>
  <c r="H52" i="19"/>
  <c r="H64" i="19"/>
  <c r="I33" i="12"/>
  <c r="J36" i="11"/>
  <c r="J30" i="19"/>
  <c r="H66" i="19"/>
  <c r="J57" i="3"/>
  <c r="J60" i="3" s="1"/>
  <c r="J62" i="3" s="1"/>
  <c r="J64" i="3" s="1"/>
  <c r="J42" i="12"/>
  <c r="K11" i="3"/>
  <c r="K24" i="3" s="1"/>
  <c r="K32" i="3" s="1"/>
  <c r="K26" i="19"/>
  <c r="H57" i="19"/>
  <c r="H93" i="19"/>
  <c r="H71" i="12"/>
  <c r="K57" i="10"/>
  <c r="K77" i="10" s="1"/>
  <c r="K75" i="10" s="1"/>
  <c r="K39" i="3" s="1"/>
  <c r="K16" i="12"/>
  <c r="K31" i="11"/>
  <c r="K29" i="11"/>
  <c r="K60" i="10"/>
  <c r="K62" i="10" s="1"/>
  <c r="K22" i="12" l="1"/>
  <c r="I35" i="12"/>
  <c r="I57" i="19" s="1"/>
  <c r="K33" i="11"/>
  <c r="K34" i="11" s="1"/>
  <c r="K28" i="19"/>
  <c r="J69" i="12"/>
  <c r="K33" i="3"/>
  <c r="K35" i="3" s="1"/>
  <c r="K16" i="17"/>
  <c r="K18" i="17" s="1"/>
  <c r="K48" i="3"/>
  <c r="K63" i="3"/>
  <c r="J28" i="12"/>
  <c r="D8" i="1"/>
  <c r="E8" i="1" s="1"/>
  <c r="F8" i="1" s="1"/>
  <c r="K36" i="11" l="1"/>
  <c r="J33" i="12"/>
  <c r="I71" i="12"/>
  <c r="I63" i="19"/>
  <c r="I39" i="19"/>
  <c r="I83" i="19"/>
  <c r="I59" i="19"/>
  <c r="I53" i="19"/>
  <c r="I41" i="19"/>
  <c r="I71" i="19"/>
  <c r="I87" i="19"/>
  <c r="I43" i="19"/>
  <c r="I55" i="19"/>
  <c r="I81" i="19"/>
  <c r="I72" i="19"/>
  <c r="I73" i="19"/>
  <c r="I85" i="19"/>
  <c r="I88" i="19"/>
  <c r="I75" i="19"/>
  <c r="I74" i="19"/>
  <c r="I86" i="19"/>
  <c r="I80" i="19"/>
  <c r="I44" i="19"/>
  <c r="I56" i="19"/>
  <c r="I50" i="19"/>
  <c r="I54" i="19"/>
  <c r="I51" i="19"/>
  <c r="I76" i="19"/>
  <c r="I37" i="19"/>
  <c r="I38" i="19"/>
  <c r="I84" i="19"/>
  <c r="I89" i="19"/>
  <c r="I49" i="19"/>
  <c r="I36" i="19"/>
  <c r="I91" i="19"/>
  <c r="I40" i="19"/>
  <c r="I46" i="19"/>
  <c r="I66" i="19"/>
  <c r="I64" i="19"/>
  <c r="I93" i="19"/>
  <c r="I52" i="19"/>
  <c r="K38" i="11"/>
  <c r="K30" i="19"/>
  <c r="C29" i="17"/>
  <c r="C30" i="17" s="1"/>
  <c r="L18" i="17" s="1"/>
  <c r="L20" i="17" s="1"/>
  <c r="K20" i="17"/>
  <c r="K40" i="12" l="1"/>
  <c r="K41" i="11"/>
  <c r="K42" i="11" s="1"/>
  <c r="K57" i="3"/>
  <c r="K60" i="3" s="1"/>
  <c r="K62" i="3" s="1"/>
  <c r="K64" i="3" s="1"/>
  <c r="K28" i="12" s="1"/>
  <c r="J35" i="12"/>
  <c r="C34" i="17"/>
  <c r="C38" i="17" s="1"/>
  <c r="C40" i="17" s="1"/>
  <c r="F35" i="17" l="1"/>
  <c r="J71" i="12"/>
  <c r="J63" i="19"/>
  <c r="J39" i="19"/>
  <c r="J83" i="19"/>
  <c r="J59" i="19"/>
  <c r="J53" i="19"/>
  <c r="J41" i="19"/>
  <c r="J56" i="19"/>
  <c r="J72" i="19"/>
  <c r="J85" i="19"/>
  <c r="J73" i="19"/>
  <c r="J74" i="19"/>
  <c r="J86" i="19"/>
  <c r="J54" i="19"/>
  <c r="J87" i="19"/>
  <c r="J80" i="19"/>
  <c r="J88" i="19"/>
  <c r="J55" i="19"/>
  <c r="J44" i="19"/>
  <c r="J71" i="19"/>
  <c r="J81" i="19"/>
  <c r="J75" i="19"/>
  <c r="J50" i="19"/>
  <c r="J43" i="19"/>
  <c r="J51" i="19"/>
  <c r="J37" i="19"/>
  <c r="J76" i="19"/>
  <c r="J84" i="19"/>
  <c r="J38" i="19"/>
  <c r="J49" i="19"/>
  <c r="J89" i="19"/>
  <c r="J91" i="19"/>
  <c r="J36" i="19"/>
  <c r="J40" i="19"/>
  <c r="J46" i="19"/>
  <c r="J64" i="19"/>
  <c r="J66" i="19"/>
  <c r="J93" i="19"/>
  <c r="J52" i="19"/>
  <c r="K33" i="12"/>
  <c r="J57" i="19"/>
  <c r="K42" i="12"/>
  <c r="C44" i="17"/>
  <c r="C45" i="17" s="1"/>
  <c r="F26" i="17"/>
  <c r="K69" i="12" l="1"/>
  <c r="K35" i="12"/>
  <c r="K57" i="19"/>
  <c r="K71" i="12" l="1"/>
  <c r="K83" i="19"/>
  <c r="K59" i="19"/>
  <c r="K53" i="19"/>
  <c r="K41" i="19"/>
  <c r="K63" i="19"/>
  <c r="K39" i="19"/>
  <c r="K56" i="19"/>
  <c r="K71" i="19"/>
  <c r="K88" i="19"/>
  <c r="K75" i="19"/>
  <c r="K81" i="19"/>
  <c r="K50" i="19"/>
  <c r="K72" i="19"/>
  <c r="K80" i="19"/>
  <c r="K43" i="19"/>
  <c r="K86" i="19"/>
  <c r="K55" i="19"/>
  <c r="K44" i="19"/>
  <c r="K74" i="19"/>
  <c r="K85" i="19"/>
  <c r="K87" i="19"/>
  <c r="K54" i="19"/>
  <c r="K73" i="19"/>
  <c r="K51" i="19"/>
  <c r="K37" i="19"/>
  <c r="K76" i="19"/>
  <c r="K84" i="19"/>
  <c r="K49" i="19"/>
  <c r="K89" i="19"/>
  <c r="K38" i="19"/>
  <c r="K91" i="19"/>
  <c r="K36" i="19"/>
  <c r="K40" i="19"/>
  <c r="K46" i="19"/>
  <c r="K52" i="19"/>
  <c r="K64" i="19"/>
  <c r="K66" i="19"/>
  <c r="K93" i="19"/>
</calcChain>
</file>

<file path=xl/sharedStrings.xml><?xml version="1.0" encoding="utf-8"?>
<sst xmlns="http://schemas.openxmlformats.org/spreadsheetml/2006/main" count="645" uniqueCount="374">
  <si>
    <t>Particulars</t>
  </si>
  <si>
    <t>Revenue</t>
  </si>
  <si>
    <t>Other income</t>
  </si>
  <si>
    <t>Expenses</t>
  </si>
  <si>
    <t>Cost of materials consumed</t>
  </si>
  <si>
    <t>Purchase of stock-in-trade</t>
  </si>
  <si>
    <t>Changes in Inventories of Finished Goods, Work-in-progress and Stock-in-Trade</t>
  </si>
  <si>
    <t>Employee Benefits Expenses</t>
  </si>
  <si>
    <t>Depreciation and Amortisation Expenses</t>
  </si>
  <si>
    <t>Other Expenses</t>
  </si>
  <si>
    <t>Finance Cost</t>
  </si>
  <si>
    <t>Total Expenses</t>
  </si>
  <si>
    <t>Tax expenses</t>
  </si>
  <si>
    <t>Revenue from Operations</t>
  </si>
  <si>
    <t>Total Income</t>
  </si>
  <si>
    <t>Finance cost</t>
  </si>
  <si>
    <t>Profit before share of equity accounted investee and tax</t>
  </si>
  <si>
    <t>Share of net profit/(loss) of associate accounted for using the equity method</t>
  </si>
  <si>
    <t>Profit before tax</t>
  </si>
  <si>
    <t>Profit for the year</t>
  </si>
  <si>
    <t>Basic</t>
  </si>
  <si>
    <t>Diluted</t>
  </si>
  <si>
    <t xml:space="preserve">Earnings per equity share </t>
  </si>
  <si>
    <t>Assets</t>
  </si>
  <si>
    <t>Non-Current Assets</t>
  </si>
  <si>
    <t>Property Plant and Equipment</t>
  </si>
  <si>
    <t>Capital Work-in-Progress</t>
  </si>
  <si>
    <t>Right of use Assets</t>
  </si>
  <si>
    <t>Intangible Assets</t>
  </si>
  <si>
    <t>Investments</t>
  </si>
  <si>
    <t>Other Non-Current Assets</t>
  </si>
  <si>
    <t>Total Non-Current Assets</t>
  </si>
  <si>
    <t>Current Assets:</t>
  </si>
  <si>
    <t>Inventories</t>
  </si>
  <si>
    <t>Trade Receivables</t>
  </si>
  <si>
    <t>Cash and Cash Equivalents</t>
  </si>
  <si>
    <t xml:space="preserve">Bank Balances </t>
  </si>
  <si>
    <t>Others Current Financial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</si>
  <si>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</si>
  <si>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</si>
  <si>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</si>
  <si>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</si>
  <si>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</si>
  <si>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</si>
  <si>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</si>
  <si>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</si>
  <si>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</si>
  <si>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Liabilities:</t>
  </si>
  <si>
    <t>Financial Liabilities</t>
  </si>
  <si>
    <t>(i) Borrowings</t>
  </si>
  <si>
    <t>(ii) Lease Liabilities</t>
  </si>
  <si>
    <t>Deferred Tax Liabilities (Net)</t>
  </si>
  <si>
    <t>Provisions</t>
  </si>
  <si>
    <t>Total Non-Current Liabilities</t>
  </si>
  <si>
    <t>Current Liabilities:</t>
  </si>
  <si>
    <t>(iii) Trade Payables</t>
  </si>
  <si>
    <t>(iv)Other Financial Liabilities</t>
  </si>
  <si>
    <t>Other Current Liabilities</t>
  </si>
  <si>
    <t>Total Current Liabilities</t>
  </si>
  <si>
    <t>Total Liabilities</t>
  </si>
  <si>
    <t>TOTAL EQUITY AND LIABILITIES</t>
  </si>
  <si>
    <t>Equity accounted investment</t>
  </si>
  <si>
    <t>Other income tax assets</t>
  </si>
  <si>
    <t>Assets classified as held for sale</t>
  </si>
  <si>
    <t>Other financial liabilities</t>
  </si>
  <si>
    <t>Current tax liabilities</t>
  </si>
  <si>
    <t>Goodwill</t>
  </si>
  <si>
    <t>Total outstanding dues of micro enterprises and small enterprises</t>
  </si>
  <si>
    <t>Total outstanding dues of creditors other than micro enterprises and small enterprises</t>
  </si>
  <si>
    <t>Cash Flow from Operating Activities:</t>
  </si>
  <si>
    <t>Adjustments for:</t>
  </si>
  <si>
    <t>Depreciation</t>
  </si>
  <si>
    <t>Total</t>
  </si>
  <si>
    <t>Operating Profit before Working Capital Changes</t>
  </si>
  <si>
    <t>(Increase)/Decrease in Inventories</t>
  </si>
  <si>
    <t>Cash Generated from Operations</t>
  </si>
  <si>
    <t>Direct Taxes Paid</t>
  </si>
  <si>
    <t>Net Cash Flow from Operating Activities (A)</t>
  </si>
  <si>
    <t>Cash Flow from Investing Activities:</t>
  </si>
  <si>
    <t>Investment in Joint Venture</t>
  </si>
  <si>
    <t>Net Cash Flow from Investing Activities (B)</t>
  </si>
  <si>
    <t>Cash Flow from Financing Activities:</t>
  </si>
  <si>
    <t>Dividend Paid</t>
  </si>
  <si>
    <t>Net Cash Flow from Financing Activities (C )</t>
  </si>
  <si>
    <t>Net Increase/(Decrease) in Cash and Cash Equivalents (A+B+C)</t>
  </si>
  <si>
    <t>Cash and Cash Equivalents (Opening Balance)</t>
  </si>
  <si>
    <t>Cash and Cash Equivalents (Closing Balance)</t>
  </si>
  <si>
    <t>Interest income</t>
  </si>
  <si>
    <t>Profit on sale of current investments</t>
  </si>
  <si>
    <t>Gain on fair valuation of investments measured at fair value through profit or loss</t>
  </si>
  <si>
    <t>Loss on sale / discard of property,plant and equipment (net)</t>
  </si>
  <si>
    <t>Loss allowance</t>
  </si>
  <si>
    <t>Bad debts, claims and advances written off</t>
  </si>
  <si>
    <t>Unspent liabilities/provision no longer required written back</t>
  </si>
  <si>
    <t>Foreign exchange fluctuation loss unrealised (net)</t>
  </si>
  <si>
    <t>Share of profit from associate</t>
  </si>
  <si>
    <t>Increase in trade receivables</t>
  </si>
  <si>
    <t>Increase in financial and other assets</t>
  </si>
  <si>
    <t>(Decrease)/increase in trade payables and other current liabilities</t>
  </si>
  <si>
    <t>Decrease in provisions</t>
  </si>
  <si>
    <t>Proceeds from sale of property, plant and equipment</t>
  </si>
  <si>
    <t>Acquisition of property, plant and equipment, including capital work in progress, capital advances and capital creditors</t>
  </si>
  <si>
    <t>Purchase of business</t>
  </si>
  <si>
    <t>Investments in current investments - mutual funds</t>
  </si>
  <si>
    <t>Proceeds from sale of current investments - mutual fund</t>
  </si>
  <si>
    <t>Interest received</t>
  </si>
  <si>
    <t>Investment in deposits with maturity of more than three months</t>
  </si>
  <si>
    <t>Proceeds from issue of share capital</t>
  </si>
  <si>
    <t>Proceeds from non-current borrowings</t>
  </si>
  <si>
    <t>Repayment of non-current borrowings</t>
  </si>
  <si>
    <t>Proceeds from current borrowings</t>
  </si>
  <si>
    <t>Repayment of current borrowings</t>
  </si>
  <si>
    <t>Interest paid</t>
  </si>
  <si>
    <t>Repayment of lease laibilities</t>
  </si>
  <si>
    <t>Scenario</t>
  </si>
  <si>
    <t>Growth</t>
  </si>
  <si>
    <t>Best Case</t>
  </si>
  <si>
    <t>Base Case</t>
  </si>
  <si>
    <t>Worst Case</t>
  </si>
  <si>
    <t>Annual growth Tapering</t>
  </si>
  <si>
    <t>Scenario Manager</t>
  </si>
  <si>
    <t>Growth Rate</t>
  </si>
  <si>
    <t>% of Revenue</t>
  </si>
  <si>
    <t>Purchases of stock-in-trade</t>
  </si>
  <si>
    <t>Changes in inventories of finished goods, work-in-progress and stock in-trade</t>
  </si>
  <si>
    <t>COGS</t>
  </si>
  <si>
    <t>Gross Profit Margin</t>
  </si>
  <si>
    <t>Employee benefits expense</t>
  </si>
  <si>
    <t>Other expenses</t>
  </si>
  <si>
    <t>Opex</t>
  </si>
  <si>
    <t>Effective Tax Rate</t>
  </si>
  <si>
    <t>Days of operation</t>
  </si>
  <si>
    <t>Inventores</t>
  </si>
  <si>
    <t>Recievables</t>
  </si>
  <si>
    <t>Trade payables</t>
  </si>
  <si>
    <t>Net Working Capital</t>
  </si>
  <si>
    <t>DIO</t>
  </si>
  <si>
    <t>DSO</t>
  </si>
  <si>
    <t>DPO</t>
  </si>
  <si>
    <t>Net Trade Cycle</t>
  </si>
  <si>
    <t>KPI</t>
  </si>
  <si>
    <t>Opening Balance</t>
  </si>
  <si>
    <t>New Issuance/ Repayment</t>
  </si>
  <si>
    <t>Closing Balance</t>
  </si>
  <si>
    <t>Interest rate</t>
  </si>
  <si>
    <t>Interest Expense</t>
  </si>
  <si>
    <t>Gross Opening</t>
  </si>
  <si>
    <t>Gross Opening PPE</t>
  </si>
  <si>
    <t>Additions during the year</t>
  </si>
  <si>
    <t>Disposals/ discard during the year</t>
  </si>
  <si>
    <t>Adjustment</t>
  </si>
  <si>
    <t>Accumulated depreciation</t>
  </si>
  <si>
    <t>Deductions</t>
  </si>
  <si>
    <t>Charge for the year</t>
  </si>
  <si>
    <t>Net PPE</t>
  </si>
  <si>
    <t>Gross Closing PPE</t>
  </si>
  <si>
    <t>Intangible assets</t>
  </si>
  <si>
    <t>RIGHT-OF-USE ASSETS</t>
  </si>
  <si>
    <t>Gross Closing</t>
  </si>
  <si>
    <t xml:space="preserve">Net </t>
  </si>
  <si>
    <t xml:space="preserve">Gross Closing </t>
  </si>
  <si>
    <t>PPE</t>
  </si>
  <si>
    <t>Net Block</t>
  </si>
  <si>
    <t>Assumptions</t>
  </si>
  <si>
    <t>Risk Free Rate</t>
  </si>
  <si>
    <t>Tax Rate</t>
  </si>
  <si>
    <t>EV/EBITDA Multiple</t>
  </si>
  <si>
    <t>Perpetual Growth Rate</t>
  </si>
  <si>
    <t>Discount Rate</t>
  </si>
  <si>
    <t>Current Market Price</t>
  </si>
  <si>
    <t>Addition In FAS</t>
  </si>
  <si>
    <t>Capital work-in-progress</t>
  </si>
  <si>
    <t>Opening balance</t>
  </si>
  <si>
    <t>Add: Addition during the year</t>
  </si>
  <si>
    <t>Less: Capitalisation during the year</t>
  </si>
  <si>
    <t>Closing balance</t>
  </si>
  <si>
    <t>Deperciation schedules</t>
  </si>
  <si>
    <t>PPE Opening</t>
  </si>
  <si>
    <t>Plus -Capex</t>
  </si>
  <si>
    <t>Less-Dep</t>
  </si>
  <si>
    <t>PPE Closing</t>
  </si>
  <si>
    <t>Total Fixed Assets - Net Block</t>
  </si>
  <si>
    <t>Depreciation for year</t>
  </si>
  <si>
    <t>Increase in Fixed Assets</t>
  </si>
  <si>
    <t>Gross Profit</t>
  </si>
  <si>
    <t>S&amp;G Expenses</t>
  </si>
  <si>
    <t>Salaries &amp; Benefits</t>
  </si>
  <si>
    <t>EBITDA</t>
  </si>
  <si>
    <t>Dep &amp; Amo</t>
  </si>
  <si>
    <t>EBIT</t>
  </si>
  <si>
    <t>Interest Cost</t>
  </si>
  <si>
    <t>Other Income</t>
  </si>
  <si>
    <t>EBT</t>
  </si>
  <si>
    <t>EBT Margin</t>
  </si>
  <si>
    <t>Tax</t>
  </si>
  <si>
    <t>Net Profit</t>
  </si>
  <si>
    <t>Net Profit Margin</t>
  </si>
  <si>
    <t>EPS in Rs.</t>
  </si>
  <si>
    <t>Dividend</t>
  </si>
  <si>
    <t>Dividend Payout %</t>
  </si>
  <si>
    <t>Retained Earning</t>
  </si>
  <si>
    <t>Retained %</t>
  </si>
  <si>
    <t>Face Value</t>
  </si>
  <si>
    <t>Shares Outstanding(Lakhs)</t>
  </si>
  <si>
    <t>Market Cap (Lakhs)</t>
  </si>
  <si>
    <t>Gross Margin</t>
  </si>
  <si>
    <t>EBITDA Margin</t>
  </si>
  <si>
    <t>EBIT Margin</t>
  </si>
  <si>
    <t>Check</t>
  </si>
  <si>
    <t>Equity Market</t>
  </si>
  <si>
    <t>Date</t>
  </si>
  <si>
    <t>Close Price</t>
  </si>
  <si>
    <t>Sensex</t>
  </si>
  <si>
    <t>%</t>
  </si>
  <si>
    <t>Stock</t>
  </si>
  <si>
    <t>Close</t>
  </si>
  <si>
    <t>Change</t>
  </si>
  <si>
    <t>Beta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</si>
  <si>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</si>
  <si>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</si>
  <si>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</si>
  <si>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</si>
  <si>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</si>
  <si>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</si>
  <si>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</si>
  <si>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</si>
  <si>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</si>
  <si>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</si>
  <si>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</si>
  <si>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</si>
  <si>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</si>
  <si>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</si>
  <si>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</si>
  <si>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</si>
  <si>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</si>
  <si>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</si>
  <si>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</si>
  <si>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</si>
  <si>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</si>
  <si>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</si>
  <si>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</si>
  <si>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</si>
  <si>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Year</t>
  </si>
  <si>
    <t>RRI</t>
  </si>
  <si>
    <t>Name</t>
  </si>
  <si>
    <t>CMP Rs.</t>
  </si>
  <si>
    <t>No. Eq. Shares Cr.</t>
  </si>
  <si>
    <t>Debt Rs.Cr.</t>
  </si>
  <si>
    <t>Cash Rs.Cr.</t>
  </si>
  <si>
    <t>NP Ann Rs.Cr.</t>
  </si>
  <si>
    <t>Sales Ann Rs.Cr.</t>
  </si>
  <si>
    <t>Dep Ann Rs.Cr.</t>
  </si>
  <si>
    <t>EBIT Ann Rs.Cr.</t>
  </si>
  <si>
    <t>EV / EBITDA</t>
  </si>
  <si>
    <t>EV Rs.Cr.</t>
  </si>
  <si>
    <t xml:space="preserve">Mar Cap Rs.Cr. </t>
  </si>
  <si>
    <t>Tax 12M Rs.Cr.</t>
  </si>
  <si>
    <t>P/E</t>
  </si>
  <si>
    <t>Coromandel Inter</t>
  </si>
  <si>
    <t>F A C T</t>
  </si>
  <si>
    <t>Chambal Fert.</t>
  </si>
  <si>
    <t>Paradeep Phosph.</t>
  </si>
  <si>
    <t>R C F</t>
  </si>
  <si>
    <t>G S F C</t>
  </si>
  <si>
    <t>Natl.Fertilizer</t>
  </si>
  <si>
    <t>Mangalore Chem.</t>
  </si>
  <si>
    <t>M B Agro Prod.</t>
  </si>
  <si>
    <t>Krishana Phosch.</t>
  </si>
  <si>
    <t>Company Data</t>
  </si>
  <si>
    <t>Market Data</t>
  </si>
  <si>
    <t>Financial data</t>
  </si>
  <si>
    <t>Valution</t>
  </si>
  <si>
    <t>Price</t>
  </si>
  <si>
    <t>Share</t>
  </si>
  <si>
    <t>Market Cap</t>
  </si>
  <si>
    <t>Debt</t>
  </si>
  <si>
    <t xml:space="preserve">Cash </t>
  </si>
  <si>
    <t>EV</t>
  </si>
  <si>
    <t>Sales</t>
  </si>
  <si>
    <t>Earnings</t>
  </si>
  <si>
    <t>EV/Sales</t>
  </si>
  <si>
    <t>EV/EBITDA</t>
  </si>
  <si>
    <t>Company Name</t>
  </si>
  <si>
    <t>(/share)</t>
  </si>
  <si>
    <t>x</t>
  </si>
  <si>
    <t>Lakhs</t>
  </si>
  <si>
    <t>High</t>
  </si>
  <si>
    <t>75th Percentile</t>
  </si>
  <si>
    <t>Average</t>
  </si>
  <si>
    <t>Median</t>
  </si>
  <si>
    <t>25th Percentile</t>
  </si>
  <si>
    <t>Low</t>
  </si>
  <si>
    <t>Metric</t>
  </si>
  <si>
    <t>Comps</t>
  </si>
  <si>
    <t>Net Debt</t>
  </si>
  <si>
    <t>Equity Value</t>
  </si>
  <si>
    <t xml:space="preserve"> no of Shares</t>
  </si>
  <si>
    <t xml:space="preserve">Share Price </t>
  </si>
  <si>
    <t>Prediction</t>
  </si>
  <si>
    <t>EV/REVENUE</t>
  </si>
  <si>
    <t>Year Frac</t>
  </si>
  <si>
    <t>Taxes</t>
  </si>
  <si>
    <t>NOPAT</t>
  </si>
  <si>
    <t>Add- Dep</t>
  </si>
  <si>
    <t>Less- Capex</t>
  </si>
  <si>
    <t>Less Working Capital</t>
  </si>
  <si>
    <t>Unlevered FCFF</t>
  </si>
  <si>
    <t>Trancaction FCFF</t>
  </si>
  <si>
    <t>Current Capital structure</t>
  </si>
  <si>
    <t>Market cap</t>
  </si>
  <si>
    <t>Total Debt</t>
  </si>
  <si>
    <t>Debt/equity</t>
  </si>
  <si>
    <t>Cost of debt</t>
  </si>
  <si>
    <t>Pre-tax cost of debt</t>
  </si>
  <si>
    <t>tax rate</t>
  </si>
  <si>
    <t>After -Tax cost of debt</t>
  </si>
  <si>
    <t>Cost of equity</t>
  </si>
  <si>
    <t>Risk free Rate</t>
  </si>
  <si>
    <t>Equity Market Return</t>
  </si>
  <si>
    <t>Equity risk premium</t>
  </si>
  <si>
    <t>Equity Beta</t>
  </si>
  <si>
    <t>WACC</t>
  </si>
  <si>
    <t>Terminal Value</t>
  </si>
  <si>
    <t>Prep.Growth</t>
  </si>
  <si>
    <t>Intrinsic Value</t>
  </si>
  <si>
    <t>Enterpreise Value</t>
  </si>
  <si>
    <t>Plus: Cash &amp; Cash equivalent</t>
  </si>
  <si>
    <t>Less- Debt</t>
  </si>
  <si>
    <t>Less-non- controlling interest</t>
  </si>
  <si>
    <t>Equity value/share</t>
  </si>
  <si>
    <t>Rate of Return</t>
  </si>
  <si>
    <t>Current price</t>
  </si>
  <si>
    <t>Target Price</t>
  </si>
  <si>
    <t>Target Price Upside</t>
  </si>
  <si>
    <t>Sensitivity - Intrinsic Value (Rs/share)</t>
  </si>
  <si>
    <t>Exit Multiple</t>
  </si>
  <si>
    <t>Terminal Values</t>
  </si>
  <si>
    <t>Historical Income Statement</t>
  </si>
  <si>
    <t xml:space="preserve">Historical BalanceSheet </t>
  </si>
  <si>
    <t>Revenue Build_up</t>
  </si>
  <si>
    <t>Cost Build_up</t>
  </si>
  <si>
    <t>Working Capital</t>
  </si>
  <si>
    <t>Debt Schedules</t>
  </si>
  <si>
    <t>CashFlow Statement</t>
  </si>
  <si>
    <t>Balance Sheet Forecasting</t>
  </si>
  <si>
    <t>Fixed Assets Schedules</t>
  </si>
  <si>
    <t>Profit &amp; Loss Statement</t>
  </si>
  <si>
    <t>BalanceSheet  Statement</t>
  </si>
  <si>
    <t>Comps Data</t>
  </si>
  <si>
    <t>Comparable valuation</t>
  </si>
  <si>
    <t>DCF Valuation</t>
  </si>
  <si>
    <t>Income Statement</t>
  </si>
  <si>
    <t>Balance Sheet</t>
  </si>
  <si>
    <t>Common Size Statement</t>
  </si>
  <si>
    <t>Football Field Analysis</t>
  </si>
  <si>
    <t>Football Field Data</t>
  </si>
  <si>
    <t>Comps Median</t>
  </si>
  <si>
    <t>Comps Average</t>
  </si>
  <si>
    <t>DCF</t>
  </si>
  <si>
    <t>52-Week Hi/LO</t>
  </si>
  <si>
    <t>Market Consenses</t>
  </si>
  <si>
    <t>ISIN Code</t>
  </si>
  <si>
    <t>Sector Name</t>
  </si>
  <si>
    <t>Industry</t>
  </si>
  <si>
    <t>Exchange Name</t>
  </si>
  <si>
    <t>Website</t>
  </si>
  <si>
    <t>Company Description</t>
  </si>
  <si>
    <t>Paradeep Phosphates Ltd</t>
  </si>
  <si>
    <t>NSE: PARADEEP / BSE: 543530</t>
  </si>
  <si>
    <t>Fertilizers</t>
  </si>
  <si>
    <t>Fertilizers &amp; Agrochemicals</t>
  </si>
  <si>
    <t>INE088F01024</t>
  </si>
  <si>
    <t>www.paradeepphosphates.com</t>
  </si>
  <si>
    <t>Incorporated in 1981, Paradeep Phosphates Limited is a manufacturer of non-urea fertilizers and India’s second largest private sector phosphatic company. The company is engaged in manufacturing, trading, distribution, and sales of a variety of complex fertilizers such as DAP, three grades of Nitrogen-Phosphorus-Potassium (namely NPK-10, NPK-12, and NP-20), Zypmite, Phospho-gypsum, and Hydroflorosilicic Acid. The company serves over 9 Million farmers across 15 states in India. Its network includes 22 regional offices, 529 stock points, over 5,000 dealers, and 75,000 retailers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</si>
</sst>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9" formatCode="0.0%"/>
    <numFmt numFmtId="170" formatCode="&quot;₹&quot;\ #,##0.00"/>
    <numFmt numFmtId="171" formatCode="0.0"/>
    <numFmt numFmtId="172" formatCode="0&quot;Days&quot;"/>
    <numFmt numFmtId="173" formatCode="0.0&quot;x&quot;"/>
    <numFmt numFmtId="174" formatCode="&quot;₹&quot;\ #,##0"/>
    <numFmt numFmtId="189" formatCode="0.000000000000000%"/>
    <numFmt numFmtId="206" formatCode="0.00&quot;x&quot;"/>
    <numFmt numFmtId="208" formatCode="&quot;₹&quot;\ #,##0.0"/>
    <numFmt numFmtId="209" formatCode="&quot;₹&quot;\ #,##0;\(&quot;₹&quot;\ #,##0\);\-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i/>
      <sz val="11"/>
      <color theme="1" tint="4.9989318521683403E-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Cambria"/>
      <family val="1"/>
    </font>
    <font>
      <i/>
      <sz val="11"/>
      <name val="Cambria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1"/>
      <color theme="5" tint="0.79998168889431442"/>
      <name val="Calibri"/>
      <family val="2"/>
      <scheme val="minor"/>
    </font>
    <font>
      <b/>
      <sz val="11"/>
      <color theme="5" tint="0.79998168889431442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0"/>
      <name val="Poppins"/>
    </font>
    <font>
      <sz val="10"/>
      <color theme="1"/>
      <name val="Poppins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mediumGray">
        <bgColor theme="9" tint="0.59996337778862885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ck">
        <color theme="0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5" fillId="0" borderId="0" applyNumberFormat="0" applyFill="0" applyBorder="0" applyAlignment="0" applyProtection="0"/>
  </cellStyleXfs>
  <cellXfs count="290">
    <xf numFmtId="0" fontId="0" fillId="0" borderId="0" xfId="0"/>
    <xf numFmtId="0" fontId="3" fillId="0" borderId="0" xfId="0" applyFont="1"/>
    <xf numFmtId="0" fontId="3" fillId="0" borderId="1" xfId="0" applyFont="1" applyBorder="1"/>
    <xf numFmtId="3" fontId="0" fillId="0" borderId="0" xfId="0" applyNumberFormat="1"/>
    <xf numFmtId="0" fontId="0" fillId="0" borderId="0" xfId="0" applyFont="1"/>
    <xf numFmtId="4" fontId="0" fillId="0" borderId="0" xfId="0" applyNumberFormat="1"/>
    <xf numFmtId="4" fontId="3" fillId="0" borderId="0" xfId="0" applyNumberFormat="1" applyFont="1"/>
    <xf numFmtId="0" fontId="3" fillId="0" borderId="2" xfId="0" applyFont="1" applyBorder="1"/>
    <xf numFmtId="0" fontId="3" fillId="0" borderId="3" xfId="0" applyFont="1" applyBorder="1"/>
    <xf numFmtId="0" fontId="0" fillId="0" borderId="0" xfId="0" applyAlignment="1">
      <alignment horizontal="left" indent="2"/>
    </xf>
    <xf numFmtId="0" fontId="3" fillId="0" borderId="4" xfId="0" applyFont="1" applyBorder="1"/>
    <xf numFmtId="0" fontId="0" fillId="0" borderId="4" xfId="0" applyBorder="1"/>
    <xf numFmtId="0" fontId="3" fillId="0" borderId="6" xfId="0" applyFont="1" applyBorder="1"/>
    <xf numFmtId="0" fontId="5" fillId="0" borderId="0" xfId="0" applyFont="1"/>
    <xf numFmtId="4" fontId="5" fillId="0" borderId="0" xfId="0" applyNumberFormat="1" applyFont="1"/>
    <xf numFmtId="9" fontId="6" fillId="0" borderId="0" xfId="1" applyFont="1"/>
    <xf numFmtId="0" fontId="6" fillId="0" borderId="7" xfId="0" applyFont="1" applyBorder="1"/>
    <xf numFmtId="9" fontId="6" fillId="0" borderId="7" xfId="1" applyFont="1" applyBorder="1"/>
    <xf numFmtId="0" fontId="0" fillId="0" borderId="7" xfId="0" applyBorder="1"/>
    <xf numFmtId="9" fontId="0" fillId="0" borderId="0" xfId="1" applyFont="1"/>
    <xf numFmtId="0" fontId="0" fillId="0" borderId="2" xfId="0" applyBorder="1"/>
    <xf numFmtId="0" fontId="7" fillId="0" borderId="0" xfId="0" applyFont="1"/>
    <xf numFmtId="170" fontId="3" fillId="0" borderId="3" xfId="0" applyNumberFormat="1" applyFont="1" applyBorder="1"/>
    <xf numFmtId="9" fontId="0" fillId="0" borderId="0" xfId="0" applyNumberFormat="1"/>
    <xf numFmtId="9" fontId="7" fillId="0" borderId="0" xfId="1" applyFont="1"/>
    <xf numFmtId="9" fontId="7" fillId="0" borderId="0" xfId="0" applyNumberFormat="1" applyFont="1"/>
    <xf numFmtId="0" fontId="6" fillId="0" borderId="0" xfId="0" applyFont="1"/>
    <xf numFmtId="0" fontId="9" fillId="0" borderId="3" xfId="0" applyFont="1" applyBorder="1"/>
    <xf numFmtId="9" fontId="9" fillId="0" borderId="3" xfId="1" applyFont="1" applyBorder="1"/>
    <xf numFmtId="9" fontId="9" fillId="0" borderId="3" xfId="0" applyNumberFormat="1" applyFont="1" applyBorder="1"/>
    <xf numFmtId="0" fontId="8" fillId="0" borderId="1" xfId="0" applyFont="1" applyBorder="1"/>
    <xf numFmtId="0" fontId="0" fillId="0" borderId="8" xfId="0" applyBorder="1"/>
    <xf numFmtId="0" fontId="5" fillId="0" borderId="7" xfId="0" applyFont="1" applyBorder="1"/>
    <xf numFmtId="0" fontId="5" fillId="0" borderId="9" xfId="0" applyFont="1" applyBorder="1"/>
    <xf numFmtId="0" fontId="5" fillId="0" borderId="1" xfId="0" applyFont="1" applyBorder="1"/>
    <xf numFmtId="172" fontId="0" fillId="0" borderId="7" xfId="0" applyNumberFormat="1" applyBorder="1"/>
    <xf numFmtId="0" fontId="5" fillId="0" borderId="10" xfId="0" applyFont="1" applyBorder="1"/>
    <xf numFmtId="172" fontId="0" fillId="0" borderId="10" xfId="0" applyNumberFormat="1" applyBorder="1"/>
    <xf numFmtId="172" fontId="3" fillId="0" borderId="4" xfId="0" applyNumberFormat="1" applyFont="1" applyBorder="1"/>
    <xf numFmtId="172" fontId="0" fillId="0" borderId="9" xfId="0" applyNumberFormat="1" applyBorder="1"/>
    <xf numFmtId="0" fontId="0" fillId="0" borderId="1" xfId="0" applyBorder="1"/>
    <xf numFmtId="0" fontId="8" fillId="0" borderId="0" xfId="0" applyFont="1"/>
    <xf numFmtId="0" fontId="0" fillId="0" borderId="0" xfId="0" applyAlignment="1">
      <alignment horizontal="left"/>
    </xf>
    <xf numFmtId="169" fontId="0" fillId="0" borderId="0" xfId="0" applyNumberFormat="1"/>
    <xf numFmtId="0" fontId="12" fillId="0" borderId="19" xfId="0" applyFont="1" applyBorder="1"/>
    <xf numFmtId="0" fontId="0" fillId="0" borderId="0" xfId="0" applyFont="1" applyBorder="1"/>
    <xf numFmtId="0" fontId="6" fillId="0" borderId="1" xfId="0" applyFont="1" applyBorder="1"/>
    <xf numFmtId="0" fontId="3" fillId="0" borderId="0" xfId="0" applyFont="1" applyBorder="1"/>
    <xf numFmtId="0" fontId="0" fillId="0" borderId="0" xfId="0" applyBorder="1"/>
    <xf numFmtId="10" fontId="0" fillId="0" borderId="0" xfId="0" applyNumberFormat="1"/>
    <xf numFmtId="0" fontId="7" fillId="0" borderId="0" xfId="0" applyFont="1" applyBorder="1"/>
    <xf numFmtId="9" fontId="7" fillId="0" borderId="0" xfId="1" applyFont="1" applyBorder="1"/>
    <xf numFmtId="0" fontId="3" fillId="0" borderId="21" xfId="0" applyFont="1" applyBorder="1"/>
    <xf numFmtId="4" fontId="3" fillId="0" borderId="21" xfId="0" applyNumberFormat="1" applyFont="1" applyBorder="1"/>
    <xf numFmtId="1" fontId="3" fillId="0" borderId="6" xfId="0" applyNumberFormat="1" applyFont="1" applyBorder="1"/>
    <xf numFmtId="0" fontId="13" fillId="0" borderId="2" xfId="0" applyFont="1" applyBorder="1" applyAlignment="1">
      <alignment horizontal="center" vertical="center"/>
    </xf>
    <xf numFmtId="171" fontId="13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171" fontId="13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7" fontId="0" fillId="0" borderId="0" xfId="0" applyNumberFormat="1"/>
    <xf numFmtId="171" fontId="10" fillId="0" borderId="22" xfId="0" applyNumberFormat="1" applyFont="1" applyBorder="1"/>
    <xf numFmtId="169" fontId="3" fillId="0" borderId="22" xfId="1" applyNumberFormat="1" applyFont="1" applyBorder="1"/>
    <xf numFmtId="0" fontId="10" fillId="0" borderId="0" xfId="0" applyFont="1"/>
    <xf numFmtId="0" fontId="0" fillId="0" borderId="0" xfId="0" applyFill="1" applyBorder="1" applyAlignment="1"/>
    <xf numFmtId="0" fontId="0" fillId="0" borderId="5" xfId="0" applyFill="1" applyBorder="1" applyAlignment="1"/>
    <xf numFmtId="0" fontId="6" fillId="0" borderId="24" xfId="0" applyFont="1" applyFill="1" applyBorder="1" applyAlignment="1">
      <alignment horizontal="center"/>
    </xf>
    <xf numFmtId="0" fontId="6" fillId="0" borderId="24" xfId="0" applyFont="1" applyFill="1" applyBorder="1" applyAlignment="1">
      <alignment horizontal="centerContinuous"/>
    </xf>
    <xf numFmtId="0" fontId="0" fillId="0" borderId="25" xfId="0" applyBorder="1"/>
    <xf numFmtId="0" fontId="0" fillId="0" borderId="27" xfId="0" applyBorder="1"/>
    <xf numFmtId="0" fontId="0" fillId="0" borderId="29" xfId="0" applyBorder="1"/>
    <xf numFmtId="15" fontId="0" fillId="0" borderId="0" xfId="0" applyNumberFormat="1"/>
    <xf numFmtId="0" fontId="12" fillId="3" borderId="0" xfId="0" applyFont="1" applyFill="1"/>
    <xf numFmtId="0" fontId="16" fillId="3" borderId="0" xfId="0" applyFont="1" applyFill="1" applyAlignment="1"/>
    <xf numFmtId="0" fontId="4" fillId="3" borderId="0" xfId="0" applyFont="1" applyFill="1"/>
    <xf numFmtId="3" fontId="18" fillId="3" borderId="0" xfId="0" applyNumberFormat="1" applyFont="1" applyFill="1"/>
    <xf numFmtId="0" fontId="20" fillId="3" borderId="0" xfId="0" applyFont="1" applyFill="1"/>
    <xf numFmtId="3" fontId="18" fillId="3" borderId="0" xfId="0" applyNumberFormat="1" applyFont="1" applyFill="1" applyBorder="1"/>
    <xf numFmtId="1" fontId="0" fillId="0" borderId="4" xfId="0" applyNumberFormat="1" applyBorder="1"/>
    <xf numFmtId="206" fontId="0" fillId="0" borderId="4" xfId="0" applyNumberFormat="1" applyBorder="1"/>
    <xf numFmtId="0" fontId="12" fillId="0" borderId="7" xfId="0" applyFont="1" applyBorder="1"/>
    <xf numFmtId="0" fontId="0" fillId="0" borderId="7" xfId="0" applyFont="1" applyBorder="1"/>
    <xf numFmtId="0" fontId="2" fillId="2" borderId="1" xfId="0" applyFont="1" applyFill="1" applyBorder="1"/>
    <xf numFmtId="174" fontId="0" fillId="0" borderId="7" xfId="0" applyNumberFormat="1" applyBorder="1"/>
    <xf numFmtId="174" fontId="0" fillId="0" borderId="8" xfId="0" applyNumberFormat="1" applyBorder="1"/>
    <xf numFmtId="169" fontId="3" fillId="0" borderId="6" xfId="1" applyNumberFormat="1" applyFont="1" applyBorder="1"/>
    <xf numFmtId="10" fontId="10" fillId="0" borderId="7" xfId="0" applyNumberFormat="1" applyFont="1" applyBorder="1"/>
    <xf numFmtId="10" fontId="0" fillId="0" borderId="8" xfId="0" applyNumberFormat="1" applyBorder="1"/>
    <xf numFmtId="0" fontId="0" fillId="0" borderId="38" xfId="0" applyBorder="1"/>
    <xf numFmtId="10" fontId="11" fillId="0" borderId="38" xfId="0" applyNumberFormat="1" applyFont="1" applyBorder="1"/>
    <xf numFmtId="10" fontId="11" fillId="0" borderId="7" xfId="0" applyNumberFormat="1" applyFont="1" applyBorder="1"/>
    <xf numFmtId="10" fontId="0" fillId="0" borderId="7" xfId="0" applyNumberFormat="1" applyBorder="1"/>
    <xf numFmtId="2" fontId="0" fillId="0" borderId="8" xfId="0" applyNumberFormat="1" applyBorder="1"/>
    <xf numFmtId="10" fontId="1" fillId="0" borderId="6" xfId="1" applyNumberFormat="1" applyFont="1" applyBorder="1"/>
    <xf numFmtId="208" fontId="0" fillId="0" borderId="0" xfId="0" applyNumberFormat="1"/>
    <xf numFmtId="209" fontId="0" fillId="0" borderId="0" xfId="0" applyNumberFormat="1"/>
    <xf numFmtId="209" fontId="3" fillId="0" borderId="6" xfId="0" applyNumberFormat="1" applyFont="1" applyBorder="1"/>
    <xf numFmtId="174" fontId="11" fillId="0" borderId="0" xfId="0" applyNumberFormat="1" applyFont="1"/>
    <xf numFmtId="174" fontId="0" fillId="0" borderId="0" xfId="0" applyNumberFormat="1"/>
    <xf numFmtId="174" fontId="0" fillId="0" borderId="0" xfId="0" applyNumberFormat="1" applyBorder="1"/>
    <xf numFmtId="174" fontId="0" fillId="0" borderId="5" xfId="0" applyNumberFormat="1" applyBorder="1"/>
    <xf numFmtId="208" fontId="0" fillId="0" borderId="0" xfId="0" applyNumberFormat="1" applyBorder="1"/>
    <xf numFmtId="208" fontId="0" fillId="0" borderId="5" xfId="0" applyNumberFormat="1" applyBorder="1"/>
    <xf numFmtId="0" fontId="0" fillId="6" borderId="15" xfId="0" applyFill="1" applyBorder="1"/>
    <xf numFmtId="10" fontId="10" fillId="6" borderId="16" xfId="0" applyNumberFormat="1" applyFont="1" applyFill="1" applyBorder="1"/>
    <xf numFmtId="10" fontId="11" fillId="6" borderId="16" xfId="1" applyNumberFormat="1" applyFont="1" applyFill="1" applyBorder="1"/>
    <xf numFmtId="10" fontId="10" fillId="6" borderId="16" xfId="1" applyNumberFormat="1" applyFont="1" applyFill="1" applyBorder="1"/>
    <xf numFmtId="9" fontId="0" fillId="6" borderId="16" xfId="0" applyNumberFormat="1" applyFill="1" applyBorder="1"/>
    <xf numFmtId="173" fontId="0" fillId="6" borderId="16" xfId="0" applyNumberFormat="1" applyFill="1" applyBorder="1"/>
    <xf numFmtId="9" fontId="10" fillId="6" borderId="16" xfId="1" applyFont="1" applyFill="1" applyBorder="1"/>
    <xf numFmtId="9" fontId="0" fillId="6" borderId="16" xfId="1" applyNumberFormat="1" applyFont="1" applyFill="1" applyBorder="1"/>
    <xf numFmtId="171" fontId="10" fillId="6" borderId="16" xfId="0" applyNumberFormat="1" applyFont="1" applyFill="1" applyBorder="1"/>
    <xf numFmtId="174" fontId="10" fillId="6" borderId="16" xfId="0" applyNumberFormat="1" applyFont="1" applyFill="1" applyBorder="1"/>
    <xf numFmtId="0" fontId="0" fillId="6" borderId="17" xfId="0" applyFill="1" applyBorder="1"/>
    <xf numFmtId="174" fontId="0" fillId="6" borderId="18" xfId="0" applyNumberFormat="1" applyFill="1" applyBorder="1"/>
    <xf numFmtId="0" fontId="2" fillId="7" borderId="11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0" fillId="6" borderId="29" xfId="0" applyFill="1" applyBorder="1"/>
    <xf numFmtId="0" fontId="0" fillId="6" borderId="30" xfId="0" applyFill="1" applyBorder="1"/>
    <xf numFmtId="0" fontId="2" fillId="7" borderId="42" xfId="0" applyFont="1" applyFill="1" applyBorder="1" applyAlignment="1">
      <alignment horizontal="center"/>
    </xf>
    <xf numFmtId="0" fontId="2" fillId="7" borderId="43" xfId="0" applyFont="1" applyFill="1" applyBorder="1" applyAlignment="1">
      <alignment horizontal="center"/>
    </xf>
    <xf numFmtId="0" fontId="2" fillId="7" borderId="1" xfId="0" applyFont="1" applyFill="1" applyBorder="1"/>
    <xf numFmtId="0" fontId="5" fillId="4" borderId="0" xfId="0" applyFont="1" applyFill="1" applyBorder="1"/>
    <xf numFmtId="9" fontId="3" fillId="4" borderId="0" xfId="0" applyNumberFormat="1" applyFont="1" applyFill="1"/>
    <xf numFmtId="169" fontId="6" fillId="6" borderId="7" xfId="0" applyNumberFormat="1" applyFont="1" applyFill="1" applyBorder="1"/>
    <xf numFmtId="0" fontId="2" fillId="2" borderId="0" xfId="0" applyFont="1" applyFill="1"/>
    <xf numFmtId="0" fontId="15" fillId="7" borderId="37" xfId="0" applyFont="1" applyFill="1" applyBorder="1" applyAlignment="1">
      <alignment horizontal="center"/>
    </xf>
    <xf numFmtId="0" fontId="17" fillId="7" borderId="0" xfId="0" applyFont="1" applyFill="1" applyBorder="1"/>
    <xf numFmtId="9" fontId="17" fillId="7" borderId="0" xfId="1" applyFont="1" applyFill="1" applyBorder="1"/>
    <xf numFmtId="0" fontId="19" fillId="7" borderId="0" xfId="0" applyFont="1" applyFill="1" applyBorder="1"/>
    <xf numFmtId="9" fontId="19" fillId="7" borderId="0" xfId="1" applyFont="1" applyFill="1" applyBorder="1"/>
    <xf numFmtId="3" fontId="19" fillId="7" borderId="0" xfId="0" applyNumberFormat="1" applyFont="1" applyFill="1" applyBorder="1" applyAlignment="1">
      <alignment horizontal="center"/>
    </xf>
    <xf numFmtId="9" fontId="19" fillId="7" borderId="0" xfId="0" applyNumberFormat="1" applyFont="1" applyFill="1" applyBorder="1" applyAlignment="1">
      <alignment horizontal="center"/>
    </xf>
    <xf numFmtId="169" fontId="19" fillId="7" borderId="0" xfId="1" applyNumberFormat="1" applyFont="1" applyFill="1" applyBorder="1" applyAlignment="1">
      <alignment horizontal="center"/>
    </xf>
    <xf numFmtId="0" fontId="21" fillId="7" borderId="0" xfId="0" applyFont="1" applyFill="1" applyBorder="1" applyAlignment="1">
      <alignment horizontal="center"/>
    </xf>
    <xf numFmtId="3" fontId="22" fillId="6" borderId="7" xfId="0" applyNumberFormat="1" applyFont="1" applyFill="1" applyBorder="1"/>
    <xf numFmtId="206" fontId="22" fillId="6" borderId="7" xfId="0" applyNumberFormat="1" applyFont="1" applyFill="1" applyBorder="1"/>
    <xf numFmtId="0" fontId="22" fillId="6" borderId="7" xfId="0" applyFont="1" applyFill="1" applyBorder="1"/>
    <xf numFmtId="0" fontId="25" fillId="6" borderId="7" xfId="0" applyFont="1" applyFill="1" applyBorder="1"/>
    <xf numFmtId="0" fontId="23" fillId="5" borderId="7" xfId="0" applyFont="1" applyFill="1" applyBorder="1"/>
    <xf numFmtId="3" fontId="23" fillId="5" borderId="7" xfId="0" applyNumberFormat="1" applyFont="1" applyFill="1" applyBorder="1"/>
    <xf numFmtId="0" fontId="24" fillId="5" borderId="7" xfId="0" applyFont="1" applyFill="1" applyBorder="1"/>
    <xf numFmtId="206" fontId="23" fillId="5" borderId="7" xfId="0" applyNumberFormat="1" applyFont="1" applyFill="1" applyBorder="1"/>
    <xf numFmtId="0" fontId="15" fillId="7" borderId="4" xfId="0" applyFont="1" applyFill="1" applyBorder="1"/>
    <xf numFmtId="3" fontId="15" fillId="7" borderId="4" xfId="0" applyNumberFormat="1" applyFont="1" applyFill="1" applyBorder="1"/>
    <xf numFmtId="0" fontId="2" fillId="7" borderId="4" xfId="0" applyFont="1" applyFill="1" applyBorder="1"/>
    <xf numFmtId="0" fontId="0" fillId="0" borderId="19" xfId="0" applyBorder="1"/>
    <xf numFmtId="206" fontId="0" fillId="0" borderId="19" xfId="0" applyNumberFormat="1" applyBorder="1"/>
    <xf numFmtId="1" fontId="0" fillId="0" borderId="19" xfId="0" applyNumberFormat="1" applyBorder="1"/>
    <xf numFmtId="206" fontId="0" fillId="0" borderId="7" xfId="0" applyNumberFormat="1" applyBorder="1"/>
    <xf numFmtId="1" fontId="0" fillId="0" borderId="7" xfId="0" applyNumberFormat="1" applyBorder="1"/>
    <xf numFmtId="0" fontId="2" fillId="7" borderId="6" xfId="0" applyFont="1" applyFill="1" applyBorder="1" applyAlignment="1">
      <alignment horizontal="center"/>
    </xf>
    <xf numFmtId="169" fontId="2" fillId="7" borderId="4" xfId="1" applyNumberFormat="1" applyFont="1" applyFill="1" applyBorder="1"/>
    <xf numFmtId="0" fontId="2" fillId="7" borderId="3" xfId="0" applyFont="1" applyFill="1" applyBorder="1"/>
    <xf numFmtId="208" fontId="2" fillId="7" borderId="3" xfId="0" applyNumberFormat="1" applyFont="1" applyFill="1" applyBorder="1"/>
    <xf numFmtId="4" fontId="2" fillId="7" borderId="6" xfId="0" applyNumberFormat="1" applyFont="1" applyFill="1" applyBorder="1" applyAlignment="1">
      <alignment horizontal="center"/>
    </xf>
    <xf numFmtId="0" fontId="2" fillId="7" borderId="6" xfId="0" applyFont="1" applyFill="1" applyBorder="1"/>
    <xf numFmtId="9" fontId="2" fillId="7" borderId="6" xfId="1" applyFont="1" applyFill="1" applyBorder="1"/>
    <xf numFmtId="208" fontId="2" fillId="7" borderId="6" xfId="0" applyNumberFormat="1" applyFont="1" applyFill="1" applyBorder="1"/>
    <xf numFmtId="0" fontId="6" fillId="6" borderId="19" xfId="0" applyFont="1" applyFill="1" applyBorder="1"/>
    <xf numFmtId="206" fontId="6" fillId="6" borderId="19" xfId="0" applyNumberFormat="1" applyFont="1" applyFill="1" applyBorder="1"/>
    <xf numFmtId="0" fontId="6" fillId="6" borderId="7" xfId="0" applyFont="1" applyFill="1" applyBorder="1"/>
    <xf numFmtId="9" fontId="6" fillId="6" borderId="7" xfId="0" applyNumberFormat="1" applyFont="1" applyFill="1" applyBorder="1"/>
    <xf numFmtId="0" fontId="30" fillId="6" borderId="8" xfId="0" applyFont="1" applyFill="1" applyBorder="1"/>
    <xf numFmtId="2" fontId="30" fillId="6" borderId="8" xfId="0" applyNumberFormat="1" applyFont="1" applyFill="1" applyBorder="1"/>
    <xf numFmtId="2" fontId="30" fillId="6" borderId="4" xfId="0" applyNumberFormat="1" applyFont="1" applyFill="1" applyBorder="1"/>
    <xf numFmtId="0" fontId="27" fillId="3" borderId="0" xfId="0" applyFont="1" applyFill="1" applyBorder="1"/>
    <xf numFmtId="0" fontId="26" fillId="3" borderId="0" xfId="0" applyFont="1" applyFill="1" applyBorder="1"/>
    <xf numFmtId="0" fontId="27" fillId="3" borderId="2" xfId="0" applyFont="1" applyFill="1" applyBorder="1"/>
    <xf numFmtId="0" fontId="27" fillId="3" borderId="6" xfId="0" applyFont="1" applyFill="1" applyBorder="1"/>
    <xf numFmtId="209" fontId="29" fillId="6" borderId="39" xfId="0" applyNumberFormat="1" applyFont="1" applyFill="1" applyBorder="1"/>
    <xf numFmtId="10" fontId="5" fillId="6" borderId="40" xfId="1" applyNumberFormat="1" applyFont="1" applyFill="1" applyBorder="1"/>
    <xf numFmtId="206" fontId="5" fillId="6" borderId="2" xfId="0" applyNumberFormat="1" applyFont="1" applyFill="1" applyBorder="1"/>
    <xf numFmtId="209" fontId="28" fillId="6" borderId="39" xfId="0" applyNumberFormat="1" applyFont="1" applyFill="1" applyBorder="1"/>
    <xf numFmtId="169" fontId="5" fillId="6" borderId="2" xfId="0" applyNumberFormat="1" applyFont="1" applyFill="1" applyBorder="1"/>
    <xf numFmtId="169" fontId="5" fillId="6" borderId="2" xfId="1" applyNumberFormat="1" applyFont="1" applyFill="1" applyBorder="1"/>
    <xf numFmtId="0" fontId="4" fillId="7" borderId="42" xfId="0" applyFont="1" applyFill="1" applyBorder="1"/>
    <xf numFmtId="0" fontId="4" fillId="7" borderId="24" xfId="0" applyFont="1" applyFill="1" applyBorder="1"/>
    <xf numFmtId="0" fontId="2" fillId="7" borderId="24" xfId="0" applyFont="1" applyFill="1" applyBorder="1" applyAlignment="1">
      <alignment horizontal="center"/>
    </xf>
    <xf numFmtId="0" fontId="0" fillId="7" borderId="44" xfId="0" applyFill="1" applyBorder="1"/>
    <xf numFmtId="169" fontId="5" fillId="6" borderId="45" xfId="0" applyNumberFormat="1" applyFont="1" applyFill="1" applyBorder="1"/>
    <xf numFmtId="0" fontId="2" fillId="7" borderId="46" xfId="0" applyFont="1" applyFill="1" applyBorder="1" applyAlignment="1">
      <alignment horizontal="center" textRotation="90"/>
    </xf>
    <xf numFmtId="208" fontId="0" fillId="0" borderId="28" xfId="0" applyNumberFormat="1" applyBorder="1"/>
    <xf numFmtId="0" fontId="2" fillId="7" borderId="47" xfId="0" applyFont="1" applyFill="1" applyBorder="1" applyAlignment="1">
      <alignment horizontal="center" textRotation="90"/>
    </xf>
    <xf numFmtId="10" fontId="5" fillId="6" borderId="41" xfId="1" applyNumberFormat="1" applyFont="1" applyFill="1" applyBorder="1"/>
    <xf numFmtId="208" fontId="0" fillId="0" borderId="30" xfId="0" applyNumberFormat="1" applyBorder="1"/>
    <xf numFmtId="0" fontId="2" fillId="7" borderId="48" xfId="0" applyFont="1" applyFill="1" applyBorder="1" applyAlignment="1">
      <alignment horizontal="center" textRotation="90"/>
    </xf>
    <xf numFmtId="0" fontId="4" fillId="7" borderId="49" xfId="0" applyFont="1" applyFill="1" applyBorder="1"/>
    <xf numFmtId="206" fontId="5" fillId="6" borderId="45" xfId="0" applyNumberFormat="1" applyFont="1" applyFill="1" applyBorder="1"/>
    <xf numFmtId="174" fontId="0" fillId="0" borderId="28" xfId="0" applyNumberFormat="1" applyBorder="1"/>
    <xf numFmtId="174" fontId="0" fillId="0" borderId="30" xfId="0" applyNumberFormat="1" applyBorder="1"/>
    <xf numFmtId="9" fontId="31" fillId="0" borderId="2" xfId="1" applyFont="1" applyBorder="1"/>
    <xf numFmtId="0" fontId="31" fillId="0" borderId="0" xfId="0" applyFont="1"/>
    <xf numFmtId="9" fontId="31" fillId="0" borderId="0" xfId="1" applyFont="1"/>
    <xf numFmtId="9" fontId="31" fillId="0" borderId="0" xfId="0" applyNumberFormat="1" applyFont="1"/>
    <xf numFmtId="209" fontId="3" fillId="0" borderId="2" xfId="0" applyNumberFormat="1" applyFont="1" applyBorder="1"/>
    <xf numFmtId="209" fontId="3" fillId="0" borderId="4" xfId="0" applyNumberFormat="1" applyFont="1" applyBorder="1"/>
    <xf numFmtId="209" fontId="3" fillId="0" borderId="0" xfId="0" applyNumberFormat="1" applyFont="1"/>
    <xf numFmtId="209" fontId="3" fillId="0" borderId="3" xfId="0" applyNumberFormat="1" applyFont="1" applyBorder="1"/>
    <xf numFmtId="209" fontId="0" fillId="0" borderId="0" xfId="0" applyNumberFormat="1" applyFont="1"/>
    <xf numFmtId="209" fontId="0" fillId="0" borderId="4" xfId="0" applyNumberFormat="1" applyBorder="1"/>
    <xf numFmtId="209" fontId="3" fillId="0" borderId="1" xfId="0" applyNumberFormat="1" applyFont="1" applyBorder="1"/>
    <xf numFmtId="209" fontId="0" fillId="0" borderId="7" xfId="0" applyNumberFormat="1" applyBorder="1"/>
    <xf numFmtId="209" fontId="0" fillId="0" borderId="8" xfId="0" applyNumberFormat="1" applyBorder="1"/>
    <xf numFmtId="0" fontId="7" fillId="6" borderId="0" xfId="0" applyFont="1" applyFill="1"/>
    <xf numFmtId="169" fontId="7" fillId="6" borderId="0" xfId="1" applyNumberFormat="1" applyFont="1" applyFill="1"/>
    <xf numFmtId="169" fontId="7" fillId="6" borderId="0" xfId="0" applyNumberFormat="1" applyFont="1" applyFill="1"/>
    <xf numFmtId="209" fontId="0" fillId="0" borderId="0" xfId="0" applyNumberFormat="1" applyFont="1" applyBorder="1"/>
    <xf numFmtId="209" fontId="6" fillId="0" borderId="1" xfId="0" applyNumberFormat="1" applyFont="1" applyBorder="1"/>
    <xf numFmtId="209" fontId="0" fillId="0" borderId="2" xfId="0" applyNumberFormat="1" applyBorder="1"/>
    <xf numFmtId="209" fontId="3" fillId="0" borderId="0" xfId="0" applyNumberFormat="1" applyFont="1" applyBorder="1"/>
    <xf numFmtId="209" fontId="0" fillId="0" borderId="0" xfId="0" applyNumberFormat="1" applyBorder="1"/>
    <xf numFmtId="209" fontId="6" fillId="0" borderId="0" xfId="0" applyNumberFormat="1" applyFont="1"/>
    <xf numFmtId="209" fontId="0" fillId="0" borderId="1" xfId="0" applyNumberFormat="1" applyBorder="1"/>
    <xf numFmtId="0" fontId="32" fillId="0" borderId="0" xfId="0" applyFont="1"/>
    <xf numFmtId="209" fontId="11" fillId="0" borderId="0" xfId="0" applyNumberFormat="1" applyFont="1"/>
    <xf numFmtId="0" fontId="2" fillId="7" borderId="0" xfId="0" applyFont="1" applyFill="1" applyAlignment="1">
      <alignment horizontal="center"/>
    </xf>
    <xf numFmtId="0" fontId="3" fillId="0" borderId="19" xfId="0" applyFont="1" applyBorder="1"/>
    <xf numFmtId="0" fontId="3" fillId="0" borderId="7" xfId="0" applyFont="1" applyBorder="1"/>
    <xf numFmtId="0" fontId="2" fillId="7" borderId="5" xfId="0" applyFont="1" applyFill="1" applyBorder="1" applyAlignment="1">
      <alignment horizontal="center"/>
    </xf>
    <xf numFmtId="0" fontId="0" fillId="7" borderId="0" xfId="0" applyFill="1"/>
    <xf numFmtId="0" fontId="2" fillId="7" borderId="25" xfId="0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0" fontId="0" fillId="0" borderId="28" xfId="0" applyBorder="1"/>
    <xf numFmtId="0" fontId="0" fillId="0" borderId="5" xfId="0" applyBorder="1"/>
    <xf numFmtId="0" fontId="0" fillId="0" borderId="30" xfId="0" applyBorder="1"/>
    <xf numFmtId="0" fontId="0" fillId="8" borderId="0" xfId="0" applyFill="1"/>
    <xf numFmtId="10" fontId="0" fillId="0" borderId="0" xfId="1" applyNumberFormat="1" applyFont="1"/>
    <xf numFmtId="10" fontId="3" fillId="0" borderId="2" xfId="1" applyNumberFormat="1" applyFont="1" applyBorder="1"/>
    <xf numFmtId="10" fontId="3" fillId="0" borderId="6" xfId="1" applyNumberFormat="1" applyFont="1" applyBorder="1"/>
    <xf numFmtId="10" fontId="3" fillId="0" borderId="4" xfId="1" applyNumberFormat="1" applyFont="1" applyBorder="1"/>
    <xf numFmtId="0" fontId="3" fillId="6" borderId="13" xfId="0" applyNumberFormat="1" applyFont="1" applyFill="1" applyBorder="1"/>
    <xf numFmtId="0" fontId="3" fillId="6" borderId="17" xfId="0" applyNumberFormat="1" applyFont="1" applyFill="1" applyBorder="1"/>
    <xf numFmtId="171" fontId="3" fillId="6" borderId="14" xfId="0" applyNumberFormat="1" applyFont="1" applyFill="1" applyBorder="1"/>
    <xf numFmtId="9" fontId="3" fillId="6" borderId="18" xfId="1" applyFont="1" applyFill="1" applyBorder="1"/>
    <xf numFmtId="0" fontId="5" fillId="0" borderId="31" xfId="0" applyFont="1" applyBorder="1"/>
    <xf numFmtId="2" fontId="5" fillId="0" borderId="32" xfId="0" applyNumberFormat="1" applyFont="1" applyBorder="1"/>
    <xf numFmtId="0" fontId="5" fillId="0" borderId="33" xfId="0" applyFont="1" applyBorder="1"/>
    <xf numFmtId="2" fontId="5" fillId="0" borderId="34" xfId="0" applyNumberFormat="1" applyFont="1" applyBorder="1"/>
    <xf numFmtId="0" fontId="5" fillId="0" borderId="35" xfId="0" applyFont="1" applyBorder="1"/>
    <xf numFmtId="2" fontId="5" fillId="0" borderId="36" xfId="0" applyNumberFormat="1" applyFont="1" applyBorder="1"/>
    <xf numFmtId="0" fontId="0" fillId="0" borderId="23" xfId="0" applyBorder="1"/>
    <xf numFmtId="0" fontId="0" fillId="0" borderId="26" xfId="0" applyBorder="1"/>
    <xf numFmtId="0" fontId="6" fillId="0" borderId="42" xfId="0" applyFont="1" applyFill="1" applyBorder="1" applyAlignment="1">
      <alignment horizontal="centerContinuous"/>
    </xf>
    <xf numFmtId="0" fontId="0" fillId="0" borderId="27" xfId="0" applyFill="1" applyBorder="1" applyAlignment="1"/>
    <xf numFmtId="0" fontId="0" fillId="0" borderId="29" xfId="0" applyFill="1" applyBorder="1" applyAlignment="1"/>
    <xf numFmtId="0" fontId="6" fillId="0" borderId="42" xfId="0" applyFont="1" applyFill="1" applyBorder="1" applyAlignment="1">
      <alignment horizontal="center"/>
    </xf>
    <xf numFmtId="0" fontId="6" fillId="0" borderId="43" xfId="0" applyFont="1" applyFill="1" applyBorder="1" applyAlignment="1">
      <alignment horizontal="center"/>
    </xf>
    <xf numFmtId="0" fontId="0" fillId="0" borderId="28" xfId="0" applyFill="1" applyBorder="1" applyAlignment="1"/>
    <xf numFmtId="0" fontId="0" fillId="0" borderId="30" xfId="0" applyFill="1" applyBorder="1" applyAlignment="1"/>
    <xf numFmtId="0" fontId="3" fillId="0" borderId="27" xfId="0" applyFont="1" applyBorder="1"/>
    <xf numFmtId="174" fontId="0" fillId="0" borderId="20" xfId="0" applyNumberFormat="1" applyBorder="1"/>
    <xf numFmtId="0" fontId="2" fillId="7" borderId="25" xfId="0" applyFont="1" applyFill="1" applyBorder="1"/>
    <xf numFmtId="0" fontId="0" fillId="7" borderId="23" xfId="0" applyFill="1" applyBorder="1"/>
    <xf numFmtId="0" fontId="0" fillId="7" borderId="26" xfId="0" applyFill="1" applyBorder="1"/>
    <xf numFmtId="0" fontId="3" fillId="0" borderId="28" xfId="0" applyFont="1" applyBorder="1"/>
    <xf numFmtId="174" fontId="0" fillId="0" borderId="16" xfId="0" applyNumberFormat="1" applyBorder="1"/>
    <xf numFmtId="174" fontId="0" fillId="0" borderId="18" xfId="0" applyNumberFormat="1" applyBorder="1"/>
    <xf numFmtId="0" fontId="0" fillId="0" borderId="15" xfId="0" applyBorder="1"/>
    <xf numFmtId="0" fontId="0" fillId="0" borderId="17" xfId="0" applyBorder="1"/>
    <xf numFmtId="0" fontId="0" fillId="0" borderId="20" xfId="0" applyBorder="1"/>
    <xf numFmtId="189" fontId="6" fillId="0" borderId="7" xfId="1" applyNumberFormat="1" applyFont="1" applyBorder="1"/>
    <xf numFmtId="0" fontId="2" fillId="7" borderId="50" xfId="0" applyFont="1" applyFill="1" applyBorder="1"/>
    <xf numFmtId="0" fontId="3" fillId="6" borderId="51" xfId="0" applyFont="1" applyFill="1" applyBorder="1"/>
    <xf numFmtId="0" fontId="3" fillId="6" borderId="52" xfId="0" applyFont="1" applyFill="1" applyBorder="1"/>
    <xf numFmtId="0" fontId="34" fillId="6" borderId="10" xfId="0" applyFont="1" applyFill="1" applyBorder="1" applyAlignment="1">
      <alignment horizontal="center" vertical="center" wrapText="1"/>
    </xf>
    <xf numFmtId="0" fontId="34" fillId="6" borderId="54" xfId="0" applyFont="1" applyFill="1" applyBorder="1" applyAlignment="1">
      <alignment horizontal="center" vertical="center" wrapText="1"/>
    </xf>
    <xf numFmtId="0" fontId="3" fillId="6" borderId="55" xfId="0" applyFont="1" applyFill="1" applyBorder="1" applyAlignment="1">
      <alignment horizontal="center" vertical="center"/>
    </xf>
    <xf numFmtId="0" fontId="0" fillId="6" borderId="23" xfId="0" applyFont="1" applyFill="1" applyBorder="1" applyAlignment="1">
      <alignment horizontal="left" vertical="top" wrapText="1"/>
    </xf>
    <xf numFmtId="0" fontId="0" fillId="6" borderId="26" xfId="0" applyFont="1" applyFill="1" applyBorder="1" applyAlignment="1">
      <alignment horizontal="left" vertical="top" wrapText="1"/>
    </xf>
    <xf numFmtId="0" fontId="3" fillId="6" borderId="56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horizontal="left" vertical="top" wrapText="1"/>
    </xf>
    <xf numFmtId="0" fontId="0" fillId="6" borderId="28" xfId="0" applyFont="1" applyFill="1" applyBorder="1" applyAlignment="1">
      <alignment horizontal="left" vertical="top" wrapText="1"/>
    </xf>
    <xf numFmtId="0" fontId="3" fillId="6" borderId="57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left" vertical="top" wrapText="1"/>
    </xf>
    <xf numFmtId="0" fontId="0" fillId="6" borderId="30" xfId="0" applyFont="1" applyFill="1" applyBorder="1" applyAlignment="1">
      <alignment horizontal="left" vertical="top" wrapText="1"/>
    </xf>
    <xf numFmtId="0" fontId="33" fillId="7" borderId="13" xfId="0" applyFont="1" applyFill="1" applyBorder="1" applyAlignment="1">
      <alignment horizontal="center" vertical="center" wrapText="1"/>
    </xf>
    <xf numFmtId="0" fontId="33" fillId="7" borderId="38" xfId="0" applyFont="1" applyFill="1" applyBorder="1" applyAlignment="1">
      <alignment horizontal="center" vertical="center" wrapText="1"/>
    </xf>
    <xf numFmtId="0" fontId="33" fillId="7" borderId="14" xfId="0" applyFont="1" applyFill="1" applyBorder="1" applyAlignment="1">
      <alignment horizontal="center" vertical="center" wrapText="1"/>
    </xf>
    <xf numFmtId="0" fontId="0" fillId="6" borderId="15" xfId="0" applyFont="1" applyFill="1" applyBorder="1" applyAlignment="1">
      <alignment horizontal="center"/>
    </xf>
    <xf numFmtId="0" fontId="0" fillId="6" borderId="7" xfId="0" applyFont="1" applyFill="1" applyBorder="1" applyAlignment="1">
      <alignment horizontal="center"/>
    </xf>
    <xf numFmtId="0" fontId="0" fillId="6" borderId="16" xfId="0" applyFont="1" applyFill="1" applyBorder="1" applyAlignment="1">
      <alignment horizontal="center"/>
    </xf>
    <xf numFmtId="0" fontId="0" fillId="6" borderId="15" xfId="0" applyFont="1" applyFill="1" applyBorder="1" applyAlignment="1">
      <alignment horizontal="center" vertical="center" wrapText="1"/>
    </xf>
    <xf numFmtId="0" fontId="0" fillId="6" borderId="7" xfId="0" applyFont="1" applyFill="1" applyBorder="1" applyAlignment="1">
      <alignment horizontal="center" vertical="center" wrapText="1"/>
    </xf>
    <xf numFmtId="0" fontId="0" fillId="6" borderId="16" xfId="0" applyFont="1" applyFill="1" applyBorder="1" applyAlignment="1">
      <alignment horizontal="center" vertical="center" wrapText="1"/>
    </xf>
    <xf numFmtId="0" fontId="35" fillId="6" borderId="53" xfId="2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chemeClr val="accent6">
                    <a:lumMod val="50000"/>
                  </a:schemeClr>
                </a:solidFill>
              </a:rPr>
              <a:t>Football</a:t>
            </a:r>
            <a:r>
              <a:rPr lang="en-IN" sz="1100" b="1" baseline="0">
                <a:solidFill>
                  <a:schemeClr val="accent6">
                    <a:lumMod val="50000"/>
                  </a:schemeClr>
                </a:solidFill>
              </a:rPr>
              <a:t> Field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'FootBall Field Analysis'!$B$12:$D$12</c:f>
              <c:strCache>
                <c:ptCount val="3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'FootBall Field Analysis'!$E$11:$I$11</c:f>
              <c:strCache>
                <c:ptCount val="5"/>
                <c:pt idx="0">
                  <c:v>Comps Median</c:v>
                </c:pt>
                <c:pt idx="1">
                  <c:v>Comps Average</c:v>
                </c:pt>
                <c:pt idx="2">
                  <c:v>DCF</c:v>
                </c:pt>
                <c:pt idx="3">
                  <c:v>52-Week Hi/LO</c:v>
                </c:pt>
                <c:pt idx="4">
                  <c:v>Market Consenses</c:v>
                </c:pt>
              </c:strCache>
            </c:strRef>
          </c:cat>
          <c:val>
            <c:numRef>
              <c:f>'FootBall Field Analysis'!$E$12:$I$12</c:f>
              <c:numCache>
                <c:formatCode>"₹"\ #,##0</c:formatCode>
                <c:ptCount val="5"/>
                <c:pt idx="0">
                  <c:v>219.84256443551226</c:v>
                </c:pt>
                <c:pt idx="1">
                  <c:v>258.52744291745688</c:v>
                </c:pt>
                <c:pt idx="2">
                  <c:v>458</c:v>
                </c:pt>
                <c:pt idx="3">
                  <c:v>234</c:v>
                </c:pt>
                <c:pt idx="4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19-4A23-AD05-C76D89B04AF3}"/>
            </c:ext>
          </c:extLst>
        </c:ser>
        <c:ser>
          <c:idx val="1"/>
          <c:order val="1"/>
          <c:tx>
            <c:strRef>
              <c:f>'FootBall Field Analysis'!$B$13:$D$13</c:f>
              <c:strCache>
                <c:ptCount val="3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Analysis'!$E$11:$I$11</c:f>
              <c:strCache>
                <c:ptCount val="5"/>
                <c:pt idx="0">
                  <c:v>Comps Median</c:v>
                </c:pt>
                <c:pt idx="1">
                  <c:v>Comps Average</c:v>
                </c:pt>
                <c:pt idx="2">
                  <c:v>DCF</c:v>
                </c:pt>
                <c:pt idx="3">
                  <c:v>52-Week Hi/LO</c:v>
                </c:pt>
                <c:pt idx="4">
                  <c:v>Market Consenses</c:v>
                </c:pt>
              </c:strCache>
            </c:strRef>
          </c:cat>
          <c:val>
            <c:numRef>
              <c:f>'FootBall Field Analysis'!$E$13:$I$13</c:f>
              <c:numCache>
                <c:formatCode>"₹"\ #,##0</c:formatCode>
                <c:ptCount val="5"/>
                <c:pt idx="0">
                  <c:v>219.84256443551226</c:v>
                </c:pt>
                <c:pt idx="1">
                  <c:v>258.52744291745688</c:v>
                </c:pt>
                <c:pt idx="2">
                  <c:v>458</c:v>
                </c:pt>
                <c:pt idx="3">
                  <c:v>234</c:v>
                </c:pt>
                <c:pt idx="4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19-4A23-AD05-C76D89B04AF3}"/>
            </c:ext>
          </c:extLst>
        </c:ser>
        <c:ser>
          <c:idx val="2"/>
          <c:order val="2"/>
          <c:tx>
            <c:strRef>
              <c:f>'FootBall Field Analysis'!$B$14:$D$14</c:f>
              <c:strCache>
                <c:ptCount val="3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'FootBall Field Analysis'!$E$11:$I$11</c:f>
              <c:strCache>
                <c:ptCount val="5"/>
                <c:pt idx="0">
                  <c:v>Comps Median</c:v>
                </c:pt>
                <c:pt idx="1">
                  <c:v>Comps Average</c:v>
                </c:pt>
                <c:pt idx="2">
                  <c:v>DCF</c:v>
                </c:pt>
                <c:pt idx="3">
                  <c:v>52-Week Hi/LO</c:v>
                </c:pt>
                <c:pt idx="4">
                  <c:v>Market Consenses</c:v>
                </c:pt>
              </c:strCache>
            </c:strRef>
          </c:cat>
          <c:val>
            <c:numRef>
              <c:f>'FootBall Field Analysis'!$E$14:$I$14</c:f>
              <c:numCache>
                <c:formatCode>"₹"\ #,##0</c:formatCode>
                <c:ptCount val="5"/>
                <c:pt idx="0">
                  <c:v>172.74881773478128</c:v>
                </c:pt>
                <c:pt idx="1">
                  <c:v>210.49358148783824</c:v>
                </c:pt>
                <c:pt idx="2">
                  <c:v>131</c:v>
                </c:pt>
                <c:pt idx="3">
                  <c:v>79</c:v>
                </c:pt>
                <c:pt idx="4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19-4A23-AD05-C76D89B04AF3}"/>
            </c:ext>
          </c:extLst>
        </c:ser>
        <c:ser>
          <c:idx val="3"/>
          <c:order val="3"/>
          <c:tx>
            <c:strRef>
              <c:f>'FootBall Field Analysis'!$B$15:$D$15</c:f>
              <c:strCache>
                <c:ptCount val="3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Analysis'!$E$11:$I$11</c:f>
              <c:strCache>
                <c:ptCount val="5"/>
                <c:pt idx="0">
                  <c:v>Comps Median</c:v>
                </c:pt>
                <c:pt idx="1">
                  <c:v>Comps Average</c:v>
                </c:pt>
                <c:pt idx="2">
                  <c:v>DCF</c:v>
                </c:pt>
                <c:pt idx="3">
                  <c:v>52-Week Hi/LO</c:v>
                </c:pt>
                <c:pt idx="4">
                  <c:v>Market Consenses</c:v>
                </c:pt>
              </c:strCache>
            </c:strRef>
          </c:cat>
          <c:val>
            <c:numRef>
              <c:f>'FootBall Field Analysis'!$E$15:$I$15</c:f>
              <c:numCache>
                <c:formatCode>"₹"\ #,##0</c:formatCode>
                <c:ptCount val="5"/>
                <c:pt idx="0">
                  <c:v>172.74881773478128</c:v>
                </c:pt>
                <c:pt idx="1">
                  <c:v>210.49358148783824</c:v>
                </c:pt>
                <c:pt idx="2">
                  <c:v>131</c:v>
                </c:pt>
                <c:pt idx="3">
                  <c:v>79</c:v>
                </c:pt>
                <c:pt idx="4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19-4A23-AD05-C76D89B04A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accent6">
                  <a:lumMod val="7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650454800"/>
        <c:axId val="650455128"/>
      </c:stockChart>
      <c:catAx>
        <c:axId val="65045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55128"/>
        <c:crosses val="autoZero"/>
        <c:auto val="1"/>
        <c:lblAlgn val="ctr"/>
        <c:lblOffset val="100"/>
        <c:noMultiLvlLbl val="0"/>
      </c:catAx>
      <c:valAx>
        <c:axId val="650455128"/>
        <c:scaling>
          <c:orientation val="minMax"/>
        </c:scaling>
        <c:delete val="0"/>
        <c:axPos val="l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5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238125</xdr:colOff>
      <xdr:row>6</xdr:row>
      <xdr:rowOff>180976</xdr:rowOff>
    </xdr:from>
    <xdr:to>
      <xdr:col>15</xdr:col>
      <xdr:colOff>114300</xdr:colOff>
      <xdr:row>24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1323976"/>
          <a:ext cx="4143375" cy="346709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0</xdr:row>
      <xdr:rowOff>85725</xdr:rowOff>
    </xdr:from>
    <xdr:to>
      <xdr:col>2</xdr:col>
      <xdr:colOff>1103104</xdr:colOff>
      <xdr:row>4</xdr:row>
      <xdr:rowOff>153751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85725"/>
          <a:ext cx="2569954" cy="830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025" name="AutoShape 1" descr="Contact Us | Paradeep Phosphates Limited (PPL)"/>
        <xdr:cNvSpPr>
          <a:spLocks noChangeAspect="1" noChangeArrowheads="1"/>
        </xdr:cNvSpPr>
      </xdr:nvSpPr>
      <xdr:spPr bwMode="auto">
        <a:xfrm>
          <a:off x="123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026" name="AutoShape 2" descr="Contact Us | Paradeep Phosphates Limited (PPL)"/>
        <xdr:cNvSpPr>
          <a:spLocks noChangeAspect="1" noChangeArrowheads="1"/>
        </xdr:cNvSpPr>
      </xdr:nvSpPr>
      <xdr:spPr bwMode="auto">
        <a:xfrm>
          <a:off x="123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027" name="AutoShape 3" descr="Search: paradeep phosphet Logo PNG Vectors Free Download"/>
        <xdr:cNvSpPr>
          <a:spLocks noChangeAspect="1" noChangeArrowheads="1"/>
        </xdr:cNvSpPr>
      </xdr:nvSpPr>
      <xdr:spPr bwMode="auto">
        <a:xfrm>
          <a:off x="123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1029" name="AutoShape 5" descr="Search: paradeep phosphet Logo PNG Vectors Free Download"/>
        <xdr:cNvSpPr>
          <a:spLocks noChangeAspect="1" noChangeArrowheads="1"/>
        </xdr:cNvSpPr>
      </xdr:nvSpPr>
      <xdr:spPr bwMode="auto">
        <a:xfrm>
          <a:off x="12382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125801</xdr:colOff>
      <xdr:row>0</xdr:row>
      <xdr:rowOff>89859</xdr:rowOff>
    </xdr:from>
    <xdr:to>
      <xdr:col>1</xdr:col>
      <xdr:colOff>2569953</xdr:colOff>
      <xdr:row>4</xdr:row>
      <xdr:rowOff>165074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801" y="89859"/>
          <a:ext cx="2569954" cy="8300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1</xdr:col>
      <xdr:colOff>2569954</xdr:colOff>
      <xdr:row>4</xdr:row>
      <xdr:rowOff>125176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57150"/>
          <a:ext cx="2569954" cy="8300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114300</xdr:rowOff>
    </xdr:from>
    <xdr:to>
      <xdr:col>1</xdr:col>
      <xdr:colOff>2598529</xdr:colOff>
      <xdr:row>4</xdr:row>
      <xdr:rowOff>182326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14300"/>
          <a:ext cx="2569954" cy="8300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66675</xdr:rowOff>
    </xdr:from>
    <xdr:to>
      <xdr:col>1</xdr:col>
      <xdr:colOff>2579479</xdr:colOff>
      <xdr:row>4</xdr:row>
      <xdr:rowOff>134701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66675"/>
          <a:ext cx="2569954" cy="8300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95250</xdr:rowOff>
    </xdr:from>
    <xdr:to>
      <xdr:col>4</xdr:col>
      <xdr:colOff>17254</xdr:colOff>
      <xdr:row>4</xdr:row>
      <xdr:rowOff>163276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95250"/>
          <a:ext cx="2569954" cy="8300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47625</xdr:rowOff>
    </xdr:from>
    <xdr:to>
      <xdr:col>3</xdr:col>
      <xdr:colOff>188704</xdr:colOff>
      <xdr:row>4</xdr:row>
      <xdr:rowOff>115651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47625"/>
          <a:ext cx="2569954" cy="8300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47625</xdr:rowOff>
    </xdr:from>
    <xdr:to>
      <xdr:col>1</xdr:col>
      <xdr:colOff>2569954</xdr:colOff>
      <xdr:row>4</xdr:row>
      <xdr:rowOff>115651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47625"/>
          <a:ext cx="2569954" cy="83002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85725</xdr:rowOff>
    </xdr:from>
    <xdr:to>
      <xdr:col>1</xdr:col>
      <xdr:colOff>2598529</xdr:colOff>
      <xdr:row>4</xdr:row>
      <xdr:rowOff>153751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85725"/>
          <a:ext cx="2569954" cy="83002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85725</xdr:rowOff>
    </xdr:from>
    <xdr:to>
      <xdr:col>2</xdr:col>
      <xdr:colOff>579229</xdr:colOff>
      <xdr:row>4</xdr:row>
      <xdr:rowOff>153751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85725"/>
          <a:ext cx="2569954" cy="83002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66675</xdr:rowOff>
    </xdr:from>
    <xdr:to>
      <xdr:col>1</xdr:col>
      <xdr:colOff>2569954</xdr:colOff>
      <xdr:row>4</xdr:row>
      <xdr:rowOff>134701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66675"/>
          <a:ext cx="2569954" cy="83002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2569954</xdr:colOff>
      <xdr:row>4</xdr:row>
      <xdr:rowOff>144226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76200"/>
          <a:ext cx="2569954" cy="83002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1</xdr:col>
      <xdr:colOff>2569954</xdr:colOff>
      <xdr:row>4</xdr:row>
      <xdr:rowOff>125176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57150"/>
          <a:ext cx="2569954" cy="83002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17523</xdr:colOff>
      <xdr:row>1</xdr:row>
      <xdr:rowOff>91849</xdr:rowOff>
    </xdr:from>
    <xdr:to>
      <xdr:col>5</xdr:col>
      <xdr:colOff>339397</xdr:colOff>
      <xdr:row>6</xdr:row>
      <xdr:rowOff>52378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348" y="282349"/>
          <a:ext cx="2826949" cy="91302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42772</xdr:colOff>
      <xdr:row>0</xdr:row>
      <xdr:rowOff>70076</xdr:rowOff>
    </xdr:from>
    <xdr:to>
      <xdr:col>5</xdr:col>
      <xdr:colOff>174326</xdr:colOff>
      <xdr:row>4</xdr:row>
      <xdr:rowOff>138102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597" y="70076"/>
          <a:ext cx="2569954" cy="83002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133350</xdr:rowOff>
    </xdr:from>
    <xdr:to>
      <xdr:col>5</xdr:col>
      <xdr:colOff>198229</xdr:colOff>
      <xdr:row>5</xdr:row>
      <xdr:rowOff>10876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133350"/>
          <a:ext cx="2569954" cy="83002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47625</xdr:rowOff>
    </xdr:from>
    <xdr:to>
      <xdr:col>5</xdr:col>
      <xdr:colOff>550654</xdr:colOff>
      <xdr:row>4</xdr:row>
      <xdr:rowOff>115651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47625"/>
          <a:ext cx="2569954" cy="83002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95250</xdr:rowOff>
    </xdr:from>
    <xdr:to>
      <xdr:col>3</xdr:col>
      <xdr:colOff>264904</xdr:colOff>
      <xdr:row>5</xdr:row>
      <xdr:rowOff>163276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285750"/>
          <a:ext cx="2569954" cy="83002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19050</xdr:rowOff>
    </xdr:from>
    <xdr:to>
      <xdr:col>2</xdr:col>
      <xdr:colOff>731629</xdr:colOff>
      <xdr:row>5</xdr:row>
      <xdr:rowOff>87076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209550"/>
          <a:ext cx="2569954" cy="83002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15</xdr:row>
      <xdr:rowOff>161925</xdr:rowOff>
    </xdr:from>
    <xdr:to>
      <xdr:col>9</xdr:col>
      <xdr:colOff>19050</xdr:colOff>
      <xdr:row>30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504825</xdr:colOff>
      <xdr:row>23</xdr:row>
      <xdr:rowOff>180975</xdr:rowOff>
    </xdr:from>
    <xdr:to>
      <xdr:col>8</xdr:col>
      <xdr:colOff>1152525</xdr:colOff>
      <xdr:row>24</xdr:row>
      <xdr:rowOff>9525</xdr:rowOff>
    </xdr:to>
    <xdr:cxnSp macro="">
      <xdr:nvCxnSpPr>
        <xdr:cNvPr id="4" name="Straight Connector 3"/>
        <xdr:cNvCxnSpPr/>
      </xdr:nvCxnSpPr>
      <xdr:spPr>
        <a:xfrm flipV="1">
          <a:off x="628650" y="4591050"/>
          <a:ext cx="5876925" cy="19050"/>
        </a:xfrm>
        <a:prstGeom prst="line">
          <a:avLst/>
        </a:prstGeom>
        <a:ln w="127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paradeepphosphate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P29"/>
  <sheetViews>
    <sheetView showGridLines="0" topLeftCell="B1" workbookViewId="0">
      <selection activeCell="E3" sqref="E3"/>
    </sheetView>
  </sheetViews>
  <sheetFormatPr defaultRowHeight="15"/>
  <cols>
    <col min="1" max="1" width="1.85546875" customWidth="1"/>
    <col min="2" max="2" width="22.5703125" bestFit="1" customWidth="1"/>
    <col min="3" max="3" width="21.85546875" customWidth="1"/>
    <col min="4" max="4" width="4.42578125" customWidth="1"/>
    <col min="5" max="5" width="20.140625" bestFit="1" customWidth="1"/>
    <col min="8" max="8" width="26.28515625" customWidth="1"/>
  </cols>
  <sheetData>
    <row r="6" spans="2:16">
      <c r="B6" s="223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</row>
    <row r="7" spans="2:16" ht="15.75" thickBot="1"/>
    <row r="8" spans="2:16">
      <c r="B8" s="122" t="s">
        <v>120</v>
      </c>
      <c r="C8" s="123"/>
      <c r="E8" s="266" t="s">
        <v>282</v>
      </c>
      <c r="F8" s="280" t="s">
        <v>367</v>
      </c>
      <c r="G8" s="281"/>
      <c r="H8" s="282"/>
    </row>
    <row r="9" spans="2:16" ht="15.75" thickBot="1">
      <c r="B9" s="120" t="s">
        <v>116</v>
      </c>
      <c r="C9" s="121">
        <f>IF(B9="Best Case",1,IF(B9="Base Case",2,3))</f>
        <v>1</v>
      </c>
      <c r="E9" s="267" t="s">
        <v>361</v>
      </c>
      <c r="F9" s="283" t="s">
        <v>371</v>
      </c>
      <c r="G9" s="284"/>
      <c r="H9" s="285"/>
    </row>
    <row r="10" spans="2:16">
      <c r="E10" s="267" t="s">
        <v>362</v>
      </c>
      <c r="F10" s="286" t="s">
        <v>369</v>
      </c>
      <c r="G10" s="287"/>
      <c r="H10" s="288"/>
    </row>
    <row r="11" spans="2:16">
      <c r="E11" s="267" t="s">
        <v>363</v>
      </c>
      <c r="F11" s="286" t="s">
        <v>370</v>
      </c>
      <c r="G11" s="287"/>
      <c r="H11" s="288"/>
    </row>
    <row r="12" spans="2:16" ht="15.75" thickBot="1">
      <c r="E12" s="267" t="s">
        <v>364</v>
      </c>
      <c r="F12" s="283" t="s">
        <v>368</v>
      </c>
      <c r="G12" s="284"/>
      <c r="H12" s="285"/>
    </row>
    <row r="13" spans="2:16" ht="15.75" thickBot="1">
      <c r="B13" s="118" t="s">
        <v>163</v>
      </c>
      <c r="C13" s="119"/>
      <c r="E13" s="268" t="s">
        <v>365</v>
      </c>
      <c r="F13" s="289" t="s">
        <v>372</v>
      </c>
      <c r="G13" s="269"/>
      <c r="H13" s="270"/>
    </row>
    <row r="14" spans="2:16">
      <c r="B14" s="106" t="s">
        <v>170</v>
      </c>
      <c r="C14" s="107">
        <v>5.0000000000000001E-3</v>
      </c>
      <c r="E14" s="271" t="s">
        <v>366</v>
      </c>
      <c r="F14" s="272" t="s">
        <v>373</v>
      </c>
      <c r="G14" s="272"/>
      <c r="H14" s="273"/>
    </row>
    <row r="15" spans="2:16">
      <c r="B15" s="106" t="s">
        <v>119</v>
      </c>
      <c r="C15" s="108">
        <f>'Revenue BuildUp'!C23</f>
        <v>0.2</v>
      </c>
      <c r="E15" s="274"/>
      <c r="F15" s="275"/>
      <c r="G15" s="275"/>
      <c r="H15" s="276"/>
    </row>
    <row r="16" spans="2:16">
      <c r="B16" s="106" t="s">
        <v>164</v>
      </c>
      <c r="C16" s="109">
        <v>6.5189999999999998E-2</v>
      </c>
      <c r="E16" s="274"/>
      <c r="F16" s="275"/>
      <c r="G16" s="275"/>
      <c r="H16" s="276"/>
    </row>
    <row r="17" spans="2:16">
      <c r="B17" s="106" t="s">
        <v>165</v>
      </c>
      <c r="C17" s="110">
        <f>'cost Build_up'!$G$35</f>
        <v>0.29058992773062281</v>
      </c>
      <c r="E17" s="274"/>
      <c r="F17" s="275"/>
      <c r="G17" s="275"/>
      <c r="H17" s="276"/>
    </row>
    <row r="18" spans="2:16">
      <c r="B18" s="106" t="s">
        <v>166</v>
      </c>
      <c r="C18" s="111">
        <f>'Comps Valuation'!E34</f>
        <v>12.82810642109887</v>
      </c>
      <c r="E18" s="274"/>
      <c r="F18" s="275"/>
      <c r="G18" s="275"/>
      <c r="H18" s="276"/>
    </row>
    <row r="19" spans="2:16">
      <c r="B19" s="106" t="s">
        <v>167</v>
      </c>
      <c r="C19" s="112">
        <v>0.05</v>
      </c>
      <c r="E19" s="274"/>
      <c r="F19" s="275"/>
      <c r="G19" s="275"/>
      <c r="H19" s="276"/>
    </row>
    <row r="20" spans="2:16">
      <c r="B20" s="106" t="s">
        <v>168</v>
      </c>
      <c r="C20" s="113">
        <f>WACC!C28</f>
        <v>8.2017570056366743E-2</v>
      </c>
      <c r="E20" s="274"/>
      <c r="F20" s="275"/>
      <c r="G20" s="275"/>
      <c r="H20" s="276"/>
    </row>
    <row r="21" spans="2:16">
      <c r="B21" s="106" t="s">
        <v>203</v>
      </c>
      <c r="C21" s="114">
        <f>'Balance Sheet'!F39/Assumption!C22</f>
        <v>8147.7860000000001</v>
      </c>
      <c r="E21" s="274"/>
      <c r="F21" s="275"/>
      <c r="G21" s="275"/>
      <c r="H21" s="276"/>
    </row>
    <row r="22" spans="2:16">
      <c r="B22" s="106" t="s">
        <v>202</v>
      </c>
      <c r="C22" s="114">
        <v>10</v>
      </c>
      <c r="E22" s="274"/>
      <c r="F22" s="275"/>
      <c r="G22" s="275"/>
      <c r="H22" s="276"/>
    </row>
    <row r="23" spans="2:16">
      <c r="B23" s="106" t="s">
        <v>169</v>
      </c>
      <c r="C23" s="115">
        <v>220.13</v>
      </c>
      <c r="E23" s="274"/>
      <c r="F23" s="275"/>
      <c r="G23" s="275"/>
      <c r="H23" s="276"/>
    </row>
    <row r="24" spans="2:16" ht="15.75" thickBot="1">
      <c r="B24" s="116" t="s">
        <v>204</v>
      </c>
      <c r="C24" s="117">
        <f>C23*C21</f>
        <v>1793572.13218</v>
      </c>
      <c r="E24" s="274"/>
      <c r="F24" s="275"/>
      <c r="G24" s="275"/>
      <c r="H24" s="276"/>
    </row>
    <row r="25" spans="2:16">
      <c r="E25" s="274"/>
      <c r="F25" s="275"/>
      <c r="G25" s="275"/>
      <c r="H25" s="276"/>
    </row>
    <row r="26" spans="2:16">
      <c r="E26" s="274"/>
      <c r="F26" s="275"/>
      <c r="G26" s="275"/>
      <c r="H26" s="276"/>
    </row>
    <row r="27" spans="2:16" ht="15.75" thickBot="1">
      <c r="E27" s="277"/>
      <c r="F27" s="278"/>
      <c r="G27" s="278"/>
      <c r="H27" s="279"/>
    </row>
    <row r="29" spans="2:16"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23"/>
      <c r="P29" s="223"/>
    </row>
  </sheetData>
  <mergeCells count="10">
    <mergeCell ref="E14:E27"/>
    <mergeCell ref="F14:H27"/>
    <mergeCell ref="B13:C13"/>
    <mergeCell ref="B8:C8"/>
    <mergeCell ref="F8:H8"/>
    <mergeCell ref="F9:H9"/>
    <mergeCell ref="F10:H10"/>
    <mergeCell ref="F11:H11"/>
    <mergeCell ref="F12:H12"/>
    <mergeCell ref="F13:H13"/>
  </mergeCells>
  <dataValidations count="2">
    <dataValidation type="list" allowBlank="1" showInputMessage="1" showErrorMessage="1" sqref="B9">
      <formula1>"Best Case, Base Case, Worst Case"</formula1>
    </dataValidation>
    <dataValidation type="list" allowBlank="1" showInputMessage="1" showErrorMessage="1" sqref="C19">
      <formula1>"4%,5%,6%"</formula1>
    </dataValidation>
  </dataValidations>
  <hyperlinks>
    <hyperlink ref="F13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zoomScale="106" zoomScaleNormal="106" workbookViewId="0">
      <selection activeCell="B4" sqref="B4"/>
    </sheetView>
  </sheetViews>
  <sheetFormatPr defaultRowHeight="15"/>
  <cols>
    <col min="1" max="1" width="1.85546875" customWidth="1"/>
    <col min="2" max="2" width="102.28515625" bestFit="1" customWidth="1"/>
    <col min="3" max="4" width="10.7109375" style="5" bestFit="1" customWidth="1"/>
    <col min="5" max="5" width="11.7109375" style="5" bestFit="1" customWidth="1"/>
    <col min="6" max="6" width="11.42578125" style="5" customWidth="1"/>
    <col min="7" max="16384" width="9.140625" style="5"/>
  </cols>
  <sheetData>
    <row r="1" spans="2:7" customFormat="1"/>
    <row r="2" spans="2:7" customFormat="1"/>
    <row r="3" spans="2:7" customFormat="1"/>
    <row r="4" spans="2:7" customFormat="1"/>
    <row r="5" spans="2:7" customFormat="1"/>
    <row r="6" spans="2:7" customFormat="1" ht="15.75" thickBot="1">
      <c r="B6" s="222" t="s">
        <v>337</v>
      </c>
      <c r="C6" s="222"/>
      <c r="D6" s="222"/>
      <c r="E6" s="222"/>
      <c r="F6" s="222"/>
    </row>
    <row r="7" spans="2:7" customFormat="1"/>
    <row r="8" spans="2:7" customFormat="1">
      <c r="B8" s="124" t="s">
        <v>0</v>
      </c>
      <c r="C8" s="124">
        <v>2021</v>
      </c>
      <c r="D8" s="124">
        <f>C8+1</f>
        <v>2022</v>
      </c>
      <c r="E8" s="124">
        <f t="shared" ref="E8:G8" si="0">D8+1</f>
        <v>2023</v>
      </c>
      <c r="F8" s="124">
        <f t="shared" si="0"/>
        <v>2024</v>
      </c>
    </row>
    <row r="9" spans="2:7" customFormat="1">
      <c r="B9" s="1" t="s">
        <v>1</v>
      </c>
    </row>
    <row r="10" spans="2:7">
      <c r="B10" t="s">
        <v>13</v>
      </c>
      <c r="C10" s="98">
        <v>516473.35</v>
      </c>
      <c r="D10" s="98">
        <v>785871.92</v>
      </c>
      <c r="E10" s="98">
        <v>1334072.19</v>
      </c>
      <c r="F10" s="98">
        <v>1157511.98</v>
      </c>
    </row>
    <row r="11" spans="2:7">
      <c r="B11" t="s">
        <v>2</v>
      </c>
      <c r="C11" s="98">
        <v>1920.6</v>
      </c>
      <c r="D11" s="98">
        <v>3926.99</v>
      </c>
      <c r="E11" s="98">
        <v>9107</v>
      </c>
      <c r="F11" s="98">
        <v>6883.51</v>
      </c>
    </row>
    <row r="12" spans="2:7">
      <c r="B12" s="7" t="s">
        <v>14</v>
      </c>
      <c r="C12" s="198">
        <f>SUM(C10:C11)</f>
        <v>518393.94999999995</v>
      </c>
      <c r="D12" s="198">
        <f t="shared" ref="D12" si="1">SUM(D10:D11)</f>
        <v>789798.91</v>
      </c>
      <c r="E12" s="198">
        <f t="shared" ref="E12" si="2">SUM(E10:E11)</f>
        <v>1343179.19</v>
      </c>
      <c r="F12" s="198">
        <f t="shared" ref="F12" si="3">SUM(F10:F11)</f>
        <v>1164395.49</v>
      </c>
      <c r="G12" s="6"/>
    </row>
    <row r="13" spans="2:7">
      <c r="B13" s="1" t="s">
        <v>3</v>
      </c>
      <c r="C13" s="98"/>
      <c r="D13" s="98"/>
      <c r="E13" s="98"/>
      <c r="F13" s="98"/>
    </row>
    <row r="14" spans="2:7">
      <c r="B14" t="s">
        <v>4</v>
      </c>
      <c r="C14" s="98">
        <v>226512.43</v>
      </c>
      <c r="D14" s="98">
        <v>524622.29</v>
      </c>
      <c r="E14" s="98">
        <v>1043969.52</v>
      </c>
      <c r="F14" s="98">
        <v>760903.84</v>
      </c>
    </row>
    <row r="15" spans="2:7">
      <c r="B15" t="s">
        <v>5</v>
      </c>
      <c r="C15" s="98">
        <v>138020.07</v>
      </c>
      <c r="D15" s="98">
        <v>142828.18</v>
      </c>
      <c r="E15" s="98">
        <v>18226.12</v>
      </c>
      <c r="F15" s="98">
        <v>105508.61</v>
      </c>
    </row>
    <row r="16" spans="2:7">
      <c r="B16" t="s">
        <v>6</v>
      </c>
      <c r="C16" s="98">
        <v>22583.41</v>
      </c>
      <c r="D16" s="98">
        <v>-39324.17</v>
      </c>
      <c r="E16" s="98">
        <v>-877.73</v>
      </c>
      <c r="F16" s="98">
        <v>33431.870000000003</v>
      </c>
    </row>
    <row r="17" spans="2:7">
      <c r="B17" t="s">
        <v>7</v>
      </c>
      <c r="C17" s="98">
        <v>13919</v>
      </c>
      <c r="D17" s="98">
        <v>13850.44</v>
      </c>
      <c r="E17" s="98">
        <v>21320.25</v>
      </c>
      <c r="F17" s="98">
        <v>22978.77</v>
      </c>
    </row>
    <row r="18" spans="2:7">
      <c r="B18" t="s">
        <v>15</v>
      </c>
      <c r="C18" s="98">
        <v>11142.53</v>
      </c>
      <c r="D18" s="98">
        <v>8554.14</v>
      </c>
      <c r="E18" s="98">
        <v>29124.25</v>
      </c>
      <c r="F18" s="98">
        <v>36602.699999999997</v>
      </c>
    </row>
    <row r="19" spans="2:7">
      <c r="B19" t="s">
        <v>8</v>
      </c>
      <c r="C19" s="98">
        <v>8332.81</v>
      </c>
      <c r="D19" s="98">
        <v>9045.7199999999993</v>
      </c>
      <c r="E19" s="98">
        <v>17515.310000000001</v>
      </c>
      <c r="F19" s="98">
        <v>21067.03</v>
      </c>
    </row>
    <row r="20" spans="2:7">
      <c r="B20" t="s">
        <v>9</v>
      </c>
      <c r="C20" s="98">
        <v>61213.9</v>
      </c>
      <c r="D20" s="98">
        <v>76784.2</v>
      </c>
      <c r="E20" s="98">
        <v>171335.01</v>
      </c>
      <c r="F20" s="98">
        <v>169885.95</v>
      </c>
    </row>
    <row r="21" spans="2:7">
      <c r="B21" s="7" t="s">
        <v>11</v>
      </c>
      <c r="C21" s="198">
        <f>SUM(C14:C20)</f>
        <v>481724.15</v>
      </c>
      <c r="D21" s="198">
        <f>SUM(D14:D20)</f>
        <v>736360.79999999981</v>
      </c>
      <c r="E21" s="198">
        <f t="shared" ref="E21:G21" si="4">SUM(E14:E20)</f>
        <v>1300612.7300000002</v>
      </c>
      <c r="F21" s="198">
        <f t="shared" si="4"/>
        <v>1150378.77</v>
      </c>
      <c r="G21" s="6"/>
    </row>
    <row r="22" spans="2:7">
      <c r="C22" s="98"/>
      <c r="D22" s="98"/>
      <c r="E22" s="98"/>
      <c r="F22" s="98"/>
    </row>
    <row r="23" spans="2:7">
      <c r="B23" s="1" t="s">
        <v>16</v>
      </c>
      <c r="C23" s="200">
        <f>C12-C21</f>
        <v>36669.79999999993</v>
      </c>
      <c r="D23" s="200">
        <f t="shared" ref="D23:G23" si="5">D12-D21</f>
        <v>53438.110000000219</v>
      </c>
      <c r="E23" s="200">
        <f t="shared" si="5"/>
        <v>42566.45999999973</v>
      </c>
      <c r="F23" s="200">
        <f t="shared" si="5"/>
        <v>14016.719999999972</v>
      </c>
      <c r="G23" s="6"/>
    </row>
    <row r="24" spans="2:7">
      <c r="B24" t="s">
        <v>17</v>
      </c>
      <c r="C24" s="98">
        <v>-19.5</v>
      </c>
      <c r="D24" s="98">
        <v>61.12</v>
      </c>
      <c r="E24" s="98">
        <v>50.52</v>
      </c>
      <c r="F24" s="98">
        <v>66.7</v>
      </c>
    </row>
    <row r="25" spans="2:7">
      <c r="C25" s="98"/>
      <c r="D25" s="98"/>
      <c r="E25" s="98"/>
      <c r="F25" s="98"/>
    </row>
    <row r="26" spans="2:7">
      <c r="B26" s="7" t="s">
        <v>18</v>
      </c>
      <c r="C26" s="198">
        <f>SUM(C23:C24)</f>
        <v>36650.29999999993</v>
      </c>
      <c r="D26" s="198">
        <f>SUM(D23:D24)</f>
        <v>53499.230000000221</v>
      </c>
      <c r="E26" s="198">
        <f t="shared" ref="E26:G26" si="6">SUM(E23:E24)</f>
        <v>42616.979999999727</v>
      </c>
      <c r="F26" s="198">
        <f t="shared" si="6"/>
        <v>14083.419999999973</v>
      </c>
      <c r="G26" s="6"/>
    </row>
    <row r="27" spans="2:7">
      <c r="B27" t="s">
        <v>12</v>
      </c>
      <c r="C27" s="98">
        <v>14323.48</v>
      </c>
      <c r="D27" s="98">
        <v>13653.91</v>
      </c>
      <c r="E27" s="98">
        <v>12197.72</v>
      </c>
      <c r="F27" s="98">
        <v>4092.5</v>
      </c>
    </row>
    <row r="28" spans="2:7" ht="15.75" thickBot="1">
      <c r="B28" s="8" t="s">
        <v>19</v>
      </c>
      <c r="C28" s="201">
        <f>C26-C27</f>
        <v>22326.819999999931</v>
      </c>
      <c r="D28" s="201">
        <f t="shared" ref="D28:G28" si="7">D26-D27</f>
        <v>39845.320000000225</v>
      </c>
      <c r="E28" s="201">
        <f t="shared" si="7"/>
        <v>30419.259999999726</v>
      </c>
      <c r="F28" s="201">
        <f t="shared" si="7"/>
        <v>9990.9199999999728</v>
      </c>
      <c r="G28" s="6"/>
    </row>
    <row r="29" spans="2:7" ht="15.75" thickTop="1">
      <c r="C29" s="98"/>
      <c r="D29" s="98"/>
      <c r="E29" s="98"/>
      <c r="F29" s="98"/>
    </row>
    <row r="30" spans="2:7">
      <c r="C30" s="98"/>
      <c r="D30" s="98"/>
      <c r="E30" s="98"/>
      <c r="F30" s="98"/>
    </row>
    <row r="31" spans="2:7">
      <c r="B31" s="1" t="s">
        <v>22</v>
      </c>
      <c r="C31" s="98"/>
      <c r="D31" s="98"/>
      <c r="E31" s="98"/>
      <c r="F31" s="98"/>
    </row>
    <row r="32" spans="2:7">
      <c r="B32" t="s">
        <v>20</v>
      </c>
      <c r="C32" s="98">
        <v>3.88</v>
      </c>
      <c r="D32" s="98">
        <v>6.91</v>
      </c>
      <c r="E32" s="98">
        <v>3.9</v>
      </c>
      <c r="F32" s="98">
        <v>1.22</v>
      </c>
    </row>
    <row r="33" spans="2:7">
      <c r="B33" t="s">
        <v>21</v>
      </c>
      <c r="C33" s="98">
        <v>3.88</v>
      </c>
      <c r="D33" s="98">
        <v>6.91</v>
      </c>
      <c r="E33" s="98">
        <v>3.9</v>
      </c>
      <c r="F33" s="202">
        <v>1.22</v>
      </c>
      <c r="G33" s="6"/>
    </row>
    <row r="35" spans="2:7">
      <c r="B35" s="1"/>
      <c r="C35" s="6"/>
      <c r="D35" s="6"/>
    </row>
  </sheetData>
  <mergeCells count="1">
    <mergeCell ref="B6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G71"/>
  <sheetViews>
    <sheetView showGridLines="0" workbookViewId="0">
      <selection activeCell="B1" sqref="B1"/>
    </sheetView>
  </sheetViews>
  <sheetFormatPr defaultRowHeight="15"/>
  <cols>
    <col min="1" max="1" width="1.85546875" customWidth="1"/>
    <col min="2" max="2" width="79.140625" bestFit="1" customWidth="1"/>
    <col min="3" max="4" width="10.7109375" bestFit="1" customWidth="1"/>
    <col min="5" max="5" width="11.7109375" bestFit="1" customWidth="1"/>
    <col min="6" max="6" width="10.7109375" bestFit="1" customWidth="1"/>
  </cols>
  <sheetData>
    <row r="6" spans="2:6" ht="15.75" thickBot="1">
      <c r="B6" s="222" t="s">
        <v>338</v>
      </c>
      <c r="C6" s="222"/>
      <c r="D6" s="222"/>
      <c r="E6" s="222"/>
      <c r="F6" s="222"/>
    </row>
    <row r="8" spans="2:6">
      <c r="B8" s="124" t="s">
        <v>0</v>
      </c>
      <c r="C8" s="124">
        <v>2021</v>
      </c>
      <c r="D8" s="124">
        <f>C8+1</f>
        <v>2022</v>
      </c>
      <c r="E8" s="124">
        <f t="shared" ref="E8:F8" si="0">D8+1</f>
        <v>2023</v>
      </c>
      <c r="F8" s="124">
        <f t="shared" si="0"/>
        <v>2024</v>
      </c>
    </row>
    <row r="10" spans="2:6">
      <c r="B10" s="1" t="s">
        <v>23</v>
      </c>
    </row>
    <row r="11" spans="2:6">
      <c r="B11" s="1" t="s">
        <v>24</v>
      </c>
    </row>
    <row r="12" spans="2:6">
      <c r="B12" t="s">
        <v>25</v>
      </c>
      <c r="C12" s="98">
        <v>122510.42</v>
      </c>
      <c r="D12" s="98">
        <v>125973.84</v>
      </c>
      <c r="E12" s="98">
        <v>279571.01</v>
      </c>
      <c r="F12" s="98">
        <v>335317.89</v>
      </c>
    </row>
    <row r="13" spans="2:6">
      <c r="B13" t="s">
        <v>26</v>
      </c>
      <c r="C13" s="98">
        <v>22005.97</v>
      </c>
      <c r="D13" s="98">
        <v>33629.46</v>
      </c>
      <c r="E13" s="98">
        <v>69686.320000000007</v>
      </c>
      <c r="F13" s="98">
        <v>37219.279999999999</v>
      </c>
    </row>
    <row r="14" spans="2:6">
      <c r="B14" t="s">
        <v>27</v>
      </c>
      <c r="C14" s="98">
        <v>0</v>
      </c>
      <c r="D14" s="98">
        <v>0</v>
      </c>
      <c r="E14" s="98">
        <v>1619.27</v>
      </c>
      <c r="F14" s="98">
        <v>1790.53</v>
      </c>
    </row>
    <row r="15" spans="2:6">
      <c r="B15" t="s">
        <v>66</v>
      </c>
      <c r="C15" s="98">
        <v>0</v>
      </c>
      <c r="D15" s="98">
        <v>0</v>
      </c>
      <c r="E15" s="98">
        <v>5806.94</v>
      </c>
      <c r="F15" s="98">
        <v>5806.94</v>
      </c>
    </row>
    <row r="16" spans="2:6">
      <c r="B16" t="s">
        <v>28</v>
      </c>
      <c r="C16" s="98">
        <v>110.55</v>
      </c>
      <c r="D16" s="98">
        <v>86.23</v>
      </c>
      <c r="E16" s="98">
        <v>177.84</v>
      </c>
      <c r="F16" s="98">
        <v>184.5</v>
      </c>
    </row>
    <row r="17" spans="2:6">
      <c r="B17" t="s">
        <v>61</v>
      </c>
      <c r="C17" s="98">
        <v>278.52</v>
      </c>
      <c r="D17" s="98">
        <v>289.43</v>
      </c>
      <c r="E17" s="98">
        <v>315.29000000000002</v>
      </c>
      <c r="F17" s="98">
        <v>324.63</v>
      </c>
    </row>
    <row r="18" spans="2:6">
      <c r="B18" s="1"/>
      <c r="C18" s="98">
        <v>0</v>
      </c>
      <c r="D18" s="98">
        <v>0</v>
      </c>
      <c r="E18" s="98">
        <v>0</v>
      </c>
      <c r="F18" s="98">
        <v>0</v>
      </c>
    </row>
    <row r="19" spans="2:6">
      <c r="B19" t="s">
        <v>62</v>
      </c>
      <c r="C19" s="98">
        <v>1246.99</v>
      </c>
      <c r="D19" s="98">
        <v>1236.5</v>
      </c>
      <c r="E19" s="98">
        <v>1106.6199999999999</v>
      </c>
      <c r="F19" s="98">
        <v>5950.43</v>
      </c>
    </row>
    <row r="20" spans="2:6">
      <c r="B20" t="s">
        <v>30</v>
      </c>
      <c r="C20" s="98">
        <v>2321.36</v>
      </c>
      <c r="D20" s="98">
        <v>118276.53</v>
      </c>
      <c r="E20" s="98">
        <v>5900.04</v>
      </c>
      <c r="F20" s="98">
        <v>3828.56</v>
      </c>
    </row>
    <row r="21" spans="2:6">
      <c r="C21" s="98"/>
      <c r="D21" s="98"/>
      <c r="E21" s="98"/>
      <c r="F21" s="98"/>
    </row>
    <row r="22" spans="2:6">
      <c r="B22" s="7" t="s">
        <v>31</v>
      </c>
      <c r="C22" s="198">
        <f>SUM(C12:C21)</f>
        <v>148473.80999999997</v>
      </c>
      <c r="D22" s="198">
        <f>SUM(D12:D21)</f>
        <v>279491.99</v>
      </c>
      <c r="E22" s="198">
        <f>SUM(E12:E21)</f>
        <v>364183.33</v>
      </c>
      <c r="F22" s="198">
        <f>SUM(F12:F21)</f>
        <v>390422.76000000007</v>
      </c>
    </row>
    <row r="23" spans="2:6">
      <c r="C23" s="98"/>
      <c r="D23" s="98"/>
      <c r="E23" s="98"/>
      <c r="F23" s="98"/>
    </row>
    <row r="24" spans="2:6">
      <c r="B24" s="1" t="s">
        <v>32</v>
      </c>
      <c r="C24" s="98"/>
      <c r="D24" s="98"/>
      <c r="E24" s="98"/>
      <c r="F24" s="98"/>
    </row>
    <row r="25" spans="2:6">
      <c r="B25" t="s">
        <v>33</v>
      </c>
      <c r="C25" s="98">
        <v>89905.36</v>
      </c>
      <c r="D25" s="98">
        <v>229322.23999999999</v>
      </c>
      <c r="E25" s="98">
        <v>223767.72</v>
      </c>
      <c r="F25" s="98">
        <v>183082.95</v>
      </c>
    </row>
    <row r="26" spans="2:6">
      <c r="B26" t="s">
        <v>29</v>
      </c>
      <c r="C26" s="98">
        <v>12204</v>
      </c>
      <c r="D26" s="98">
        <v>55036.14</v>
      </c>
      <c r="E26" s="98">
        <v>0</v>
      </c>
      <c r="F26" s="98">
        <v>0</v>
      </c>
    </row>
    <row r="27" spans="2:6">
      <c r="B27" s="9" t="s">
        <v>34</v>
      </c>
      <c r="C27" s="98">
        <v>115559.36</v>
      </c>
      <c r="D27" s="98">
        <v>90247.54</v>
      </c>
      <c r="E27" s="98">
        <v>368973.75</v>
      </c>
      <c r="F27" s="98">
        <v>272047.93</v>
      </c>
    </row>
    <row r="28" spans="2:6">
      <c r="B28" s="9" t="s">
        <v>35</v>
      </c>
      <c r="C28" s="98">
        <v>9152.4500000000007</v>
      </c>
      <c r="D28" s="98">
        <v>53784.1</v>
      </c>
      <c r="E28" s="98">
        <v>4303.42</v>
      </c>
      <c r="F28" s="98">
        <v>9071.7900000000009</v>
      </c>
    </row>
    <row r="29" spans="2:6">
      <c r="B29" s="9" t="s">
        <v>36</v>
      </c>
      <c r="C29" s="98">
        <v>167.32</v>
      </c>
      <c r="D29" s="98">
        <v>5987.37</v>
      </c>
      <c r="E29" s="98">
        <v>6681.98</v>
      </c>
      <c r="F29" s="98">
        <v>2730.57</v>
      </c>
    </row>
    <row r="30" spans="2:6">
      <c r="B30" s="9" t="s">
        <v>37</v>
      </c>
      <c r="C30" s="98">
        <v>19591.900000000001</v>
      </c>
      <c r="D30" s="98">
        <v>33844.36</v>
      </c>
      <c r="E30" s="98">
        <v>33718.269999999997</v>
      </c>
      <c r="F30" s="98">
        <v>50419.05</v>
      </c>
    </row>
    <row r="31" spans="2:6">
      <c r="B31" t="s">
        <v>38</v>
      </c>
      <c r="C31" s="98">
        <v>47238.04</v>
      </c>
      <c r="D31" s="98">
        <v>45080.39</v>
      </c>
      <c r="E31" s="98">
        <v>64048.36</v>
      </c>
      <c r="F31" s="98">
        <v>58314.22</v>
      </c>
    </row>
    <row r="32" spans="2:6">
      <c r="B32" t="s">
        <v>63</v>
      </c>
      <c r="C32" s="98">
        <v>24.32</v>
      </c>
      <c r="D32" s="98">
        <v>23.96</v>
      </c>
      <c r="E32" s="98">
        <v>23.26</v>
      </c>
      <c r="F32" s="98">
        <v>23.26</v>
      </c>
    </row>
    <row r="33" spans="2:6">
      <c r="B33" s="7" t="s">
        <v>39</v>
      </c>
      <c r="C33" s="198">
        <f>SUM(C25:C32)</f>
        <v>293842.75</v>
      </c>
      <c r="D33" s="198">
        <f>SUM(D25:D32)</f>
        <v>513326.1</v>
      </c>
      <c r="E33" s="198">
        <f>SUM(E25:E32)</f>
        <v>701516.76</v>
      </c>
      <c r="F33" s="198">
        <f>SUM(F25:F32)</f>
        <v>575689.77</v>
      </c>
    </row>
    <row r="34" spans="2:6">
      <c r="C34" s="98"/>
      <c r="D34" s="98"/>
      <c r="E34" s="98"/>
      <c r="F34" s="98"/>
    </row>
    <row r="35" spans="2:6">
      <c r="B35" s="10" t="s">
        <v>40</v>
      </c>
      <c r="C35" s="199">
        <f>C33+C22</f>
        <v>442316.55999999994</v>
      </c>
      <c r="D35" s="199">
        <f>D33+D22</f>
        <v>792818.09</v>
      </c>
      <c r="E35" s="199">
        <f>E33+E22</f>
        <v>1065700.0900000001</v>
      </c>
      <c r="F35" s="199">
        <f>F33+F22</f>
        <v>966112.53</v>
      </c>
    </row>
    <row r="36" spans="2:6">
      <c r="C36" s="98"/>
      <c r="D36" s="98"/>
      <c r="E36" s="98"/>
      <c r="F36" s="98"/>
    </row>
    <row r="37" spans="2:6">
      <c r="B37" s="1" t="s">
        <v>41</v>
      </c>
      <c r="C37" s="98"/>
      <c r="D37" s="98"/>
      <c r="E37" s="98"/>
      <c r="F37" s="98"/>
    </row>
    <row r="38" spans="2:6">
      <c r="B38" s="1" t="s">
        <v>42</v>
      </c>
      <c r="C38" s="98"/>
      <c r="D38" s="98"/>
      <c r="E38" s="98"/>
      <c r="F38" s="98"/>
    </row>
    <row r="39" spans="2:6">
      <c r="B39" t="s">
        <v>43</v>
      </c>
      <c r="C39" s="98">
        <v>57545</v>
      </c>
      <c r="D39" s="98">
        <v>57545</v>
      </c>
      <c r="E39" s="98">
        <v>81449.759999999995</v>
      </c>
      <c r="F39" s="98">
        <v>81477.86</v>
      </c>
    </row>
    <row r="40" spans="2:6">
      <c r="B40" t="s">
        <v>44</v>
      </c>
      <c r="C40" s="98">
        <v>125205.97</v>
      </c>
      <c r="D40" s="98">
        <v>164954.74</v>
      </c>
      <c r="E40" s="98">
        <v>269020.46999999997</v>
      </c>
      <c r="F40" s="98">
        <v>274962.15000000002</v>
      </c>
    </row>
    <row r="41" spans="2:6">
      <c r="C41" s="98"/>
      <c r="D41" s="98"/>
      <c r="E41" s="98"/>
      <c r="F41" s="98"/>
    </row>
    <row r="42" spans="2:6">
      <c r="B42" s="10" t="s">
        <v>45</v>
      </c>
      <c r="C42" s="199">
        <f>SUM(C39:C40)</f>
        <v>182750.97</v>
      </c>
      <c r="D42" s="199">
        <f t="shared" ref="D42:F42" si="1">SUM(D39:D40)</f>
        <v>222499.74</v>
      </c>
      <c r="E42" s="199">
        <f t="shared" si="1"/>
        <v>350470.23</v>
      </c>
      <c r="F42" s="199">
        <f t="shared" si="1"/>
        <v>356440.01</v>
      </c>
    </row>
    <row r="43" spans="2:6">
      <c r="C43" s="98"/>
      <c r="D43" s="98"/>
      <c r="E43" s="98"/>
      <c r="F43" s="98"/>
    </row>
    <row r="44" spans="2:6">
      <c r="B44" s="1" t="s">
        <v>46</v>
      </c>
      <c r="C44" s="98"/>
      <c r="D44" s="98"/>
      <c r="E44" s="98"/>
      <c r="F44" s="98"/>
    </row>
    <row r="45" spans="2:6">
      <c r="B45" s="1" t="s">
        <v>47</v>
      </c>
      <c r="C45" s="98"/>
      <c r="D45" s="98"/>
      <c r="E45" s="98"/>
      <c r="F45" s="98"/>
    </row>
    <row r="46" spans="2:6">
      <c r="B46" t="s">
        <v>48</v>
      </c>
      <c r="C46" s="98"/>
      <c r="D46" s="98"/>
      <c r="E46" s="98"/>
      <c r="F46" s="98"/>
    </row>
    <row r="47" spans="2:6">
      <c r="B47" t="s">
        <v>49</v>
      </c>
      <c r="C47" s="98">
        <v>11341.13</v>
      </c>
      <c r="D47" s="98">
        <v>52817.08</v>
      </c>
      <c r="E47" s="98">
        <v>61188.79</v>
      </c>
      <c r="F47" s="98">
        <v>67650.58</v>
      </c>
    </row>
    <row r="48" spans="2:6">
      <c r="B48" t="s">
        <v>50</v>
      </c>
      <c r="C48" s="98">
        <v>0</v>
      </c>
      <c r="D48" s="98">
        <v>0</v>
      </c>
      <c r="E48" s="98">
        <v>1603.78</v>
      </c>
      <c r="F48" s="98">
        <v>1722.29</v>
      </c>
    </row>
    <row r="49" spans="2:7">
      <c r="B49" t="s">
        <v>64</v>
      </c>
      <c r="C49" s="98">
        <v>10.050000000000001</v>
      </c>
      <c r="D49" s="98">
        <v>286.70999999999998</v>
      </c>
      <c r="E49" s="98">
        <v>180.42</v>
      </c>
      <c r="F49" s="98">
        <v>0</v>
      </c>
      <c r="G49" s="98"/>
    </row>
    <row r="50" spans="2:7">
      <c r="B50" t="s">
        <v>52</v>
      </c>
      <c r="C50" s="98">
        <v>1974.99</v>
      </c>
      <c r="D50" s="98">
        <v>2654.83</v>
      </c>
      <c r="E50" s="98">
        <v>2379.21</v>
      </c>
      <c r="F50" s="98">
        <v>2621.4</v>
      </c>
    </row>
    <row r="51" spans="2:7">
      <c r="B51" t="s">
        <v>51</v>
      </c>
      <c r="C51" s="98">
        <v>9301.23</v>
      </c>
      <c r="D51" s="98">
        <v>9218.11</v>
      </c>
      <c r="E51" s="98">
        <v>10778.02</v>
      </c>
      <c r="F51" s="98">
        <v>15085.16</v>
      </c>
    </row>
    <row r="52" spans="2:7">
      <c r="B52" s="7" t="s">
        <v>53</v>
      </c>
      <c r="C52" s="198">
        <f>SUM(C47:C51)</f>
        <v>22627.399999999998</v>
      </c>
      <c r="D52" s="198">
        <f t="shared" ref="D52:F52" si="2">SUM(D47:D51)</f>
        <v>64976.73</v>
      </c>
      <c r="E52" s="198">
        <f t="shared" si="2"/>
        <v>76130.22</v>
      </c>
      <c r="F52" s="198">
        <f t="shared" si="2"/>
        <v>87079.43</v>
      </c>
    </row>
    <row r="53" spans="2:7">
      <c r="C53" s="98"/>
      <c r="D53" s="98"/>
      <c r="E53" s="98"/>
      <c r="F53" s="98"/>
    </row>
    <row r="54" spans="2:7">
      <c r="B54" s="1" t="s">
        <v>54</v>
      </c>
      <c r="C54" s="98"/>
      <c r="D54" s="98"/>
      <c r="E54" s="98"/>
      <c r="F54" s="98"/>
    </row>
    <row r="55" spans="2:7">
      <c r="B55" t="s">
        <v>48</v>
      </c>
      <c r="C55" s="98"/>
      <c r="D55" s="98"/>
      <c r="E55" s="98"/>
      <c r="F55" s="98"/>
    </row>
    <row r="56" spans="2:7">
      <c r="B56" t="s">
        <v>49</v>
      </c>
      <c r="C56" s="98">
        <v>113776.12</v>
      </c>
      <c r="D56" s="98">
        <v>242612.49</v>
      </c>
      <c r="E56" s="98">
        <v>401921.53</v>
      </c>
      <c r="F56" s="98">
        <v>331786.96000000002</v>
      </c>
    </row>
    <row r="57" spans="2:7">
      <c r="B57" t="s">
        <v>50</v>
      </c>
      <c r="C57" s="98">
        <v>0</v>
      </c>
      <c r="D57" s="98">
        <v>0</v>
      </c>
      <c r="E57" s="98">
        <v>77.319999999999993</v>
      </c>
      <c r="F57" s="98">
        <v>210.89</v>
      </c>
    </row>
    <row r="58" spans="2:7">
      <c r="B58" t="s">
        <v>55</v>
      </c>
      <c r="C58" s="98"/>
      <c r="D58" s="98"/>
      <c r="E58" s="98"/>
      <c r="F58" s="98"/>
    </row>
    <row r="59" spans="2:7">
      <c r="B59" t="s">
        <v>67</v>
      </c>
      <c r="C59" s="98">
        <v>625.55999999999995</v>
      </c>
      <c r="D59" s="98">
        <v>818.76</v>
      </c>
      <c r="E59" s="98">
        <v>667.47</v>
      </c>
      <c r="F59" s="98">
        <v>929.88</v>
      </c>
    </row>
    <row r="60" spans="2:7">
      <c r="B60" t="s">
        <v>68</v>
      </c>
      <c r="C60" s="98">
        <v>93327.61</v>
      </c>
      <c r="D60" s="98">
        <v>226521.11</v>
      </c>
      <c r="E60" s="98">
        <v>190580.2</v>
      </c>
      <c r="F60" s="98">
        <v>147881.85</v>
      </c>
    </row>
    <row r="61" spans="2:7">
      <c r="B61" t="s">
        <v>56</v>
      </c>
      <c r="C61" s="98">
        <v>8245.64</v>
      </c>
      <c r="D61" s="98">
        <v>7766.76</v>
      </c>
      <c r="E61" s="98">
        <v>24003.11</v>
      </c>
      <c r="F61" s="98">
        <v>22455.43</v>
      </c>
    </row>
    <row r="62" spans="2:7">
      <c r="B62" t="s">
        <v>57</v>
      </c>
      <c r="C62" s="98">
        <v>12638.96</v>
      </c>
      <c r="D62" s="98">
        <v>14900.85</v>
      </c>
      <c r="E62" s="98">
        <v>11554.5</v>
      </c>
      <c r="F62" s="98">
        <v>12020.43</v>
      </c>
    </row>
    <row r="63" spans="2:7">
      <c r="B63" t="s">
        <v>52</v>
      </c>
      <c r="C63" s="98">
        <v>8301.5499999999993</v>
      </c>
      <c r="D63" s="98">
        <v>7524.57</v>
      </c>
      <c r="E63" s="98">
        <v>9000.56</v>
      </c>
      <c r="F63" s="98">
        <v>7284.9</v>
      </c>
    </row>
    <row r="64" spans="2:7">
      <c r="B64" t="s">
        <v>65</v>
      </c>
      <c r="C64" s="98">
        <v>22.75</v>
      </c>
      <c r="D64" s="98">
        <v>5197.08</v>
      </c>
      <c r="E64" s="98">
        <v>1294.95</v>
      </c>
      <c r="F64" s="98">
        <v>22.75</v>
      </c>
    </row>
    <row r="65" spans="2:6">
      <c r="B65" s="7" t="s">
        <v>58</v>
      </c>
      <c r="C65" s="198">
        <f>SUM(C56:C64)</f>
        <v>236938.18999999997</v>
      </c>
      <c r="D65" s="198">
        <f t="shared" ref="D65:F65" si="3">SUM(D56:D64)</f>
        <v>505341.62</v>
      </c>
      <c r="E65" s="198">
        <f t="shared" si="3"/>
        <v>639099.64</v>
      </c>
      <c r="F65" s="198">
        <f t="shared" si="3"/>
        <v>522593.09000000008</v>
      </c>
    </row>
    <row r="66" spans="2:6">
      <c r="C66" s="98"/>
      <c r="D66" s="98"/>
      <c r="E66" s="98"/>
      <c r="F66" s="98"/>
    </row>
    <row r="67" spans="2:6">
      <c r="B67" s="10" t="s">
        <v>59</v>
      </c>
      <c r="C67" s="199">
        <f>C65+C52</f>
        <v>259565.58999999997</v>
      </c>
      <c r="D67" s="199">
        <f t="shared" ref="D67:F67" si="4">D65+D52</f>
        <v>570318.35</v>
      </c>
      <c r="E67" s="199">
        <f t="shared" si="4"/>
        <v>715229.86</v>
      </c>
      <c r="F67" s="199">
        <f t="shared" si="4"/>
        <v>609672.52</v>
      </c>
    </row>
    <row r="69" spans="2:6">
      <c r="B69" s="10" t="s">
        <v>60</v>
      </c>
      <c r="C69" s="199">
        <f>C67+C42</f>
        <v>442316.55999999994</v>
      </c>
      <c r="D69" s="199">
        <f t="shared" ref="D69:F69" si="5">D67+D42</f>
        <v>792818.09</v>
      </c>
      <c r="E69" s="199">
        <f t="shared" si="5"/>
        <v>1065700.0899999999</v>
      </c>
      <c r="F69" s="199">
        <f t="shared" si="5"/>
        <v>966112.53</v>
      </c>
    </row>
    <row r="71" spans="2:6">
      <c r="B71" s="10" t="s">
        <v>208</v>
      </c>
      <c r="C71" s="10" t="b">
        <f>C69=C35</f>
        <v>1</v>
      </c>
      <c r="D71" s="10" t="b">
        <f t="shared" ref="D71:F71" si="6">D69=D35</f>
        <v>1</v>
      </c>
      <c r="E71" s="10" t="b">
        <f t="shared" si="6"/>
        <v>1</v>
      </c>
      <c r="F71" s="10" t="b">
        <f t="shared" si="6"/>
        <v>1</v>
      </c>
    </row>
  </sheetData>
  <mergeCells count="1">
    <mergeCell ref="B6:F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K23"/>
  <sheetViews>
    <sheetView showGridLines="0" topLeftCell="C4" workbookViewId="0">
      <selection activeCell="C21" sqref="C21"/>
    </sheetView>
  </sheetViews>
  <sheetFormatPr defaultRowHeight="15"/>
  <cols>
    <col min="1" max="1" width="1.85546875" customWidth="1"/>
    <col min="2" max="2" width="70.42578125" bestFit="1" customWidth="1"/>
    <col min="3" max="3" width="21" bestFit="1" customWidth="1"/>
    <col min="4" max="4" width="11.28515625" bestFit="1" customWidth="1"/>
    <col min="5" max="11" width="12.28515625" bestFit="1" customWidth="1"/>
  </cols>
  <sheetData>
    <row r="6" spans="2:11" ht="15.75" thickBot="1">
      <c r="B6" s="222" t="s">
        <v>339</v>
      </c>
      <c r="C6" s="222"/>
      <c r="D6" s="222"/>
      <c r="E6" s="222"/>
      <c r="F6" s="222"/>
      <c r="G6" s="222"/>
      <c r="H6" s="222"/>
      <c r="I6" s="222"/>
      <c r="J6" s="222"/>
      <c r="K6" s="222"/>
    </row>
    <row r="8" spans="2:11">
      <c r="B8" s="124" t="s">
        <v>0</v>
      </c>
      <c r="C8" s="124">
        <v>2021</v>
      </c>
      <c r="D8" s="124">
        <f>C8+1</f>
        <v>2022</v>
      </c>
      <c r="E8" s="124">
        <f t="shared" ref="E8:F8" si="0">D8+1</f>
        <v>2023</v>
      </c>
      <c r="F8" s="124">
        <f t="shared" si="0"/>
        <v>2024</v>
      </c>
      <c r="G8" s="128">
        <f>F8+1</f>
        <v>2025</v>
      </c>
      <c r="H8" s="128">
        <f t="shared" ref="H8:Q8" si="1">G8+1</f>
        <v>2026</v>
      </c>
      <c r="I8" s="128">
        <f t="shared" si="1"/>
        <v>2027</v>
      </c>
      <c r="J8" s="128">
        <f t="shared" si="1"/>
        <v>2028</v>
      </c>
      <c r="K8" s="128">
        <f t="shared" si="1"/>
        <v>2029</v>
      </c>
    </row>
    <row r="9" spans="2:11">
      <c r="G9" s="20"/>
      <c r="H9" s="20"/>
      <c r="I9" s="20"/>
      <c r="J9" s="20"/>
      <c r="K9" s="20"/>
    </row>
    <row r="10" spans="2:11">
      <c r="B10" s="1" t="s">
        <v>1</v>
      </c>
      <c r="C10" s="200">
        <f>'Income statement'!C10</f>
        <v>516473.35</v>
      </c>
      <c r="D10" s="200">
        <f>'Income statement'!D10</f>
        <v>785871.92</v>
      </c>
      <c r="E10" s="200">
        <f>'Income statement'!E10</f>
        <v>1334072.19</v>
      </c>
      <c r="F10" s="200">
        <f>'Income statement'!F10</f>
        <v>1157511.98</v>
      </c>
      <c r="G10" s="200">
        <f>F10*(1+G11)</f>
        <v>1750480.0640924056</v>
      </c>
      <c r="H10" s="200">
        <f t="shared" ref="H10:K10" si="2">G10*(1+H11)</f>
        <v>2467866.2011045339</v>
      </c>
      <c r="I10" s="200">
        <f t="shared" si="2"/>
        <v>3276975.9016899476</v>
      </c>
      <c r="J10" s="200">
        <f t="shared" si="2"/>
        <v>4136482.1389260758</v>
      </c>
      <c r="K10" s="200">
        <f t="shared" si="2"/>
        <v>5004436.5713744331</v>
      </c>
    </row>
    <row r="11" spans="2:11">
      <c r="B11" s="194" t="s">
        <v>121</v>
      </c>
      <c r="C11" s="194"/>
      <c r="D11" s="194">
        <f>D10/C10-1</f>
        <v>0.5216117540237073</v>
      </c>
      <c r="E11" s="194">
        <f t="shared" ref="E11:F11" si="3">E10/D10-1</f>
        <v>0.69756948435057953</v>
      </c>
      <c r="F11" s="194">
        <f t="shared" si="3"/>
        <v>-0.13234681850312757</v>
      </c>
      <c r="G11" s="194">
        <f>CHOOSE(Assumption!$C$9,'Revenue BuildUp'!G20:K20,'Revenue BuildUp'!G21:K21,'Revenue BuildUp'!G22:K22)</f>
        <v>0.51227813995705307</v>
      </c>
      <c r="H11" s="194">
        <f>CHOOSE(Assumption!$C$9,'Revenue BuildUp'!H20:L20,'Revenue BuildUp'!H21:L21,'Revenue BuildUp'!H22:L22)</f>
        <v>0.40982251196564246</v>
      </c>
      <c r="I11" s="194">
        <f>CHOOSE(Assumption!$C$9,'Revenue BuildUp'!I20:M20,'Revenue BuildUp'!I21:M21,'Revenue BuildUp'!I22:M22)</f>
        <v>0.32785800957251399</v>
      </c>
      <c r="J11" s="194">
        <f>CHOOSE(Assumption!$C$9,'Revenue BuildUp'!J20:N20,'Revenue BuildUp'!J21:N21,'Revenue BuildUp'!J22:N22)</f>
        <v>0.2622864076580112</v>
      </c>
      <c r="K11" s="194">
        <f>CHOOSE(Assumption!$C$9,'Revenue BuildUp'!K20:O20,'Revenue BuildUp'!K21:O21,'Revenue BuildUp'!K22:O22)</f>
        <v>0.20982912612640897</v>
      </c>
    </row>
    <row r="13" spans="2:11">
      <c r="B13" s="2" t="s">
        <v>191</v>
      </c>
      <c r="C13" s="204">
        <f>'Income statement'!C11</f>
        <v>1920.6</v>
      </c>
      <c r="D13" s="204">
        <f>'Income statement'!D11</f>
        <v>3926.99</v>
      </c>
      <c r="E13" s="204">
        <f>'Income statement'!E11</f>
        <v>9107</v>
      </c>
      <c r="F13" s="204">
        <f>'Income statement'!F11</f>
        <v>6883.51</v>
      </c>
      <c r="G13" s="204">
        <f>G10*G14</f>
        <v>9403.9941904219668</v>
      </c>
      <c r="H13" s="204">
        <f t="shared" ref="H13:K13" si="4">H10*H14</f>
        <v>13257.962712051005</v>
      </c>
      <c r="I13" s="204">
        <f t="shared" si="4"/>
        <v>17604.691977810653</v>
      </c>
      <c r="J13" s="204">
        <f t="shared" si="4"/>
        <v>22222.163394596417</v>
      </c>
      <c r="K13" s="204">
        <f t="shared" si="4"/>
        <v>26885.020520322858</v>
      </c>
    </row>
    <row r="14" spans="2:11">
      <c r="B14" s="195" t="s">
        <v>122</v>
      </c>
      <c r="C14" s="196">
        <f>C13/C10</f>
        <v>3.7186817093273062E-3</v>
      </c>
      <c r="D14" s="196">
        <f t="shared" ref="D14:F14" si="5">D13/D10</f>
        <v>4.9969847503903682E-3</v>
      </c>
      <c r="E14" s="196">
        <f t="shared" si="5"/>
        <v>6.8264671644193411E-3</v>
      </c>
      <c r="F14" s="196">
        <f t="shared" si="5"/>
        <v>5.9468153409522381E-3</v>
      </c>
      <c r="G14" s="197">
        <f>AVERAGE(C14:F14)</f>
        <v>5.3722372412723131E-3</v>
      </c>
      <c r="H14" s="197">
        <f>G14</f>
        <v>5.3722372412723131E-3</v>
      </c>
      <c r="I14" s="197">
        <f t="shared" ref="I14:K14" si="6">H14</f>
        <v>5.3722372412723131E-3</v>
      </c>
      <c r="J14" s="197">
        <f t="shared" si="6"/>
        <v>5.3722372412723131E-3</v>
      </c>
      <c r="K14" s="197">
        <f t="shared" si="6"/>
        <v>5.3722372412723131E-3</v>
      </c>
    </row>
    <row r="15" spans="2:11">
      <c r="C15" s="19"/>
      <c r="D15" s="19"/>
      <c r="E15" s="19"/>
      <c r="F15" s="19"/>
      <c r="G15" s="23"/>
      <c r="H15" s="23"/>
      <c r="I15" s="23"/>
      <c r="J15" s="23"/>
      <c r="K15" s="23"/>
    </row>
    <row r="16" spans="2:11">
      <c r="B16" s="2" t="s">
        <v>17</v>
      </c>
      <c r="C16" s="204">
        <f>'Income statement'!C24</f>
        <v>-19.5</v>
      </c>
      <c r="D16" s="204">
        <f>'Income statement'!D24</f>
        <v>61.12</v>
      </c>
      <c r="E16" s="204">
        <f>'Income statement'!E24</f>
        <v>50.52</v>
      </c>
      <c r="F16" s="204">
        <f>'Income statement'!F24</f>
        <v>66.7</v>
      </c>
      <c r="G16" s="204">
        <f>G17*G10</f>
        <v>59.301903277944099</v>
      </c>
      <c r="H16" s="204">
        <f t="shared" ref="H16:K16" si="7">H17*H10</f>
        <v>83.605158243654699</v>
      </c>
      <c r="I16" s="204">
        <f t="shared" si="7"/>
        <v>111.01577901541438</v>
      </c>
      <c r="J16" s="204">
        <f t="shared" si="7"/>
        <v>140.13370888672304</v>
      </c>
      <c r="K16" s="204">
        <f t="shared" si="7"/>
        <v>169.53784256327671</v>
      </c>
    </row>
    <row r="17" spans="2:11">
      <c r="B17" s="195" t="s">
        <v>122</v>
      </c>
      <c r="C17" s="196">
        <f>C16/C10</f>
        <v>-3.7756062340873927E-5</v>
      </c>
      <c r="D17" s="196">
        <f t="shared" ref="D17:F17" si="8">D16/D10</f>
        <v>7.7773487567796022E-5</v>
      </c>
      <c r="E17" s="196">
        <f t="shared" si="8"/>
        <v>3.7869015169261571E-5</v>
      </c>
      <c r="F17" s="196">
        <f t="shared" si="8"/>
        <v>5.7623593666823221E-5</v>
      </c>
      <c r="G17" s="197">
        <f>AVERAGE(C17:F17)</f>
        <v>3.3877508515751725E-5</v>
      </c>
      <c r="H17" s="197">
        <f>G17</f>
        <v>3.3877508515751725E-5</v>
      </c>
      <c r="I17" s="197">
        <f t="shared" ref="I17:K17" si="9">H17</f>
        <v>3.3877508515751725E-5</v>
      </c>
      <c r="J17" s="197">
        <f t="shared" si="9"/>
        <v>3.3877508515751725E-5</v>
      </c>
      <c r="K17" s="197">
        <f t="shared" si="9"/>
        <v>3.3877508515751725E-5</v>
      </c>
    </row>
    <row r="19" spans="2:11">
      <c r="B19" s="13" t="s">
        <v>114</v>
      </c>
      <c r="C19" s="14" t="s">
        <v>115</v>
      </c>
      <c r="D19" s="15"/>
      <c r="E19" s="15"/>
      <c r="F19" s="15"/>
      <c r="G19" s="15"/>
    </row>
    <row r="20" spans="2:11">
      <c r="B20" s="16" t="s">
        <v>116</v>
      </c>
      <c r="C20" s="17">
        <f>C21+15%</f>
        <v>0.51227813995705307</v>
      </c>
      <c r="D20" s="18"/>
      <c r="E20" s="18"/>
      <c r="F20" s="18"/>
      <c r="G20" s="127">
        <f>C20</f>
        <v>0.51227813995705307</v>
      </c>
      <c r="H20" s="127">
        <f>G20*(1-$C$23)</f>
        <v>0.40982251196564246</v>
      </c>
      <c r="I20" s="127">
        <f t="shared" ref="I20:K20" si="10">H20*(1-$C$23)</f>
        <v>0.32785800957251399</v>
      </c>
      <c r="J20" s="127">
        <f t="shared" si="10"/>
        <v>0.2622864076580112</v>
      </c>
      <c r="K20" s="127">
        <f t="shared" si="10"/>
        <v>0.20982912612640897</v>
      </c>
    </row>
    <row r="21" spans="2:11">
      <c r="B21" s="16" t="s">
        <v>117</v>
      </c>
      <c r="C21" s="17">
        <f>AVERAGE(D11:F11)</f>
        <v>0.3622781399570531</v>
      </c>
      <c r="D21" s="18"/>
      <c r="E21" s="18"/>
      <c r="F21" s="18"/>
      <c r="G21" s="127">
        <f t="shared" ref="G21:G22" si="11">C21</f>
        <v>0.3622781399570531</v>
      </c>
      <c r="H21" s="127">
        <f>G21*(1-$C$23)</f>
        <v>0.28982251196564252</v>
      </c>
      <c r="I21" s="127">
        <f t="shared" ref="I21:K21" si="12">H21*(1-$C$23)</f>
        <v>0.23185800957251401</v>
      </c>
      <c r="J21" s="127">
        <f t="shared" si="12"/>
        <v>0.18548640765801122</v>
      </c>
      <c r="K21" s="127">
        <f t="shared" si="12"/>
        <v>0.14838912612640898</v>
      </c>
    </row>
    <row r="22" spans="2:11">
      <c r="B22" s="16" t="s">
        <v>118</v>
      </c>
      <c r="C22" s="265">
        <f>C21-15%</f>
        <v>0.21227813995705311</v>
      </c>
      <c r="D22" s="18"/>
      <c r="E22" s="18"/>
      <c r="F22" s="18"/>
      <c r="G22" s="127">
        <f t="shared" si="11"/>
        <v>0.21227813995705311</v>
      </c>
      <c r="H22" s="127">
        <f>G22*(1-$C$23)</f>
        <v>0.16982251196564249</v>
      </c>
      <c r="I22" s="127">
        <f t="shared" ref="I22:K22" si="13">H22*(1-$C$23)</f>
        <v>0.13585800957251401</v>
      </c>
      <c r="J22" s="127">
        <f t="shared" si="13"/>
        <v>0.10868640765801121</v>
      </c>
      <c r="K22" s="127">
        <f t="shared" si="13"/>
        <v>8.6949126126408982E-2</v>
      </c>
    </row>
    <row r="23" spans="2:11">
      <c r="B23" s="125" t="s">
        <v>119</v>
      </c>
      <c r="C23" s="126">
        <v>0.2</v>
      </c>
    </row>
  </sheetData>
  <mergeCells count="1">
    <mergeCell ref="B6:K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K36"/>
  <sheetViews>
    <sheetView showGridLines="0" topLeftCell="A16" workbookViewId="0">
      <selection activeCell="B3" sqref="B3"/>
    </sheetView>
  </sheetViews>
  <sheetFormatPr defaultRowHeight="15"/>
  <cols>
    <col min="1" max="1" width="1.85546875" customWidth="1"/>
    <col min="2" max="2" width="71.42578125" bestFit="1" customWidth="1"/>
    <col min="3" max="3" width="11" bestFit="1" customWidth="1"/>
    <col min="4" max="4" width="9.85546875" bestFit="1" customWidth="1"/>
    <col min="5" max="5" width="10.85546875" bestFit="1" customWidth="1"/>
    <col min="6" max="11" width="10.7109375" bestFit="1" customWidth="1"/>
  </cols>
  <sheetData>
    <row r="6" spans="2:11" ht="15.75" thickBot="1">
      <c r="B6" s="222" t="s">
        <v>340</v>
      </c>
      <c r="C6" s="222"/>
      <c r="D6" s="222"/>
      <c r="E6" s="222"/>
      <c r="F6" s="222"/>
      <c r="G6" s="222"/>
      <c r="H6" s="222"/>
      <c r="I6" s="222"/>
      <c r="J6" s="222"/>
      <c r="K6" s="222"/>
    </row>
    <row r="8" spans="2:11">
      <c r="B8" s="124" t="s">
        <v>0</v>
      </c>
      <c r="C8" s="124">
        <v>2021</v>
      </c>
      <c r="D8" s="124">
        <f>C8+1</f>
        <v>2022</v>
      </c>
      <c r="E8" s="124">
        <f t="shared" ref="E8:F8" si="0">D8+1</f>
        <v>2023</v>
      </c>
      <c r="F8" s="124">
        <f t="shared" si="0"/>
        <v>2024</v>
      </c>
      <c r="G8" s="85">
        <f>F8+1</f>
        <v>2025</v>
      </c>
      <c r="H8" s="85">
        <f t="shared" ref="H8:K8" si="1">G8+1</f>
        <v>2026</v>
      </c>
      <c r="I8" s="85">
        <f t="shared" si="1"/>
        <v>2027</v>
      </c>
      <c r="J8" s="85">
        <f t="shared" si="1"/>
        <v>2028</v>
      </c>
      <c r="K8" s="85">
        <f t="shared" si="1"/>
        <v>2029</v>
      </c>
    </row>
    <row r="10" spans="2:11">
      <c r="B10" s="2" t="s">
        <v>1</v>
      </c>
      <c r="C10" s="204">
        <f>'Revenue BuildUp'!C10</f>
        <v>516473.35</v>
      </c>
      <c r="D10" s="204">
        <f>'Revenue BuildUp'!D10</f>
        <v>785871.92</v>
      </c>
      <c r="E10" s="204">
        <f>'Revenue BuildUp'!E10</f>
        <v>1334072.19</v>
      </c>
      <c r="F10" s="204">
        <f>'Revenue BuildUp'!F10</f>
        <v>1157511.98</v>
      </c>
      <c r="G10" s="204">
        <f>'Revenue BuildUp'!G10</f>
        <v>1750480.0640924056</v>
      </c>
      <c r="H10" s="204">
        <f>'Revenue BuildUp'!H10</f>
        <v>2467866.2011045339</v>
      </c>
      <c r="I10" s="204">
        <f>'Revenue BuildUp'!I10</f>
        <v>3276975.9016899476</v>
      </c>
      <c r="J10" s="204">
        <f>'Revenue BuildUp'!J10</f>
        <v>4136482.1389260758</v>
      </c>
      <c r="K10" s="204">
        <f>'Revenue BuildUp'!K10</f>
        <v>5004436.5713744331</v>
      </c>
    </row>
    <row r="12" spans="2:11">
      <c r="B12" s="1" t="s">
        <v>4</v>
      </c>
      <c r="C12" s="98">
        <f>'Income statement'!C14</f>
        <v>226512.43</v>
      </c>
      <c r="D12" s="98">
        <f>'Income statement'!D14</f>
        <v>524622.29</v>
      </c>
      <c r="E12" s="98">
        <f>'Income statement'!E14</f>
        <v>1043969.52</v>
      </c>
      <c r="F12" s="98">
        <f>'Income statement'!F14</f>
        <v>760903.84</v>
      </c>
      <c r="G12" s="98">
        <f>G10*G13</f>
        <v>1114201.3224426704</v>
      </c>
      <c r="H12" s="98">
        <f t="shared" ref="H12:K12" si="2">H10*H13</f>
        <v>1570826.1072415663</v>
      </c>
      <c r="I12" s="98">
        <f t="shared" si="2"/>
        <v>2085834.0281463265</v>
      </c>
      <c r="J12" s="98">
        <f t="shared" si="2"/>
        <v>2632919.9423596654</v>
      </c>
      <c r="K12" s="98">
        <f t="shared" si="2"/>
        <v>3185383.2330257888</v>
      </c>
    </row>
    <row r="13" spans="2:11">
      <c r="B13" s="21" t="s">
        <v>122</v>
      </c>
      <c r="C13" s="24">
        <f>C12/C10</f>
        <v>0.43857525272117137</v>
      </c>
      <c r="D13" s="24">
        <f t="shared" ref="D13:F13" si="3">D12/D10</f>
        <v>0.66756716539763883</v>
      </c>
      <c r="E13" s="24">
        <f t="shared" si="3"/>
        <v>0.7825434993888899</v>
      </c>
      <c r="F13" s="24">
        <f t="shared" si="3"/>
        <v>0.65736152467294551</v>
      </c>
      <c r="G13" s="25">
        <f>AVERAGE(C13:F13)</f>
        <v>0.6365118605451614</v>
      </c>
      <c r="H13" s="25">
        <f>G13</f>
        <v>0.6365118605451614</v>
      </c>
      <c r="I13" s="25">
        <f t="shared" ref="I13:K13" si="4">H13</f>
        <v>0.6365118605451614</v>
      </c>
      <c r="J13" s="25">
        <f t="shared" si="4"/>
        <v>0.6365118605451614</v>
      </c>
      <c r="K13" s="25">
        <f t="shared" si="4"/>
        <v>0.6365118605451614</v>
      </c>
    </row>
    <row r="14" spans="2:11">
      <c r="C14" s="3"/>
      <c r="D14" s="3"/>
      <c r="E14" s="3"/>
      <c r="F14" s="3"/>
    </row>
    <row r="15" spans="2:11">
      <c r="B15" s="1" t="s">
        <v>123</v>
      </c>
      <c r="C15" s="98">
        <f>'Income statement'!C15</f>
        <v>138020.07</v>
      </c>
      <c r="D15" s="98">
        <f>'Income statement'!D15</f>
        <v>142828.18</v>
      </c>
      <c r="E15" s="98">
        <f>'Income statement'!E15</f>
        <v>18226.12</v>
      </c>
      <c r="F15" s="98">
        <f>'Income statement'!F15</f>
        <v>105508.61</v>
      </c>
      <c r="G15" s="98">
        <f>G16*G10</f>
        <v>242351.20291711591</v>
      </c>
      <c r="H15" s="98">
        <f t="shared" ref="H15:K15" si="5">H16*H10</f>
        <v>341672.18167450349</v>
      </c>
      <c r="I15" s="98">
        <f t="shared" si="5"/>
        <v>453692.14308460453</v>
      </c>
      <c r="J15" s="98">
        <f t="shared" si="5"/>
        <v>572689.42547692987</v>
      </c>
      <c r="K15" s="98">
        <f t="shared" si="5"/>
        <v>692856.34716658923</v>
      </c>
    </row>
    <row r="16" spans="2:11">
      <c r="B16" s="21" t="s">
        <v>122</v>
      </c>
      <c r="C16" s="24">
        <f>C15/C10</f>
        <v>0.26723560857496326</v>
      </c>
      <c r="D16" s="24">
        <f t="shared" ref="D16:F16" si="6">D15/D10</f>
        <v>0.18174485735538176</v>
      </c>
      <c r="E16" s="24">
        <f t="shared" si="6"/>
        <v>1.3662019294473112E-2</v>
      </c>
      <c r="F16" s="24">
        <f t="shared" si="6"/>
        <v>9.1151203463138236E-2</v>
      </c>
      <c r="G16" s="25">
        <f>AVERAGE($C$16:$F$16)</f>
        <v>0.13844842217198911</v>
      </c>
      <c r="H16" s="25">
        <f t="shared" ref="H16:K16" si="7">AVERAGE($C$16:$F$16)</f>
        <v>0.13844842217198911</v>
      </c>
      <c r="I16" s="25">
        <f t="shared" si="7"/>
        <v>0.13844842217198911</v>
      </c>
      <c r="J16" s="25">
        <f t="shared" si="7"/>
        <v>0.13844842217198911</v>
      </c>
      <c r="K16" s="25">
        <f t="shared" si="7"/>
        <v>0.13844842217198911</v>
      </c>
    </row>
    <row r="17" spans="2:11">
      <c r="C17" s="3"/>
      <c r="D17" s="3"/>
      <c r="E17" s="3"/>
      <c r="F17" s="3"/>
    </row>
    <row r="18" spans="2:11">
      <c r="B18" s="1" t="s">
        <v>124</v>
      </c>
      <c r="C18" s="98">
        <f>'Income statement'!C16</f>
        <v>22583.41</v>
      </c>
      <c r="D18" s="98">
        <f>'Income statement'!D16</f>
        <v>-39324.17</v>
      </c>
      <c r="E18" s="98">
        <f>'Income statement'!E16</f>
        <v>-877.73</v>
      </c>
      <c r="F18" s="98">
        <f>'Income statement'!F16</f>
        <v>33431.870000000003</v>
      </c>
      <c r="G18" s="98">
        <f>G19*G10</f>
        <v>9589.0751349671846</v>
      </c>
      <c r="H18" s="98">
        <f t="shared" ref="H18:K18" si="8">H19*H10</f>
        <v>13518.893994206715</v>
      </c>
      <c r="I18" s="98">
        <f t="shared" si="8"/>
        <v>17951.171670769141</v>
      </c>
      <c r="J18" s="98">
        <f t="shared" si="8"/>
        <v>22659.520001547437</v>
      </c>
      <c r="K18" s="98">
        <f t="shared" si="8"/>
        <v>27414.147281916023</v>
      </c>
    </row>
    <row r="19" spans="2:11">
      <c r="B19" s="21" t="s">
        <v>122</v>
      </c>
      <c r="C19" s="24">
        <f>C18/C10</f>
        <v>4.3726186452795676E-2</v>
      </c>
      <c r="D19" s="24">
        <f t="shared" ref="D19:F19" si="9">D18/D10</f>
        <v>-5.0038904558391648E-2</v>
      </c>
      <c r="E19" s="24">
        <f t="shared" si="9"/>
        <v>-6.5793291141163807E-4</v>
      </c>
      <c r="F19" s="24">
        <f t="shared" si="9"/>
        <v>2.8882526122969373E-2</v>
      </c>
      <c r="G19" s="25">
        <f>AVERAGE($C$19:$F$19)</f>
        <v>5.4779687764904411E-3</v>
      </c>
      <c r="H19" s="25">
        <f t="shared" ref="H19:K19" si="10">AVERAGE($C$19:$F$19)</f>
        <v>5.4779687764904411E-3</v>
      </c>
      <c r="I19" s="25">
        <f t="shared" si="10"/>
        <v>5.4779687764904411E-3</v>
      </c>
      <c r="J19" s="25">
        <f t="shared" si="10"/>
        <v>5.4779687764904411E-3</v>
      </c>
      <c r="K19" s="25">
        <f t="shared" si="10"/>
        <v>5.4779687764904411E-3</v>
      </c>
    </row>
    <row r="21" spans="2:11">
      <c r="B21" s="7" t="s">
        <v>125</v>
      </c>
      <c r="C21" s="198">
        <f>C18+C15+C12</f>
        <v>387115.91000000003</v>
      </c>
      <c r="D21" s="198">
        <f t="shared" ref="D21:K21" si="11">D18+D15+D12</f>
        <v>628126.30000000005</v>
      </c>
      <c r="E21" s="198">
        <f t="shared" si="11"/>
        <v>1061317.9099999999</v>
      </c>
      <c r="F21" s="198">
        <f t="shared" si="11"/>
        <v>899844.32</v>
      </c>
      <c r="G21" s="198">
        <f t="shared" si="11"/>
        <v>1366141.6004947536</v>
      </c>
      <c r="H21" s="198">
        <f t="shared" si="11"/>
        <v>1926017.1829102766</v>
      </c>
      <c r="I21" s="198">
        <f t="shared" si="11"/>
        <v>2557477.3429017002</v>
      </c>
      <c r="J21" s="198">
        <f t="shared" si="11"/>
        <v>3228268.8878381429</v>
      </c>
      <c r="K21" s="198">
        <f t="shared" si="11"/>
        <v>3905653.7274742941</v>
      </c>
    </row>
    <row r="22" spans="2:11">
      <c r="B22" s="21" t="s">
        <v>122</v>
      </c>
      <c r="C22" s="24">
        <f>C21/C10</f>
        <v>0.74953704774893037</v>
      </c>
      <c r="D22" s="24">
        <f t="shared" ref="D22:K22" si="12">D21/D10</f>
        <v>0.79927311819462898</v>
      </c>
      <c r="E22" s="24">
        <f t="shared" si="12"/>
        <v>0.79554758577195128</v>
      </c>
      <c r="F22" s="24">
        <f t="shared" si="12"/>
        <v>0.77739525425905309</v>
      </c>
      <c r="G22" s="24">
        <f t="shared" si="12"/>
        <v>0.78043825149364099</v>
      </c>
      <c r="H22" s="24">
        <f t="shared" si="12"/>
        <v>0.78043825149364099</v>
      </c>
      <c r="I22" s="24">
        <f t="shared" si="12"/>
        <v>0.78043825149364099</v>
      </c>
      <c r="J22" s="24">
        <f t="shared" si="12"/>
        <v>0.78043825149364099</v>
      </c>
      <c r="K22" s="24">
        <f t="shared" si="12"/>
        <v>0.78043825149364099</v>
      </c>
    </row>
    <row r="24" spans="2:11">
      <c r="B24" s="21" t="s">
        <v>126</v>
      </c>
      <c r="C24" s="24">
        <f>(C10-C21)/C10</f>
        <v>0.25046295225106957</v>
      </c>
      <c r="D24" s="24">
        <f t="shared" ref="D24:K24" si="13">(D10-D21)/D10</f>
        <v>0.20072688180537102</v>
      </c>
      <c r="E24" s="24">
        <f t="shared" si="13"/>
        <v>0.20445241422804866</v>
      </c>
      <c r="F24" s="24">
        <f t="shared" si="13"/>
        <v>0.22260474574094691</v>
      </c>
      <c r="G24" s="24">
        <f t="shared" si="13"/>
        <v>0.21956174850635907</v>
      </c>
      <c r="H24" s="24">
        <f t="shared" si="13"/>
        <v>0.21956174850635901</v>
      </c>
      <c r="I24" s="24">
        <f t="shared" si="13"/>
        <v>0.21956174850635904</v>
      </c>
      <c r="J24" s="24">
        <f t="shared" si="13"/>
        <v>0.21956174850635896</v>
      </c>
      <c r="K24" s="24">
        <f t="shared" si="13"/>
        <v>0.21956174850635904</v>
      </c>
    </row>
    <row r="26" spans="2:11">
      <c r="B26" s="2" t="s">
        <v>127</v>
      </c>
      <c r="C26" s="204">
        <f>'Income statement'!C17</f>
        <v>13919</v>
      </c>
      <c r="D26" s="204">
        <f>'Income statement'!D17</f>
        <v>13850.44</v>
      </c>
      <c r="E26" s="204">
        <f>'Income statement'!E17</f>
        <v>21320.25</v>
      </c>
      <c r="F26" s="204">
        <f>'Income statement'!F17</f>
        <v>22978.77</v>
      </c>
      <c r="G26" s="204">
        <f>G27*G10</f>
        <v>35187.964582662731</v>
      </c>
      <c r="H26" s="204">
        <f t="shared" ref="H26:K26" si="14">H27*H10</f>
        <v>49608.784618887621</v>
      </c>
      <c r="I26" s="204">
        <f t="shared" si="14"/>
        <v>65873.422001347659</v>
      </c>
      <c r="J26" s="204">
        <f t="shared" si="14"/>
        <v>83151.125218221336</v>
      </c>
      <c r="K26" s="204">
        <f t="shared" si="14"/>
        <v>100598.65315918832</v>
      </c>
    </row>
    <row r="27" spans="2:11">
      <c r="B27" s="21" t="s">
        <v>122</v>
      </c>
      <c r="C27" s="24">
        <f>C26/C10</f>
        <v>2.6950083678083294E-2</v>
      </c>
      <c r="D27" s="24">
        <f t="shared" ref="D27:F27" si="15">D26/D10</f>
        <v>1.7624296844707215E-2</v>
      </c>
      <c r="E27" s="24">
        <f t="shared" si="15"/>
        <v>1.5981331564973257E-2</v>
      </c>
      <c r="F27" s="24">
        <f t="shared" si="15"/>
        <v>1.9851863649825899E-2</v>
      </c>
      <c r="G27" s="24">
        <f>AVERAGE($C$27:$F$27)</f>
        <v>2.0101893934397416E-2</v>
      </c>
      <c r="H27" s="24">
        <f t="shared" ref="H27:K27" si="16">AVERAGE($C$27:$F$27)</f>
        <v>2.0101893934397416E-2</v>
      </c>
      <c r="I27" s="24">
        <f t="shared" si="16"/>
        <v>2.0101893934397416E-2</v>
      </c>
      <c r="J27" s="24">
        <f t="shared" si="16"/>
        <v>2.0101893934397416E-2</v>
      </c>
      <c r="K27" s="24">
        <f t="shared" si="16"/>
        <v>2.0101893934397416E-2</v>
      </c>
    </row>
    <row r="29" spans="2:11">
      <c r="B29" s="2" t="s">
        <v>128</v>
      </c>
      <c r="C29" s="204">
        <f>'Income statement'!C20</f>
        <v>61213.9</v>
      </c>
      <c r="D29" s="204">
        <f>'Income statement'!D20</f>
        <v>76784.2</v>
      </c>
      <c r="E29" s="204">
        <f>'Income statement'!E20</f>
        <v>171335.01</v>
      </c>
      <c r="F29" s="204">
        <f>'Income statement'!F20</f>
        <v>169885.95</v>
      </c>
      <c r="G29" s="204">
        <f>G30*G10</f>
        <v>215058.24571160824</v>
      </c>
      <c r="H29" s="204">
        <f t="shared" ref="H29:K29" si="17">H30*H10</f>
        <v>303193.95618806384</v>
      </c>
      <c r="I29" s="204">
        <f t="shared" si="17"/>
        <v>402598.52317829843</v>
      </c>
      <c r="J29" s="204">
        <f t="shared" si="17"/>
        <v>508194.64355115488</v>
      </c>
      <c r="K29" s="204">
        <f t="shared" si="17"/>
        <v>614828.68150961562</v>
      </c>
    </row>
    <row r="30" spans="2:11">
      <c r="B30" s="21" t="s">
        <v>122</v>
      </c>
      <c r="C30" s="24">
        <f>C29/C10</f>
        <v>0.11852286279630886</v>
      </c>
      <c r="D30" s="24">
        <f t="shared" ref="D30:F30" si="18">D29/D10</f>
        <v>9.7705743195405162E-2</v>
      </c>
      <c r="E30" s="24">
        <f t="shared" si="18"/>
        <v>0.12843008892944544</v>
      </c>
      <c r="F30" s="24">
        <f t="shared" si="18"/>
        <v>0.14676820018743997</v>
      </c>
      <c r="G30" s="24">
        <f>AVERAGE($C$30:$F$30)</f>
        <v>0.12285672377714985</v>
      </c>
      <c r="H30" s="24">
        <f t="shared" ref="H30:K30" si="19">AVERAGE($C$30:$F$30)</f>
        <v>0.12285672377714985</v>
      </c>
      <c r="I30" s="24">
        <f t="shared" si="19"/>
        <v>0.12285672377714985</v>
      </c>
      <c r="J30" s="24">
        <f t="shared" si="19"/>
        <v>0.12285672377714985</v>
      </c>
      <c r="K30" s="24">
        <f t="shared" si="19"/>
        <v>0.12285672377714985</v>
      </c>
    </row>
    <row r="31" spans="2:11">
      <c r="B31" s="21"/>
    </row>
    <row r="32" spans="2:11" ht="15.75" thickBot="1">
      <c r="B32" s="22" t="s">
        <v>129</v>
      </c>
      <c r="C32" s="201">
        <f>C29+C26</f>
        <v>75132.899999999994</v>
      </c>
      <c r="D32" s="201">
        <f t="shared" ref="D32:K32" si="20">D29+D26</f>
        <v>90634.64</v>
      </c>
      <c r="E32" s="201">
        <f t="shared" si="20"/>
        <v>192655.26</v>
      </c>
      <c r="F32" s="201">
        <f t="shared" si="20"/>
        <v>192864.72</v>
      </c>
      <c r="G32" s="201">
        <f t="shared" si="20"/>
        <v>250246.21029427098</v>
      </c>
      <c r="H32" s="201">
        <f t="shared" si="20"/>
        <v>352802.74080695148</v>
      </c>
      <c r="I32" s="201">
        <f t="shared" si="20"/>
        <v>468471.94517964608</v>
      </c>
      <c r="J32" s="201">
        <f t="shared" si="20"/>
        <v>591345.76876937621</v>
      </c>
      <c r="K32" s="201">
        <f t="shared" si="20"/>
        <v>715427.33466880396</v>
      </c>
    </row>
    <row r="33" spans="2:11" ht="15.75" thickTop="1">
      <c r="B33" s="21" t="s">
        <v>122</v>
      </c>
      <c r="C33" s="24">
        <f>C32/C10</f>
        <v>0.14547294647439213</v>
      </c>
      <c r="D33" s="24">
        <f t="shared" ref="D33:K33" si="21">D32/D10</f>
        <v>0.11533004004011238</v>
      </c>
      <c r="E33" s="24">
        <f t="shared" si="21"/>
        <v>0.14441142049441869</v>
      </c>
      <c r="F33" s="24">
        <f t="shared" si="21"/>
        <v>0.16662006383726585</v>
      </c>
      <c r="G33" s="24">
        <f t="shared" si="21"/>
        <v>0.14295861771154728</v>
      </c>
      <c r="H33" s="24">
        <f t="shared" si="21"/>
        <v>0.14295861771154728</v>
      </c>
      <c r="I33" s="24">
        <f t="shared" si="21"/>
        <v>0.14295861771154725</v>
      </c>
      <c r="J33" s="24">
        <f t="shared" si="21"/>
        <v>0.14295861771154728</v>
      </c>
      <c r="K33" s="24">
        <f t="shared" si="21"/>
        <v>0.14295861771154728</v>
      </c>
    </row>
    <row r="35" spans="2:11" ht="15.75" thickBot="1">
      <c r="B35" s="27" t="s">
        <v>130</v>
      </c>
      <c r="C35" s="28">
        <f>'Income statement'!C27/'Income statement'!C26</f>
        <v>0.39081480915572386</v>
      </c>
      <c r="D35" s="28">
        <f>'Income statement'!D27/'Income statement'!D26</f>
        <v>0.25521694424386937</v>
      </c>
      <c r="E35" s="28">
        <f>'Income statement'!E27/'Income statement'!E26</f>
        <v>0.28621737157349203</v>
      </c>
      <c r="F35" s="28">
        <f>'Income statement'!F27/'Income statement'!F26</f>
        <v>0.29058992773062281</v>
      </c>
      <c r="G35" s="29">
        <f>F35</f>
        <v>0.29058992773062281</v>
      </c>
      <c r="H35" s="29">
        <f t="shared" ref="H35:K35" si="22">G35</f>
        <v>0.29058992773062281</v>
      </c>
      <c r="I35" s="29">
        <f t="shared" si="22"/>
        <v>0.29058992773062281</v>
      </c>
      <c r="J35" s="29">
        <f t="shared" si="22"/>
        <v>0.29058992773062281</v>
      </c>
      <c r="K35" s="29">
        <f t="shared" si="22"/>
        <v>0.29058992773062281</v>
      </c>
    </row>
    <row r="36" spans="2:11" ht="15.75" thickTop="1"/>
  </sheetData>
  <mergeCells count="1">
    <mergeCell ref="B6:K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K21"/>
  <sheetViews>
    <sheetView showGridLines="0" workbookViewId="0">
      <selection activeCell="G2" sqref="G2"/>
    </sheetView>
  </sheetViews>
  <sheetFormatPr defaultRowHeight="15"/>
  <cols>
    <col min="1" max="1" width="1.85546875" customWidth="1"/>
    <col min="2" max="2" width="17.5703125" bestFit="1" customWidth="1"/>
    <col min="3" max="3" width="11" bestFit="1" customWidth="1"/>
    <col min="4" max="6" width="9.85546875" bestFit="1" customWidth="1"/>
    <col min="7" max="10" width="9.7109375" bestFit="1" customWidth="1"/>
    <col min="11" max="11" width="10.7109375" bestFit="1" customWidth="1"/>
  </cols>
  <sheetData>
    <row r="6" spans="2:11" ht="15.75" thickBot="1">
      <c r="B6" s="222" t="s">
        <v>341</v>
      </c>
      <c r="C6" s="222"/>
      <c r="D6" s="222"/>
      <c r="E6" s="222"/>
      <c r="F6" s="222"/>
      <c r="G6" s="222"/>
      <c r="H6" s="222"/>
      <c r="I6" s="222"/>
      <c r="J6" s="222"/>
      <c r="K6" s="222"/>
    </row>
    <row r="8" spans="2:11">
      <c r="B8" s="124" t="s">
        <v>0</v>
      </c>
      <c r="C8" s="124">
        <v>2021</v>
      </c>
      <c r="D8" s="124">
        <f>C8+1</f>
        <v>2022</v>
      </c>
      <c r="E8" s="124">
        <f t="shared" ref="E8:F8" si="0">D8+1</f>
        <v>2023</v>
      </c>
      <c r="F8" s="124">
        <f t="shared" si="0"/>
        <v>2024</v>
      </c>
      <c r="G8" s="85">
        <f>F8+1</f>
        <v>2025</v>
      </c>
      <c r="H8" s="85">
        <f t="shared" ref="H8:K8" si="1">G8+1</f>
        <v>2026</v>
      </c>
      <c r="I8" s="85">
        <f t="shared" si="1"/>
        <v>2027</v>
      </c>
      <c r="J8" s="85">
        <f t="shared" si="1"/>
        <v>2028</v>
      </c>
      <c r="K8" s="85">
        <f t="shared" si="1"/>
        <v>2029</v>
      </c>
    </row>
    <row r="9" spans="2:11">
      <c r="B9" s="30" t="s">
        <v>131</v>
      </c>
      <c r="C9" s="30">
        <v>365</v>
      </c>
      <c r="D9" s="30">
        <f>C9</f>
        <v>365</v>
      </c>
      <c r="E9" s="30">
        <f t="shared" ref="E9:Q9" si="2">D9</f>
        <v>365</v>
      </c>
      <c r="F9" s="30">
        <f t="shared" si="2"/>
        <v>365</v>
      </c>
      <c r="G9" s="30">
        <f t="shared" si="2"/>
        <v>365</v>
      </c>
      <c r="H9" s="30">
        <f t="shared" si="2"/>
        <v>365</v>
      </c>
      <c r="I9" s="30">
        <f t="shared" si="2"/>
        <v>365</v>
      </c>
      <c r="J9" s="30">
        <f t="shared" si="2"/>
        <v>365</v>
      </c>
      <c r="K9" s="30">
        <f t="shared" si="2"/>
        <v>365</v>
      </c>
    </row>
    <row r="11" spans="2:11">
      <c r="B11" s="18" t="s">
        <v>132</v>
      </c>
      <c r="C11" s="205">
        <f>'Balance Sheet'!C25</f>
        <v>89905.36</v>
      </c>
      <c r="D11" s="205">
        <f>'Balance Sheet'!D25</f>
        <v>229322.23999999999</v>
      </c>
      <c r="E11" s="205">
        <f>'Balance Sheet'!E25</f>
        <v>223767.72</v>
      </c>
      <c r="F11" s="205">
        <f>'Balance Sheet'!F25</f>
        <v>183082.95</v>
      </c>
      <c r="G11" s="205">
        <f>G18*'cost Build_up'!G21/'Working Capital'!G9</f>
        <v>345508.68224661826</v>
      </c>
      <c r="H11" s="205">
        <f>H18*'cost Build_up'!H21/'Working Capital'!H9</f>
        <v>487105.91831086628</v>
      </c>
      <c r="I11" s="205">
        <f>I18*'cost Build_up'!I21/'Working Capital'!I9</f>
        <v>646807.49513925845</v>
      </c>
      <c r="J11" s="205">
        <f>J18*'cost Build_up'!J21/'Working Capital'!J9</f>
        <v>816456.30948561116</v>
      </c>
      <c r="K11" s="205">
        <f>K18*'cost Build_up'!K21/'Working Capital'!K9</f>
        <v>987772.62342536973</v>
      </c>
    </row>
    <row r="12" spans="2:11">
      <c r="B12" s="18" t="s">
        <v>133</v>
      </c>
      <c r="C12" s="205">
        <f>'Balance Sheet'!C27</f>
        <v>115559.36</v>
      </c>
      <c r="D12" s="205">
        <f>'Balance Sheet'!D27</f>
        <v>90247.54</v>
      </c>
      <c r="E12" s="205">
        <f>'Balance Sheet'!E27</f>
        <v>368973.75</v>
      </c>
      <c r="F12" s="205">
        <f>'Balance Sheet'!F27</f>
        <v>272047.93</v>
      </c>
      <c r="G12" s="205">
        <f>G19*'cost Build_up'!G10/'Working Capital'!G9</f>
        <v>372060.02443746233</v>
      </c>
      <c r="H12" s="205">
        <f>H19*'cost Build_up'!H10/'Working Capital'!H9</f>
        <v>524538.59825442138</v>
      </c>
      <c r="I12" s="205">
        <f>I19*'cost Build_up'!I10/'Working Capital'!I9</f>
        <v>696512.77902207244</v>
      </c>
      <c r="J12" s="205">
        <f>J19*'cost Build_up'!J10/'Working Capital'!J9</f>
        <v>879198.61371966987</v>
      </c>
      <c r="K12" s="205">
        <f>K19*'cost Build_up'!K10/'Working Capital'!K9</f>
        <v>1063680.0905280185</v>
      </c>
    </row>
    <row r="13" spans="2:11">
      <c r="B13" s="31" t="s">
        <v>134</v>
      </c>
      <c r="C13" s="206">
        <f>SUM('Balance Sheet'!C59:C60)</f>
        <v>93953.17</v>
      </c>
      <c r="D13" s="206">
        <f>SUM('Balance Sheet'!D59:D60)</f>
        <v>227339.87</v>
      </c>
      <c r="E13" s="206">
        <f>SUM('Balance Sheet'!E59:E60)</f>
        <v>191247.67</v>
      </c>
      <c r="F13" s="206">
        <f>SUM('Balance Sheet'!F59:F60)</f>
        <v>148811.73000000001</v>
      </c>
      <c r="G13" s="206">
        <f>G20*'cost Build_up'!G21/'Working Capital'!G9</f>
        <v>324529.32485103776</v>
      </c>
      <c r="H13" s="206">
        <f>H20*'cost Build_up'!H21/'Working Capital'!H9</f>
        <v>457528.74796800403</v>
      </c>
      <c r="I13" s="206">
        <f>I20*'cost Build_up'!I21/'Working Capital'!I9</f>
        <v>607533.21259899822</v>
      </c>
      <c r="J13" s="206">
        <f>J20*'cost Build_up'!J21/'Working Capital'!J9</f>
        <v>766880.91646452015</v>
      </c>
      <c r="K13" s="206">
        <f>K20*'cost Build_up'!K21/'Working Capital'!K9</f>
        <v>927794.86900929001</v>
      </c>
    </row>
    <row r="14" spans="2:11">
      <c r="B14" s="10" t="s">
        <v>135</v>
      </c>
      <c r="C14" s="199">
        <f>C11+C12-C13</f>
        <v>111511.55</v>
      </c>
      <c r="D14" s="199">
        <f t="shared" ref="D14:F14" si="3">D11+D12-D13</f>
        <v>92229.909999999974</v>
      </c>
      <c r="E14" s="199">
        <f t="shared" si="3"/>
        <v>401493.79999999993</v>
      </c>
      <c r="F14" s="199">
        <f t="shared" si="3"/>
        <v>306319.15000000002</v>
      </c>
      <c r="G14" s="199">
        <f t="shared" ref="G14" si="4">G11+G12-G13</f>
        <v>393039.38183304289</v>
      </c>
      <c r="H14" s="199">
        <f t="shared" ref="H14" si="5">H11+H12-H13</f>
        <v>554115.76859728363</v>
      </c>
      <c r="I14" s="199">
        <f t="shared" ref="I14" si="6">I11+I12-I13</f>
        <v>735787.06156233267</v>
      </c>
      <c r="J14" s="199">
        <f t="shared" ref="J14" si="7">J11+J12-J13</f>
        <v>928774.00674076099</v>
      </c>
      <c r="K14" s="199">
        <f t="shared" ref="K14" si="8">K11+K12-K13</f>
        <v>1123657.8449440985</v>
      </c>
    </row>
    <row r="17" spans="2:11">
      <c r="B17" s="34" t="s">
        <v>140</v>
      </c>
      <c r="C17" s="40"/>
      <c r="D17" s="40"/>
      <c r="E17" s="40"/>
      <c r="F17" s="40"/>
      <c r="G17" s="40"/>
      <c r="H17" s="40"/>
      <c r="I17" s="40"/>
      <c r="J17" s="40"/>
      <c r="K17" s="40"/>
    </row>
    <row r="18" spans="2:11">
      <c r="B18" s="33" t="s">
        <v>136</v>
      </c>
      <c r="C18" s="39">
        <f>C11/'cost Build_up'!C21*'Working Capital'!C9</f>
        <v>84.769071878239245</v>
      </c>
      <c r="D18" s="39">
        <f>D11/'cost Build_up'!D21*'Working Capital'!D9</f>
        <v>133.25762286979543</v>
      </c>
      <c r="E18" s="39">
        <f>E11/'cost Build_up'!E21*'Working Capital'!E9</f>
        <v>76.956411486545065</v>
      </c>
      <c r="F18" s="39">
        <f>F11/'cost Build_up'!F21*'Working Capital'!F9</f>
        <v>74.263153375241629</v>
      </c>
      <c r="G18" s="39">
        <f>AVERAGE(C18:F18)</f>
        <v>92.311564902455345</v>
      </c>
      <c r="H18" s="39">
        <f>G18</f>
        <v>92.311564902455345</v>
      </c>
      <c r="I18" s="39">
        <f t="shared" ref="I18:K18" si="9">H18</f>
        <v>92.311564902455345</v>
      </c>
      <c r="J18" s="39">
        <f t="shared" si="9"/>
        <v>92.311564902455345</v>
      </c>
      <c r="K18" s="39">
        <f t="shared" si="9"/>
        <v>92.311564902455345</v>
      </c>
    </row>
    <row r="19" spans="2:11">
      <c r="B19" s="32" t="s">
        <v>137</v>
      </c>
      <c r="C19" s="35">
        <f>C12/'cost Build_up'!C10*'Working Capital'!C9</f>
        <v>81.667653132538206</v>
      </c>
      <c r="D19" s="35">
        <f>D12/'cost Build_up'!D10*'Working Capital'!D9</f>
        <v>41.915675139531636</v>
      </c>
      <c r="E19" s="35">
        <f>E12/'cost Build_up'!E10*'Working Capital'!E9</f>
        <v>100.95062303187656</v>
      </c>
      <c r="F19" s="35">
        <f>F12/'cost Build_up'!F10*'Working Capital'!F9</f>
        <v>85.785284442585208</v>
      </c>
      <c r="G19" s="35">
        <f t="shared" ref="G19:G20" si="10">AVERAGE(C19:F19)</f>
        <v>77.579808936632901</v>
      </c>
      <c r="H19" s="35">
        <f t="shared" ref="H19:K20" si="11">G19</f>
        <v>77.579808936632901</v>
      </c>
      <c r="I19" s="35">
        <f t="shared" si="11"/>
        <v>77.579808936632901</v>
      </c>
      <c r="J19" s="35">
        <f t="shared" si="11"/>
        <v>77.579808936632901</v>
      </c>
      <c r="K19" s="35">
        <f t="shared" si="11"/>
        <v>77.579808936632901</v>
      </c>
    </row>
    <row r="20" spans="2:11">
      <c r="B20" s="36" t="s">
        <v>138</v>
      </c>
      <c r="C20" s="37">
        <f>C13/'cost Build_up'!C21*'Working Capital'!C9</f>
        <v>88.585630722333264</v>
      </c>
      <c r="D20" s="37">
        <f>D13/'cost Build_up'!D21*'Working Capital'!D9</f>
        <v>132.10568089570521</v>
      </c>
      <c r="E20" s="37">
        <f>E13/'cost Build_up'!E21*'Working Capital'!E9</f>
        <v>65.772374980461805</v>
      </c>
      <c r="F20" s="37">
        <f>F13/'cost Build_up'!F21*'Working Capital'!F9</f>
        <v>60.36186509461993</v>
      </c>
      <c r="G20" s="37">
        <f t="shared" si="10"/>
        <v>86.706387923280047</v>
      </c>
      <c r="H20" s="37">
        <f t="shared" si="11"/>
        <v>86.706387923280047</v>
      </c>
      <c r="I20" s="37">
        <f t="shared" si="11"/>
        <v>86.706387923280047</v>
      </c>
      <c r="J20" s="37">
        <f t="shared" si="11"/>
        <v>86.706387923280047</v>
      </c>
      <c r="K20" s="37">
        <f t="shared" si="11"/>
        <v>86.706387923280047</v>
      </c>
    </row>
    <row r="21" spans="2:11">
      <c r="B21" s="10" t="s">
        <v>139</v>
      </c>
      <c r="C21" s="38">
        <f>C18+C19-C20</f>
        <v>77.851094288444187</v>
      </c>
      <c r="D21" s="38">
        <f t="shared" ref="D21:K21" si="12">D18+D19-D20</f>
        <v>43.06761711362185</v>
      </c>
      <c r="E21" s="38">
        <f t="shared" si="12"/>
        <v>112.13465953795982</v>
      </c>
      <c r="F21" s="38">
        <f t="shared" si="12"/>
        <v>99.686572723206893</v>
      </c>
      <c r="G21" s="38">
        <f t="shared" si="12"/>
        <v>83.184985915808213</v>
      </c>
      <c r="H21" s="38">
        <f t="shared" si="12"/>
        <v>83.184985915808213</v>
      </c>
      <c r="I21" s="38">
        <f t="shared" si="12"/>
        <v>83.184985915808213</v>
      </c>
      <c r="J21" s="38">
        <f t="shared" si="12"/>
        <v>83.184985915808213</v>
      </c>
      <c r="K21" s="38">
        <f t="shared" si="12"/>
        <v>83.184985915808213</v>
      </c>
    </row>
  </sheetData>
  <mergeCells count="1">
    <mergeCell ref="B6:K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K14"/>
  <sheetViews>
    <sheetView showGridLines="0" workbookViewId="0">
      <selection activeCell="B1" sqref="B1"/>
    </sheetView>
  </sheetViews>
  <sheetFormatPr defaultRowHeight="15"/>
  <cols>
    <col min="1" max="1" width="1.85546875" customWidth="1"/>
    <col min="2" max="2" width="25" bestFit="1" customWidth="1"/>
    <col min="3" max="11" width="10.7109375" bestFit="1" customWidth="1"/>
  </cols>
  <sheetData>
    <row r="6" spans="2:11" ht="15.75" thickBot="1">
      <c r="B6" s="222" t="s">
        <v>342</v>
      </c>
      <c r="C6" s="222"/>
      <c r="D6" s="222"/>
      <c r="E6" s="222"/>
      <c r="F6" s="222"/>
      <c r="G6" s="222"/>
      <c r="H6" s="222"/>
      <c r="I6" s="222"/>
      <c r="J6" s="222"/>
      <c r="K6" s="222"/>
    </row>
    <row r="8" spans="2:11">
      <c r="B8" s="124" t="s">
        <v>0</v>
      </c>
      <c r="C8" s="124">
        <v>2021</v>
      </c>
      <c r="D8" s="124">
        <f>C8+1</f>
        <v>2022</v>
      </c>
      <c r="E8" s="124">
        <f t="shared" ref="E8:F8" si="0">D8+1</f>
        <v>2023</v>
      </c>
      <c r="F8" s="124">
        <f t="shared" si="0"/>
        <v>2024</v>
      </c>
      <c r="G8" s="85">
        <f>F8+1</f>
        <v>2025</v>
      </c>
      <c r="H8" s="85">
        <f t="shared" ref="H8:K8" si="1">G8+1</f>
        <v>2026</v>
      </c>
      <c r="I8" s="85">
        <f t="shared" si="1"/>
        <v>2027</v>
      </c>
      <c r="J8" s="85">
        <f t="shared" si="1"/>
        <v>2028</v>
      </c>
      <c r="K8" s="85">
        <f t="shared" si="1"/>
        <v>2029</v>
      </c>
    </row>
    <row r="10" spans="2:11">
      <c r="B10" s="2" t="s">
        <v>141</v>
      </c>
      <c r="C10" s="204"/>
      <c r="D10" s="204">
        <f>C12</f>
        <v>125117.25</v>
      </c>
      <c r="E10" s="204">
        <f t="shared" ref="E10:K10" si="2">D12</f>
        <v>295429.57</v>
      </c>
      <c r="F10" s="204">
        <f t="shared" si="2"/>
        <v>464791.42000000004</v>
      </c>
      <c r="G10" s="204">
        <f t="shared" si="2"/>
        <v>401370.72000000003</v>
      </c>
      <c r="H10" s="204">
        <f t="shared" si="2"/>
        <v>574740.53974439215</v>
      </c>
      <c r="I10" s="204">
        <f t="shared" si="2"/>
        <v>810282.1514709281</v>
      </c>
      <c r="J10" s="204">
        <f t="shared" si="2"/>
        <v>1075939.6448443206</v>
      </c>
      <c r="K10" s="204">
        <f t="shared" si="2"/>
        <v>1358143.9891473742</v>
      </c>
    </row>
    <row r="11" spans="2:11">
      <c r="B11" t="s">
        <v>142</v>
      </c>
      <c r="C11" s="98"/>
      <c r="D11" s="98">
        <f>D12-D10</f>
        <v>170312.32000000001</v>
      </c>
      <c r="E11" s="98">
        <f t="shared" ref="E11:F11" si="3">E12-E10</f>
        <v>169361.85000000003</v>
      </c>
      <c r="F11" s="98">
        <f t="shared" si="3"/>
        <v>-63420.700000000012</v>
      </c>
      <c r="G11" s="98">
        <f t="shared" ref="G11" si="4">G12-G10</f>
        <v>173369.81974439212</v>
      </c>
      <c r="H11" s="98">
        <f t="shared" ref="H11" si="5">H12-H10</f>
        <v>235541.61172653595</v>
      </c>
      <c r="I11" s="98">
        <f t="shared" ref="I11" si="6">I12-I10</f>
        <v>265657.4933733925</v>
      </c>
      <c r="J11" s="98">
        <f t="shared" ref="J11:K11" si="7">J12-J10</f>
        <v>282204.34430305357</v>
      </c>
      <c r="K11" s="98">
        <f t="shared" si="7"/>
        <v>284978.16639662813</v>
      </c>
    </row>
    <row r="12" spans="2:11">
      <c r="B12" s="10" t="s">
        <v>143</v>
      </c>
      <c r="C12" s="199">
        <f>SUM('Balance Sheet'!C47:C48,'Balance Sheet'!C56:C57)</f>
        <v>125117.25</v>
      </c>
      <c r="D12" s="199">
        <f>SUM('Balance Sheet'!D47:D48,'Balance Sheet'!D56:D57)</f>
        <v>295429.57</v>
      </c>
      <c r="E12" s="199">
        <f>SUM('Balance Sheet'!E47:E48,'Balance Sheet'!E56:E57)</f>
        <v>464791.42000000004</v>
      </c>
      <c r="F12" s="199">
        <f>SUM('Balance Sheet'!F47:F48,'Balance Sheet'!F56:F57)</f>
        <v>401370.72000000003</v>
      </c>
      <c r="G12" s="199">
        <f>SUM('B_Sheet '!G29,'B_Sheet '!G31,'B_Sheet '!G41,'B_Sheet '!G43)</f>
        <v>574740.53974439215</v>
      </c>
      <c r="H12" s="199">
        <f>SUM('B_Sheet '!H29,'B_Sheet '!H31,'B_Sheet '!H41,'B_Sheet '!H43)</f>
        <v>810282.1514709281</v>
      </c>
      <c r="I12" s="199">
        <f>SUM('B_Sheet '!I29,'B_Sheet '!I31,'B_Sheet '!I41,'B_Sheet '!I43)</f>
        <v>1075939.6448443206</v>
      </c>
      <c r="J12" s="199">
        <f>SUM('B_Sheet '!J29,'B_Sheet '!J31,'B_Sheet '!J41,'B_Sheet '!J43)</f>
        <v>1358143.9891473742</v>
      </c>
      <c r="K12" s="199">
        <f>SUM('B_Sheet '!K29,'B_Sheet '!K31,'B_Sheet '!K41,'B_Sheet '!K43)</f>
        <v>1643122.1555440023</v>
      </c>
    </row>
    <row r="13" spans="2:11">
      <c r="B13" s="21" t="s">
        <v>144</v>
      </c>
      <c r="C13" s="24">
        <f>C14/C12</f>
        <v>8.9056704810887399E-2</v>
      </c>
      <c r="D13" s="24">
        <f t="shared" ref="D13:F13" si="8">D14/D12</f>
        <v>2.8954921472484962E-2</v>
      </c>
      <c r="E13" s="24">
        <f t="shared" si="8"/>
        <v>6.2660902819591635E-2</v>
      </c>
      <c r="F13" s="24">
        <f t="shared" si="8"/>
        <v>9.1194245559317322E-2</v>
      </c>
      <c r="G13" s="25">
        <f>AVERAGE(C13:F13)</f>
        <v>6.796669366557033E-2</v>
      </c>
      <c r="H13" s="25">
        <f>G13</f>
        <v>6.796669366557033E-2</v>
      </c>
      <c r="I13" s="25">
        <f t="shared" ref="I13:K13" si="9">H13</f>
        <v>6.796669366557033E-2</v>
      </c>
      <c r="J13" s="25">
        <f t="shared" si="9"/>
        <v>6.796669366557033E-2</v>
      </c>
      <c r="K13" s="25">
        <f t="shared" si="9"/>
        <v>6.796669366557033E-2</v>
      </c>
    </row>
    <row r="14" spans="2:11">
      <c r="B14" s="10" t="s">
        <v>145</v>
      </c>
      <c r="C14" s="199">
        <f>'Income statement'!C18</f>
        <v>11142.53</v>
      </c>
      <c r="D14" s="199">
        <f>'Income statement'!D18</f>
        <v>8554.14</v>
      </c>
      <c r="E14" s="199">
        <f>'Income statement'!E18</f>
        <v>29124.25</v>
      </c>
      <c r="F14" s="199">
        <f>'Income statement'!F18</f>
        <v>36602.699999999997</v>
      </c>
      <c r="G14" s="199">
        <f>G13*G12</f>
        <v>39063.21420199165</v>
      </c>
      <c r="H14" s="199">
        <f t="shared" ref="H14:K14" si="10">H13*H12</f>
        <v>55072.198771703828</v>
      </c>
      <c r="I14" s="199">
        <f t="shared" si="10"/>
        <v>73128.060243776476</v>
      </c>
      <c r="J14" s="199">
        <f t="shared" si="10"/>
        <v>92308.55646411526</v>
      </c>
      <c r="K14" s="199">
        <f t="shared" si="10"/>
        <v>111677.58020097081</v>
      </c>
    </row>
  </sheetData>
  <mergeCells count="1">
    <mergeCell ref="B6:K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K64"/>
  <sheetViews>
    <sheetView showGridLines="0" topLeftCell="B1" workbookViewId="0">
      <selection activeCell="B1" sqref="B1"/>
    </sheetView>
  </sheetViews>
  <sheetFormatPr defaultRowHeight="15"/>
  <cols>
    <col min="1" max="1" width="1.85546875" customWidth="1"/>
    <col min="2" max="2" width="108.5703125" bestFit="1" customWidth="1"/>
    <col min="3" max="4" width="11.5703125" bestFit="1" customWidth="1"/>
    <col min="5" max="6" width="12.5703125" bestFit="1" customWidth="1"/>
    <col min="7" max="7" width="18.140625" bestFit="1" customWidth="1"/>
    <col min="8" max="8" width="10.85546875" bestFit="1" customWidth="1"/>
    <col min="9" max="9" width="11.140625" bestFit="1" customWidth="1"/>
    <col min="10" max="11" width="10.85546875" bestFit="1" customWidth="1"/>
  </cols>
  <sheetData>
    <row r="6" spans="2:11" ht="15.75" thickBot="1">
      <c r="B6" s="222" t="s">
        <v>343</v>
      </c>
      <c r="C6" s="222"/>
      <c r="D6" s="222"/>
      <c r="E6" s="222"/>
      <c r="F6" s="222"/>
      <c r="G6" s="222"/>
      <c r="H6" s="222"/>
      <c r="I6" s="222"/>
      <c r="J6" s="222"/>
      <c r="K6" s="222"/>
    </row>
    <row r="8" spans="2:11">
      <c r="B8" s="124" t="s">
        <v>0</v>
      </c>
      <c r="C8" s="124">
        <v>2021</v>
      </c>
      <c r="D8" s="124">
        <f>C8+1</f>
        <v>2022</v>
      </c>
      <c r="E8" s="124">
        <f t="shared" ref="E8:F8" si="0">D8+1</f>
        <v>2023</v>
      </c>
      <c r="F8" s="124">
        <f t="shared" si="0"/>
        <v>2024</v>
      </c>
      <c r="G8" s="85">
        <f>F8+1</f>
        <v>2025</v>
      </c>
      <c r="H8" s="85">
        <f t="shared" ref="H8:K8" si="1">G8+1</f>
        <v>2026</v>
      </c>
      <c r="I8" s="85">
        <f t="shared" si="1"/>
        <v>2027</v>
      </c>
      <c r="J8" s="85">
        <f t="shared" si="1"/>
        <v>2028</v>
      </c>
      <c r="K8" s="85">
        <f t="shared" si="1"/>
        <v>2029</v>
      </c>
    </row>
    <row r="10" spans="2:11">
      <c r="B10" s="1" t="s">
        <v>69</v>
      </c>
    </row>
    <row r="11" spans="2:11">
      <c r="B11" t="s">
        <v>18</v>
      </c>
      <c r="C11" s="98">
        <v>36650.300000000003</v>
      </c>
      <c r="D11" s="98">
        <v>53499.23</v>
      </c>
      <c r="E11" s="98">
        <v>42616.98</v>
      </c>
      <c r="F11" s="98">
        <v>14083.42</v>
      </c>
      <c r="G11" s="98">
        <f>'P&amp;L Statement'!G28</f>
        <v>79252.79340305792</v>
      </c>
      <c r="H11" s="98">
        <f>'P&amp;L Statement'!H28</f>
        <v>118551.8694114208</v>
      </c>
      <c r="I11" s="98">
        <f>'P&amp;L Statement'!I28</f>
        <v>163562.78986019819</v>
      </c>
      <c r="J11" s="98">
        <f>'P&amp;L Statement'!J28</f>
        <v>211800.6553131734</v>
      </c>
      <c r="K11" s="98">
        <f>'P&amp;L Statement'!K28</f>
        <v>260744.85134717566</v>
      </c>
    </row>
    <row r="12" spans="2:11">
      <c r="B12" s="1" t="s">
        <v>70</v>
      </c>
      <c r="C12" s="98"/>
      <c r="D12" s="98"/>
      <c r="E12" s="98"/>
      <c r="F12" s="98"/>
      <c r="G12" s="98"/>
      <c r="H12" s="98"/>
      <c r="I12" s="98"/>
      <c r="J12" s="98"/>
      <c r="K12" s="98"/>
    </row>
    <row r="13" spans="2:11">
      <c r="B13" t="s">
        <v>71</v>
      </c>
      <c r="C13" s="98">
        <v>8332.81</v>
      </c>
      <c r="D13" s="98">
        <v>9045.7199999999993</v>
      </c>
      <c r="E13" s="98">
        <v>17515.310000000001</v>
      </c>
      <c r="F13" s="98">
        <v>21067.03</v>
      </c>
      <c r="G13" s="98">
        <f>-'P&amp;L Statement'!G19</f>
        <v>25239.541792031388</v>
      </c>
      <c r="H13" s="98">
        <f>-'P&amp;L Statement'!H19</f>
        <v>28763.777074475816</v>
      </c>
      <c r="I13" s="98">
        <f>-'P&amp;L Statement'!I19</f>
        <v>32051.471261452716</v>
      </c>
      <c r="J13" s="98">
        <f>-'P&amp;L Statement'!J19</f>
        <v>35120.567644751114</v>
      </c>
      <c r="K13" s="98">
        <f>-'P&amp;L Statement'!K19</f>
        <v>37987.636046074702</v>
      </c>
    </row>
    <row r="14" spans="2:11">
      <c r="B14" s="4" t="s">
        <v>10</v>
      </c>
      <c r="C14" s="98">
        <v>10158.34</v>
      </c>
      <c r="D14" s="98">
        <v>6151.37</v>
      </c>
      <c r="E14" s="98">
        <v>25151.99</v>
      </c>
      <c r="F14" s="98">
        <v>32128.33</v>
      </c>
      <c r="G14" s="98">
        <f>-'P&amp;L Statement'!G24</f>
        <v>39063.21420199165</v>
      </c>
      <c r="H14" s="98">
        <f>-'P&amp;L Statement'!H24</f>
        <v>55072.198771703828</v>
      </c>
      <c r="I14" s="98">
        <f>-'P&amp;L Statement'!I24</f>
        <v>73128.060243776476</v>
      </c>
      <c r="J14" s="98">
        <f>-'P&amp;L Statement'!J24</f>
        <v>92308.55646411526</v>
      </c>
      <c r="K14" s="98">
        <f>-'P&amp;L Statement'!K24</f>
        <v>111677.58020097081</v>
      </c>
    </row>
    <row r="15" spans="2:11">
      <c r="B15" s="4" t="s">
        <v>87</v>
      </c>
      <c r="C15" s="98">
        <v>-55.86</v>
      </c>
      <c r="D15" s="98">
        <v>-299.99</v>
      </c>
      <c r="E15" s="98">
        <v>-986.5</v>
      </c>
      <c r="F15" s="98">
        <v>-625.86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</row>
    <row r="16" spans="2:11">
      <c r="B16" t="s">
        <v>88</v>
      </c>
      <c r="C16" s="98">
        <v>-23.43</v>
      </c>
      <c r="D16" s="98">
        <v>-635.85</v>
      </c>
      <c r="E16" s="98">
        <v>-93.36</v>
      </c>
      <c r="F16" s="98">
        <v>-111.58</v>
      </c>
      <c r="G16" s="98">
        <v>0</v>
      </c>
      <c r="H16" s="98">
        <v>0</v>
      </c>
      <c r="I16" s="98">
        <v>0</v>
      </c>
      <c r="J16" s="98">
        <v>0</v>
      </c>
      <c r="K16" s="98">
        <v>0</v>
      </c>
    </row>
    <row r="17" spans="2:11">
      <c r="B17" t="s">
        <v>89</v>
      </c>
      <c r="C17" s="98">
        <v>-3.99</v>
      </c>
      <c r="D17" s="98">
        <v>-38.130000000000003</v>
      </c>
      <c r="E17" s="98"/>
      <c r="F17" s="98"/>
      <c r="G17" s="98">
        <v>0</v>
      </c>
      <c r="H17" s="98">
        <v>0</v>
      </c>
      <c r="I17" s="98">
        <v>0</v>
      </c>
      <c r="J17" s="98">
        <v>0</v>
      </c>
      <c r="K17" s="98">
        <v>0</v>
      </c>
    </row>
    <row r="18" spans="2:11">
      <c r="B18" t="s">
        <v>90</v>
      </c>
      <c r="C18" s="98">
        <v>689.9</v>
      </c>
      <c r="D18" s="98">
        <v>1289.42</v>
      </c>
      <c r="E18" s="98">
        <v>1511.9</v>
      </c>
      <c r="F18" s="98">
        <v>2431.13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</row>
    <row r="19" spans="2:11">
      <c r="B19" t="s">
        <v>91</v>
      </c>
      <c r="C19" s="98">
        <v>764.91</v>
      </c>
      <c r="D19" s="98">
        <v>2095.7800000000002</v>
      </c>
      <c r="E19" s="98">
        <v>1239.9000000000001</v>
      </c>
      <c r="F19" s="98">
        <v>797.88</v>
      </c>
      <c r="G19" s="98">
        <v>0</v>
      </c>
      <c r="H19" s="98">
        <v>0</v>
      </c>
      <c r="I19" s="98">
        <v>0</v>
      </c>
      <c r="J19" s="98">
        <v>0</v>
      </c>
      <c r="K19" s="98">
        <v>0</v>
      </c>
    </row>
    <row r="20" spans="2:11">
      <c r="B20" t="s">
        <v>92</v>
      </c>
      <c r="C20" s="98"/>
      <c r="D20" s="98">
        <v>10.23</v>
      </c>
      <c r="E20" s="98">
        <v>68.73</v>
      </c>
      <c r="F20" s="98">
        <v>33.76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</row>
    <row r="21" spans="2:11">
      <c r="B21" t="s">
        <v>93</v>
      </c>
      <c r="C21" s="98">
        <v>-359.88</v>
      </c>
      <c r="D21" s="98">
        <v>-1727.47</v>
      </c>
      <c r="E21" s="98">
        <v>-6883.44</v>
      </c>
      <c r="F21" s="98">
        <v>-3850.13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</row>
    <row r="22" spans="2:11">
      <c r="B22" t="s">
        <v>94</v>
      </c>
      <c r="C22" s="98">
        <v>2400.17</v>
      </c>
      <c r="D22" s="98">
        <v>3922.46</v>
      </c>
      <c r="E22" s="98">
        <v>2586.92</v>
      </c>
      <c r="F22" s="98">
        <v>180.32</v>
      </c>
      <c r="G22" s="98">
        <v>0</v>
      </c>
      <c r="H22" s="98">
        <v>0</v>
      </c>
      <c r="I22" s="98">
        <v>0</v>
      </c>
      <c r="J22" s="98">
        <v>0</v>
      </c>
      <c r="K22" s="98">
        <v>0</v>
      </c>
    </row>
    <row r="23" spans="2:11">
      <c r="B23" t="s">
        <v>95</v>
      </c>
      <c r="C23" s="98">
        <v>19.5</v>
      </c>
      <c r="D23" s="98">
        <v>-61.12</v>
      </c>
      <c r="E23" s="98">
        <v>-50.52</v>
      </c>
      <c r="F23" s="98">
        <v>-66.7</v>
      </c>
      <c r="G23" s="98">
        <f>-'Revenue BuildUp'!G16</f>
        <v>-59.301903277944099</v>
      </c>
      <c r="H23" s="98">
        <f>-'Revenue BuildUp'!H16</f>
        <v>-83.605158243654699</v>
      </c>
      <c r="I23" s="98">
        <f>-'Revenue BuildUp'!I16</f>
        <v>-111.01577901541438</v>
      </c>
      <c r="J23" s="98">
        <f>-'Revenue BuildUp'!J16</f>
        <v>-140.13370888672304</v>
      </c>
      <c r="K23" s="98">
        <f>-'Revenue BuildUp'!K16</f>
        <v>-169.53784256327671</v>
      </c>
    </row>
    <row r="24" spans="2:11">
      <c r="B24" s="7" t="s">
        <v>73</v>
      </c>
      <c r="C24" s="198">
        <f>SUM(C11:C23)</f>
        <v>58572.770000000004</v>
      </c>
      <c r="D24" s="198">
        <f t="shared" ref="D24:G24" si="2">SUM(D11:D23)</f>
        <v>73251.649999999994</v>
      </c>
      <c r="E24" s="198">
        <f t="shared" si="2"/>
        <v>82677.909999999989</v>
      </c>
      <c r="F24" s="198">
        <f t="shared" si="2"/>
        <v>66067.600000000006</v>
      </c>
      <c r="G24" s="198">
        <f t="shared" si="2"/>
        <v>143496.24749380301</v>
      </c>
      <c r="H24" s="198">
        <f t="shared" ref="H24" si="3">SUM(H11:H23)</f>
        <v>202304.24009935677</v>
      </c>
      <c r="I24" s="198">
        <f t="shared" ref="I24" si="4">SUM(I11:I23)</f>
        <v>268631.30558641191</v>
      </c>
      <c r="J24" s="198">
        <f t="shared" ref="J24" si="5">SUM(J11:J23)</f>
        <v>339089.645713153</v>
      </c>
      <c r="K24" s="198">
        <f t="shared" ref="K24" si="6">SUM(K11:K23)</f>
        <v>410240.52975165786</v>
      </c>
    </row>
    <row r="25" spans="2:11">
      <c r="B25" s="1"/>
      <c r="C25" s="98"/>
      <c r="D25" s="98"/>
      <c r="E25" s="98"/>
      <c r="F25" s="98"/>
      <c r="G25" s="98"/>
      <c r="H25" s="98"/>
      <c r="I25" s="98"/>
      <c r="J25" s="98"/>
      <c r="K25" s="98"/>
    </row>
    <row r="26" spans="2:11">
      <c r="B26" s="1" t="s">
        <v>70</v>
      </c>
      <c r="C26" s="98"/>
      <c r="D26" s="98"/>
      <c r="E26" s="98"/>
      <c r="F26" s="98"/>
      <c r="G26" s="98"/>
      <c r="H26" s="98"/>
      <c r="I26" s="98"/>
      <c r="J26" s="98"/>
      <c r="K26" s="98"/>
    </row>
    <row r="27" spans="2:11">
      <c r="B27" t="s">
        <v>74</v>
      </c>
      <c r="C27" s="98">
        <v>17948.45</v>
      </c>
      <c r="D27" s="98">
        <v>-139416.88</v>
      </c>
      <c r="E27" s="98">
        <v>14748.72</v>
      </c>
      <c r="F27" s="98">
        <v>40684.769999999997</v>
      </c>
      <c r="G27" s="98">
        <f>Balance_Sheet!F25-Balance_Sheet!G25</f>
        <v>-162425.73224661825</v>
      </c>
      <c r="H27" s="98">
        <f>Balance_Sheet!G25-Balance_Sheet!H25</f>
        <v>-141597.23606424802</v>
      </c>
      <c r="I27" s="98">
        <f>Balance_Sheet!H25-Balance_Sheet!I25</f>
        <v>-159701.57682839216</v>
      </c>
      <c r="J27" s="98">
        <f>Balance_Sheet!I25-Balance_Sheet!J25</f>
        <v>-169648.81434635271</v>
      </c>
      <c r="K27" s="98">
        <f>Balance_Sheet!J25-Balance_Sheet!K25</f>
        <v>-171316.31393975858</v>
      </c>
    </row>
    <row r="28" spans="2:11">
      <c r="B28" t="s">
        <v>96</v>
      </c>
      <c r="C28" s="98">
        <v>98565.79</v>
      </c>
      <c r="D28" s="98">
        <v>-10627.34</v>
      </c>
      <c r="E28" s="98">
        <v>-242375.3</v>
      </c>
      <c r="F28" s="98">
        <v>96429.759999999995</v>
      </c>
      <c r="G28" s="98">
        <f>Balance_Sheet!F27-Balance_Sheet!G27</f>
        <v>-100012.09443746234</v>
      </c>
      <c r="H28" s="98">
        <f>Balance_Sheet!G27-Balance_Sheet!H27</f>
        <v>-152478.57381695905</v>
      </c>
      <c r="I28" s="98">
        <f>Balance_Sheet!H27-Balance_Sheet!I27</f>
        <v>-171974.18076765107</v>
      </c>
      <c r="J28" s="98">
        <f>Balance_Sheet!I27-Balance_Sheet!J27</f>
        <v>-182685.83469759743</v>
      </c>
      <c r="K28" s="98">
        <f>Balance_Sheet!J27-Balance_Sheet!K27</f>
        <v>-184481.47680834867</v>
      </c>
    </row>
    <row r="29" spans="2:11">
      <c r="B29" t="s">
        <v>97</v>
      </c>
      <c r="C29" s="98">
        <v>-33083.24</v>
      </c>
      <c r="D29" s="98">
        <v>-51707.35</v>
      </c>
      <c r="E29" s="98">
        <v>-4033.41</v>
      </c>
      <c r="F29" s="98">
        <v>-10696.24</v>
      </c>
      <c r="G29" s="98">
        <f>SUM(Balance_Sheet!F30:F32)-SUM(Balance_Sheet!G30:G32)</f>
        <v>-65049.83770307849</v>
      </c>
      <c r="H29" s="98">
        <f>SUM(Balance_Sheet!G30:G32)-SUM(Balance_Sheet!H30:H32)</f>
        <v>-71229.762207699707</v>
      </c>
      <c r="I29" s="98">
        <f>SUM(Balance_Sheet!H30:H32)-SUM(Balance_Sheet!I30:I32)</f>
        <v>-80337.057825899683</v>
      </c>
      <c r="J29" s="98">
        <f>SUM(Balance_Sheet!I30:I32)-SUM(Balance_Sheet!J30:J32)</f>
        <v>-85340.964559688873</v>
      </c>
      <c r="K29" s="98">
        <f>SUM(Balance_Sheet!J30:J32)-SUM(Balance_Sheet!K30:K32)</f>
        <v>-86179.791664095421</v>
      </c>
    </row>
    <row r="30" spans="2:11">
      <c r="B30" t="s">
        <v>98</v>
      </c>
      <c r="C30" s="98">
        <v>15688.45</v>
      </c>
      <c r="D30" s="98">
        <v>132807.79</v>
      </c>
      <c r="E30" s="98">
        <v>-74426.45</v>
      </c>
      <c r="F30" s="98">
        <v>-41241.599999999999</v>
      </c>
      <c r="G30" s="98">
        <f>SUM(Balance_Sheet!G56:G62,Balance_Sheet!G64)-SUM(Balance_Sheet!F56:F62,Balance_Sheet!F64)</f>
        <v>356478.30896178109</v>
      </c>
      <c r="H30" s="98">
        <f>SUM(Balance_Sheet!H56:H62,Balance_Sheet!H64)-SUM(Balance_Sheet!G56:G62,Balance_Sheet!G64)</f>
        <v>357277.73290224979</v>
      </c>
      <c r="I30" s="98">
        <f>SUM(Balance_Sheet!I56:I62,Balance_Sheet!I64)-SUM(Balance_Sheet!H56:H62,Balance_Sheet!H64)</f>
        <v>402958.55269571184</v>
      </c>
      <c r="J30" s="98">
        <f>SUM(Balance_Sheet!J56:J62,Balance_Sheet!J64)-SUM(Balance_Sheet!I56:I62,Balance_Sheet!I64)</f>
        <v>428057.39337819954</v>
      </c>
      <c r="K30" s="98">
        <f>SUM(Balance_Sheet!K56:K62,Balance_Sheet!K64)-SUM(Balance_Sheet!J56:J62,Balance_Sheet!J64)</f>
        <v>432264.82348705479</v>
      </c>
    </row>
    <row r="31" spans="2:11">
      <c r="B31" t="s">
        <v>99</v>
      </c>
      <c r="C31" s="98">
        <v>135.21</v>
      </c>
      <c r="D31" s="98">
        <v>-143.47999999999999</v>
      </c>
      <c r="E31" s="98">
        <v>-523.42999999999995</v>
      </c>
      <c r="F31" s="98">
        <v>-1732.2</v>
      </c>
      <c r="G31" s="98">
        <f>Balance_Sheet!G63-Balance_Sheet!F63</f>
        <v>9646.0062219419979</v>
      </c>
      <c r="H31" s="98">
        <f>Balance_Sheet!H63-Balance_Sheet!G63</f>
        <v>6938.6665177309915</v>
      </c>
      <c r="I31" s="98">
        <f>Balance_Sheet!I63-Balance_Sheet!H63</f>
        <v>7825.8306077755224</v>
      </c>
      <c r="J31" s="98">
        <f>Balance_Sheet!J63-Balance_Sheet!I63</f>
        <v>8313.2734832739734</v>
      </c>
      <c r="K31" s="98">
        <f>Balance_Sheet!K63-Balance_Sheet!J63</f>
        <v>8394.9856968644017</v>
      </c>
    </row>
    <row r="32" spans="2:11">
      <c r="B32" s="7" t="s">
        <v>75</v>
      </c>
      <c r="C32" s="198">
        <f>C24+SUM(C27:C31)</f>
        <v>157827.43</v>
      </c>
      <c r="D32" s="198">
        <f t="shared" ref="D32:G32" si="7">D24+SUM(D27:D31)</f>
        <v>4164.3899999999994</v>
      </c>
      <c r="E32" s="198">
        <f t="shared" si="7"/>
        <v>-223931.96000000002</v>
      </c>
      <c r="F32" s="198">
        <f t="shared" si="7"/>
        <v>149512.09000000003</v>
      </c>
      <c r="G32" s="198">
        <f t="shared" si="7"/>
        <v>182132.89829036704</v>
      </c>
      <c r="H32" s="198">
        <f t="shared" ref="H32" si="8">H24+SUM(H27:H31)</f>
        <v>201215.06743043079</v>
      </c>
      <c r="I32" s="198">
        <f t="shared" ref="I32" si="9">I24+SUM(I27:I31)</f>
        <v>267402.87346795638</v>
      </c>
      <c r="J32" s="198">
        <f t="shared" ref="J32" si="10">J24+SUM(J27:J31)</f>
        <v>337784.69897098752</v>
      </c>
      <c r="K32" s="198">
        <f t="shared" ref="K32" si="11">K24+SUM(K27:K31)</f>
        <v>408922.75652337435</v>
      </c>
    </row>
    <row r="33" spans="2:11">
      <c r="B33" t="s">
        <v>76</v>
      </c>
      <c r="C33" s="98">
        <v>-7712.66</v>
      </c>
      <c r="D33" s="98">
        <v>-8552.2099999999991</v>
      </c>
      <c r="E33" s="98">
        <v>-13735.33</v>
      </c>
      <c r="F33" s="98">
        <v>-5836.25</v>
      </c>
      <c r="G33" s="98">
        <f>-'P&amp;L Statement'!G31</f>
        <v>-23030.063507444582</v>
      </c>
      <c r="H33" s="98">
        <f>-'P&amp;L Statement'!H31</f>
        <v>-34449.979164595003</v>
      </c>
      <c r="I33" s="98">
        <f>-'P&amp;L Statement'!I31</f>
        <v>-47529.699284894035</v>
      </c>
      <c r="J33" s="98">
        <f>-'P&amp;L Statement'!J31</f>
        <v>-61547.137120753607</v>
      </c>
      <c r="K33" s="98">
        <f>-'P&amp;L Statement'!K31</f>
        <v>-75769.827509107767</v>
      </c>
    </row>
    <row r="34" spans="2:11">
      <c r="C34" s="98"/>
      <c r="D34" s="98"/>
      <c r="E34" s="98"/>
      <c r="F34" s="98"/>
      <c r="G34" s="98"/>
      <c r="H34" s="98"/>
      <c r="I34" s="98"/>
      <c r="J34" s="98"/>
      <c r="K34" s="98"/>
    </row>
    <row r="35" spans="2:11">
      <c r="B35" s="10" t="s">
        <v>77</v>
      </c>
      <c r="C35" s="199">
        <f>SUM(C32:C33)</f>
        <v>150114.76999999999</v>
      </c>
      <c r="D35" s="199">
        <f>SUM(D32:D33)</f>
        <v>-4387.82</v>
      </c>
      <c r="E35" s="199">
        <f>SUM(E32:E33)</f>
        <v>-237667.29</v>
      </c>
      <c r="F35" s="199">
        <f>SUM(F32:F33)</f>
        <v>143675.84000000003</v>
      </c>
      <c r="G35" s="199">
        <f>SUM(G32:G33)</f>
        <v>159102.83478292247</v>
      </c>
      <c r="H35" s="199">
        <f t="shared" ref="H35:K35" si="12">SUM(H32:H33)</f>
        <v>166765.08826583577</v>
      </c>
      <c r="I35" s="199">
        <f t="shared" si="12"/>
        <v>219873.17418306234</v>
      </c>
      <c r="J35" s="199">
        <f t="shared" si="12"/>
        <v>276237.56185023393</v>
      </c>
      <c r="K35" s="199">
        <f t="shared" si="12"/>
        <v>333152.92901426658</v>
      </c>
    </row>
    <row r="36" spans="2:11">
      <c r="C36" s="98"/>
      <c r="D36" s="98"/>
      <c r="E36" s="98"/>
      <c r="F36" s="98"/>
      <c r="G36" s="98"/>
      <c r="H36" s="98"/>
      <c r="I36" s="98"/>
      <c r="J36" s="98"/>
      <c r="K36" s="98"/>
    </row>
    <row r="37" spans="2:11">
      <c r="B37" s="1" t="s">
        <v>78</v>
      </c>
      <c r="C37" s="98"/>
      <c r="D37" s="98"/>
      <c r="E37" s="98"/>
      <c r="F37" s="98"/>
      <c r="G37" s="98"/>
      <c r="H37" s="98"/>
      <c r="I37" s="98"/>
      <c r="J37" s="98"/>
      <c r="K37" s="98"/>
    </row>
    <row r="38" spans="2:11">
      <c r="B38" t="s">
        <v>100</v>
      </c>
      <c r="C38" s="98">
        <v>11.04</v>
      </c>
      <c r="D38" s="98">
        <v>38.4</v>
      </c>
      <c r="E38" s="98">
        <v>37.729999999999997</v>
      </c>
      <c r="F38" s="98">
        <v>38.78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</row>
    <row r="39" spans="2:11">
      <c r="B39" t="s">
        <v>101</v>
      </c>
      <c r="C39" s="98">
        <v>-16883.28</v>
      </c>
      <c r="D39" s="98">
        <v>-62022.19</v>
      </c>
      <c r="E39" s="98">
        <v>-43618.36</v>
      </c>
      <c r="F39" s="98">
        <v>-41150.29</v>
      </c>
      <c r="G39" s="98">
        <f>-FAS!G75</f>
        <v>-75720.749949999969</v>
      </c>
      <c r="H39" s="98">
        <f>-FAS!H75</f>
        <v>-76099.353699749918</v>
      </c>
      <c r="I39" s="98">
        <f>-FAS!I75</f>
        <v>-76479.850468248769</v>
      </c>
      <c r="J39" s="98">
        <f>-FAS!J75</f>
        <v>-76862.249720590073</v>
      </c>
      <c r="K39" s="98">
        <f>-FAS!K75</f>
        <v>-77246.560969192884</v>
      </c>
    </row>
    <row r="40" spans="2:11">
      <c r="B40" t="s">
        <v>102</v>
      </c>
      <c r="C40" s="98">
        <v>0</v>
      </c>
      <c r="D40" s="98">
        <v>0</v>
      </c>
      <c r="E40" s="98">
        <v>-53700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/>
    </row>
    <row r="41" spans="2:11">
      <c r="B41" t="s">
        <v>103</v>
      </c>
      <c r="C41" s="98">
        <v>-76004</v>
      </c>
      <c r="D41" s="98">
        <v>-537889.63</v>
      </c>
      <c r="E41" s="98">
        <v>-440021.35</v>
      </c>
      <c r="F41" s="98">
        <v>-126805.24</v>
      </c>
      <c r="G41" s="98">
        <f>SUM(Balance_Sheet!F19:F20)-SUM(Balance_Sheet!G19:G20)</f>
        <v>-65792.043816865276</v>
      </c>
      <c r="H41" s="98">
        <f>SUM(Balance_Sheet!G19:G20)-SUM(Balance_Sheet!H19:H20)</f>
        <v>-30970.710910668233</v>
      </c>
      <c r="I41" s="98">
        <f>SUM(Balance_Sheet!H19:H20)-SUM(Balance_Sheet!I19:I20)</f>
        <v>-34930.564362752018</v>
      </c>
      <c r="J41" s="98">
        <f>SUM(Balance_Sheet!I19:I20)-SUM(Balance_Sheet!J19:J20)</f>
        <v>-37106.263734374748</v>
      </c>
      <c r="K41" s="98">
        <f>SUM(Balance_Sheet!J19:J20)-SUM(Balance_Sheet!K19:K20)</f>
        <v>-37470.985880699765</v>
      </c>
    </row>
    <row r="42" spans="2:11">
      <c r="B42" t="s">
        <v>104</v>
      </c>
      <c r="C42" s="98">
        <v>63827.42</v>
      </c>
      <c r="D42" s="98">
        <v>495731.47</v>
      </c>
      <c r="E42" s="98">
        <v>495150.85</v>
      </c>
      <c r="F42" s="98">
        <v>126916.82</v>
      </c>
      <c r="G42" s="98">
        <v>0</v>
      </c>
      <c r="H42" s="98">
        <v>0</v>
      </c>
      <c r="I42" s="98">
        <v>0</v>
      </c>
      <c r="J42" s="98">
        <v>0</v>
      </c>
      <c r="K42" s="98">
        <v>0</v>
      </c>
    </row>
    <row r="43" spans="2:11">
      <c r="B43" t="s">
        <v>79</v>
      </c>
      <c r="C43" s="98">
        <v>0</v>
      </c>
      <c r="D43" s="98">
        <v>0</v>
      </c>
      <c r="E43" s="98">
        <v>0</v>
      </c>
      <c r="F43" s="98">
        <v>0</v>
      </c>
      <c r="G43" s="98">
        <v>0</v>
      </c>
      <c r="H43" s="98">
        <v>0</v>
      </c>
      <c r="I43" s="98">
        <v>0</v>
      </c>
      <c r="J43" s="98">
        <v>0</v>
      </c>
      <c r="K43" s="98">
        <v>0</v>
      </c>
    </row>
    <row r="44" spans="2:11">
      <c r="B44" t="s">
        <v>105</v>
      </c>
      <c r="C44" s="98">
        <v>58.52</v>
      </c>
      <c r="D44" s="98">
        <v>326.12</v>
      </c>
      <c r="E44" s="98">
        <v>891.16</v>
      </c>
      <c r="F44" s="98">
        <v>372.52</v>
      </c>
      <c r="G44" s="98">
        <v>0</v>
      </c>
      <c r="H44" s="98">
        <v>0</v>
      </c>
      <c r="I44" s="98">
        <v>0</v>
      </c>
      <c r="J44" s="98">
        <v>0</v>
      </c>
      <c r="K44" s="98">
        <v>0</v>
      </c>
    </row>
    <row r="45" spans="2:11">
      <c r="B45" t="s">
        <v>106</v>
      </c>
      <c r="C45" s="98">
        <v>57.87</v>
      </c>
      <c r="D45" s="98">
        <v>-6062.09</v>
      </c>
      <c r="E45" s="98">
        <v>-610.41999999999996</v>
      </c>
      <c r="F45" s="98">
        <v>3941.87</v>
      </c>
      <c r="G45" s="98">
        <f>Balance_Sheet!F29-Balance_Sheet!G29</f>
        <v>2730.57</v>
      </c>
      <c r="H45" s="98">
        <f>Balance_Sheet!G29-Balance_Sheet!H29</f>
        <v>0</v>
      </c>
      <c r="I45" s="98">
        <f>Balance_Sheet!H29-Balance_Sheet!I29</f>
        <v>0</v>
      </c>
      <c r="J45" s="98">
        <f>Balance_Sheet!I29-Balance_Sheet!J29</f>
        <v>0</v>
      </c>
      <c r="K45" s="98">
        <f>Balance_Sheet!J29-Balance_Sheet!K29</f>
        <v>0</v>
      </c>
    </row>
    <row r="46" spans="2:11">
      <c r="C46" s="98"/>
      <c r="D46" s="98"/>
      <c r="E46" s="98"/>
      <c r="F46" s="98"/>
      <c r="G46" s="98"/>
      <c r="H46" s="98"/>
      <c r="I46" s="98"/>
      <c r="J46" s="98"/>
      <c r="K46" s="98"/>
    </row>
    <row r="47" spans="2:11">
      <c r="C47" s="98"/>
      <c r="D47" s="98"/>
      <c r="E47" s="98"/>
      <c r="F47" s="98"/>
      <c r="G47" s="98"/>
      <c r="H47" s="98"/>
      <c r="I47" s="98"/>
      <c r="J47" s="98"/>
      <c r="K47" s="98"/>
    </row>
    <row r="48" spans="2:11">
      <c r="B48" s="10" t="s">
        <v>80</v>
      </c>
      <c r="C48" s="199">
        <f>SUM(C38:C45)</f>
        <v>-28932.429999999993</v>
      </c>
      <c r="D48" s="199">
        <f t="shared" ref="D48:G48" si="13">SUM(D38:D45)</f>
        <v>-109877.92000000007</v>
      </c>
      <c r="E48" s="199">
        <f t="shared" si="13"/>
        <v>-41870.39</v>
      </c>
      <c r="F48" s="199">
        <f t="shared" si="13"/>
        <v>-36685.539999999994</v>
      </c>
      <c r="G48" s="199">
        <f t="shared" si="13"/>
        <v>-138782.22376686524</v>
      </c>
      <c r="H48" s="199">
        <f t="shared" ref="H48:K48" si="14">SUM(H38:H45)</f>
        <v>-107070.06461041815</v>
      </c>
      <c r="I48" s="199">
        <f t="shared" si="14"/>
        <v>-111410.41483100079</v>
      </c>
      <c r="J48" s="199">
        <f t="shared" si="14"/>
        <v>-113968.51345496482</v>
      </c>
      <c r="K48" s="199">
        <f t="shared" si="14"/>
        <v>-114717.54684989265</v>
      </c>
    </row>
    <row r="49" spans="2:11">
      <c r="C49" s="98"/>
      <c r="D49" s="98"/>
      <c r="E49" s="98"/>
      <c r="F49" s="98"/>
      <c r="G49" s="98"/>
      <c r="H49" s="98"/>
      <c r="I49" s="98"/>
      <c r="J49" s="98"/>
      <c r="K49" s="98"/>
    </row>
    <row r="50" spans="2:11">
      <c r="B50" s="1" t="s">
        <v>81</v>
      </c>
      <c r="C50" s="98"/>
      <c r="D50" s="98"/>
      <c r="E50" s="98"/>
      <c r="F50" s="98"/>
      <c r="G50" s="98"/>
      <c r="H50" s="98"/>
      <c r="I50" s="98"/>
      <c r="J50" s="98"/>
      <c r="K50" s="98"/>
    </row>
    <row r="51" spans="2:11">
      <c r="B51" t="s">
        <v>107</v>
      </c>
      <c r="C51" s="98">
        <v>0</v>
      </c>
      <c r="D51" s="98">
        <v>0</v>
      </c>
      <c r="E51" s="98">
        <v>97506.79</v>
      </c>
      <c r="F51" s="98">
        <v>303.52999999999997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</row>
    <row r="52" spans="2:11">
      <c r="B52" t="s">
        <v>108</v>
      </c>
      <c r="C52" s="98">
        <v>6878.77</v>
      </c>
      <c r="D52" s="98">
        <v>57247.95</v>
      </c>
      <c r="E52" s="98">
        <v>43921.48</v>
      </c>
      <c r="F52" s="98">
        <v>46105.98</v>
      </c>
      <c r="G52" s="98">
        <f>SUM(Balance_Sheet!G47:G51)-SUM(Balance_Sheet!F47:F51)</f>
        <v>26171.510616216241</v>
      </c>
      <c r="H52" s="98">
        <f>SUM(Balance_Sheet!H47:H51)-SUM(Balance_Sheet!G47:G51)</f>
        <v>46412.784965809537</v>
      </c>
      <c r="I52" s="98">
        <f>SUM(Balance_Sheet!I47:I51)-SUM(Balance_Sheet!H47:H51)</f>
        <v>52347.031270255015</v>
      </c>
      <c r="J52" s="98">
        <f>SUM(Balance_Sheet!J47:J51)-SUM(Balance_Sheet!I47:I51)</f>
        <v>55607.539799640799</v>
      </c>
      <c r="K52" s="98">
        <f>SUM(Balance_Sheet!K47:K51)-SUM(Balance_Sheet!J47:J51)</f>
        <v>56154.113321910729</v>
      </c>
    </row>
    <row r="53" spans="2:11">
      <c r="B53" t="s">
        <v>109</v>
      </c>
      <c r="C53" s="98">
        <v>-9878.77</v>
      </c>
      <c r="D53" s="98">
        <v>-6611.19</v>
      </c>
      <c r="E53" s="98">
        <v>-18217.419999999998</v>
      </c>
      <c r="F53" s="98">
        <v>-37308.269999999997</v>
      </c>
      <c r="G53" s="98">
        <v>0</v>
      </c>
      <c r="H53" s="98">
        <v>0</v>
      </c>
      <c r="I53" s="98">
        <v>0</v>
      </c>
      <c r="J53" s="98">
        <v>0</v>
      </c>
      <c r="K53" s="98">
        <v>0</v>
      </c>
    </row>
    <row r="54" spans="2:11">
      <c r="B54" t="s">
        <v>110</v>
      </c>
      <c r="C54" s="98">
        <v>627200.75</v>
      </c>
      <c r="D54" s="98">
        <v>568106.27</v>
      </c>
      <c r="E54" s="98">
        <v>1449982.82</v>
      </c>
      <c r="F54" s="98">
        <v>1845800.3</v>
      </c>
      <c r="G54" s="98">
        <v>0</v>
      </c>
      <c r="H54" s="98">
        <v>0</v>
      </c>
      <c r="I54" s="98">
        <v>0</v>
      </c>
      <c r="J54" s="98">
        <v>0</v>
      </c>
      <c r="K54" s="98">
        <v>0</v>
      </c>
    </row>
    <row r="55" spans="2:11">
      <c r="B55" t="s">
        <v>111</v>
      </c>
      <c r="C55" s="98">
        <v>-724825.59999999998</v>
      </c>
      <c r="D55" s="98">
        <v>-455856.89</v>
      </c>
      <c r="E55" s="98">
        <v>-1321402.6100000001</v>
      </c>
      <c r="F55" s="98">
        <v>-1919803.14</v>
      </c>
      <c r="G55" s="98">
        <v>0</v>
      </c>
      <c r="H55" s="98">
        <v>0</v>
      </c>
      <c r="I55" s="98">
        <v>0</v>
      </c>
      <c r="J55" s="98">
        <v>0</v>
      </c>
      <c r="K55" s="98">
        <v>0</v>
      </c>
    </row>
    <row r="56" spans="2:11">
      <c r="B56" t="s">
        <v>112</v>
      </c>
      <c r="C56" s="98">
        <v>-11813.59</v>
      </c>
      <c r="D56" s="98">
        <v>-3988.75</v>
      </c>
      <c r="E56" s="98">
        <v>-21734.06</v>
      </c>
      <c r="F56" s="98">
        <v>-32959.9</v>
      </c>
      <c r="G56" s="98">
        <f>'P&amp;L Statement'!G24</f>
        <v>-39063.21420199165</v>
      </c>
      <c r="H56" s="98">
        <f>'P&amp;L Statement'!H24</f>
        <v>-55072.198771703828</v>
      </c>
      <c r="I56" s="98">
        <f>'P&amp;L Statement'!I24</f>
        <v>-73128.060243776476</v>
      </c>
      <c r="J56" s="98">
        <f>'P&amp;L Statement'!J24</f>
        <v>-92308.55646411526</v>
      </c>
      <c r="K56" s="98">
        <f>'P&amp;L Statement'!K24</f>
        <v>-111677.58020097081</v>
      </c>
    </row>
    <row r="57" spans="2:11">
      <c r="B57" t="s">
        <v>82</v>
      </c>
      <c r="C57" s="98">
        <v>0</v>
      </c>
      <c r="D57" s="98">
        <v>0</v>
      </c>
      <c r="E57" s="98">
        <v>0</v>
      </c>
      <c r="F57" s="98">
        <v>-4073.7</v>
      </c>
      <c r="G57" s="98">
        <f>'P&amp;L Statement'!G38</f>
        <v>-5731.0671783919606</v>
      </c>
      <c r="H57" s="98">
        <f>'P&amp;L Statement'!H38</f>
        <v>-8572.9309787910679</v>
      </c>
      <c r="I57" s="98">
        <f>'P&amp;L Statement'!I38</f>
        <v>-11827.839705367844</v>
      </c>
      <c r="J57" s="98">
        <f>'P&amp;L Statement'!J38</f>
        <v>-15316.100946170578</v>
      </c>
      <c r="K57" s="98">
        <f>'P&amp;L Statement'!K38</f>
        <v>-18855.439604389147</v>
      </c>
    </row>
    <row r="58" spans="2:11">
      <c r="B58" t="s">
        <v>113</v>
      </c>
      <c r="C58" s="98">
        <v>0</v>
      </c>
      <c r="D58" s="98">
        <v>0</v>
      </c>
      <c r="E58" s="98">
        <v>0</v>
      </c>
      <c r="F58" s="98">
        <v>-286.73</v>
      </c>
      <c r="G58" s="98">
        <v>0</v>
      </c>
      <c r="H58" s="98">
        <v>0</v>
      </c>
      <c r="I58" s="98">
        <v>0</v>
      </c>
      <c r="J58" s="98">
        <v>0</v>
      </c>
      <c r="K58" s="98">
        <v>0</v>
      </c>
    </row>
    <row r="59" spans="2:11">
      <c r="C59" s="98"/>
      <c r="D59" s="98"/>
      <c r="E59" s="98"/>
      <c r="F59" s="98"/>
      <c r="G59" s="98"/>
      <c r="H59" s="98"/>
      <c r="I59" s="98"/>
      <c r="J59" s="98"/>
      <c r="K59" s="98"/>
    </row>
    <row r="60" spans="2:11">
      <c r="B60" s="10" t="s">
        <v>83</v>
      </c>
      <c r="C60" s="199">
        <f>SUM(C52:C59)</f>
        <v>-112438.43999999997</v>
      </c>
      <c r="D60" s="199">
        <f>SUM(D52:D59)</f>
        <v>158897.39000000001</v>
      </c>
      <c r="E60" s="199">
        <f t="shared" ref="D60:G60" si="15">SUM(E51:E59)</f>
        <v>230057.00000000006</v>
      </c>
      <c r="F60" s="199">
        <f t="shared" si="15"/>
        <v>-102221.92999999985</v>
      </c>
      <c r="G60" s="199">
        <f>SUM(G51:G59)</f>
        <v>-18622.77076416737</v>
      </c>
      <c r="H60" s="199">
        <f t="shared" ref="H60:K60" si="16">SUM(H51:H59)</f>
        <v>-17232.34478468536</v>
      </c>
      <c r="I60" s="199">
        <f t="shared" si="16"/>
        <v>-32608.868678889303</v>
      </c>
      <c r="J60" s="199">
        <f t="shared" si="16"/>
        <v>-52017.117610645037</v>
      </c>
      <c r="K60" s="199">
        <f t="shared" si="16"/>
        <v>-74378.906483449231</v>
      </c>
    </row>
    <row r="61" spans="2:11">
      <c r="B61" s="1"/>
      <c r="C61" s="98"/>
      <c r="D61" s="98"/>
      <c r="E61" s="98"/>
      <c r="F61" s="98"/>
      <c r="G61" s="98"/>
      <c r="H61" s="98"/>
      <c r="I61" s="98"/>
      <c r="J61" s="98"/>
      <c r="K61" s="98"/>
    </row>
    <row r="62" spans="2:11" ht="15.75" thickBot="1">
      <c r="B62" s="12" t="s">
        <v>84</v>
      </c>
      <c r="C62" s="99">
        <f>C60+C48+C35</f>
        <v>8743.9000000000233</v>
      </c>
      <c r="D62" s="99">
        <f t="shared" ref="D62:G62" si="17">D60+D48+D35</f>
        <v>44631.649999999943</v>
      </c>
      <c r="E62" s="99">
        <f t="shared" si="17"/>
        <v>-49480.679999999964</v>
      </c>
      <c r="F62" s="99">
        <f t="shared" si="17"/>
        <v>4768.37000000017</v>
      </c>
      <c r="G62" s="99">
        <f t="shared" si="17"/>
        <v>1697.8402518898656</v>
      </c>
      <c r="H62" s="99">
        <f t="shared" ref="H62:K62" si="18">H60+H48+H35</f>
        <v>42462.678870732256</v>
      </c>
      <c r="I62" s="99">
        <f t="shared" si="18"/>
        <v>75853.890673172253</v>
      </c>
      <c r="J62" s="99">
        <f t="shared" si="18"/>
        <v>110251.93078462407</v>
      </c>
      <c r="K62" s="99">
        <f t="shared" si="18"/>
        <v>144056.47568092472</v>
      </c>
    </row>
    <row r="63" spans="2:11">
      <c r="B63" t="s">
        <v>85</v>
      </c>
      <c r="C63" s="98">
        <v>408.55</v>
      </c>
      <c r="D63" s="98">
        <f>C64</f>
        <v>9152.4500000000226</v>
      </c>
      <c r="E63" s="98">
        <f>D64</f>
        <v>53784.099999999962</v>
      </c>
      <c r="F63" s="98">
        <f t="shared" ref="F63:K63" si="19">E64</f>
        <v>4303.4199999999983</v>
      </c>
      <c r="G63" s="98">
        <f t="shared" si="19"/>
        <v>9071.7900000001682</v>
      </c>
      <c r="H63" s="98">
        <f t="shared" si="19"/>
        <v>10769.630251890034</v>
      </c>
      <c r="I63" s="98">
        <f t="shared" si="19"/>
        <v>53232.30912262229</v>
      </c>
      <c r="J63" s="98">
        <f t="shared" si="19"/>
        <v>129086.19979579454</v>
      </c>
      <c r="K63" s="98">
        <f t="shared" si="19"/>
        <v>239338.13058041863</v>
      </c>
    </row>
    <row r="64" spans="2:11" ht="15.75" thickBot="1">
      <c r="B64" s="12" t="s">
        <v>86</v>
      </c>
      <c r="C64" s="99">
        <f>SUM(C62:C63)</f>
        <v>9152.4500000000226</v>
      </c>
      <c r="D64" s="99">
        <f>SUM(D62:D63)</f>
        <v>53784.099999999962</v>
      </c>
      <c r="E64" s="99">
        <f t="shared" ref="E64:G64" si="20">SUM(E62:E63)</f>
        <v>4303.4199999999983</v>
      </c>
      <c r="F64" s="99">
        <f t="shared" si="20"/>
        <v>9071.7900000001682</v>
      </c>
      <c r="G64" s="99">
        <f t="shared" si="20"/>
        <v>10769.630251890034</v>
      </c>
      <c r="H64" s="99">
        <f t="shared" ref="H64" si="21">SUM(H62:H63)</f>
        <v>53232.30912262229</v>
      </c>
      <c r="I64" s="99">
        <f t="shared" ref="I64" si="22">SUM(I62:I63)</f>
        <v>129086.19979579454</v>
      </c>
      <c r="J64" s="99">
        <f t="shared" ref="J64" si="23">SUM(J62:J63)</f>
        <v>239338.13058041863</v>
      </c>
      <c r="K64" s="99">
        <f t="shared" ref="K64" si="24">SUM(K62:K63)</f>
        <v>383394.60626134335</v>
      </c>
    </row>
  </sheetData>
  <mergeCells count="1">
    <mergeCell ref="B6:K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K93"/>
  <sheetViews>
    <sheetView showGridLines="0" workbookViewId="0">
      <selection activeCell="B4" sqref="B4"/>
    </sheetView>
  </sheetViews>
  <sheetFormatPr defaultRowHeight="15"/>
  <cols>
    <col min="1" max="1" width="1.85546875" customWidth="1"/>
    <col min="2" max="2" width="70.42578125" bestFit="1" customWidth="1"/>
  </cols>
  <sheetData>
    <row r="6" spans="2:11" ht="15.75" thickBot="1">
      <c r="B6" s="222" t="s">
        <v>353</v>
      </c>
      <c r="C6" s="222"/>
      <c r="D6" s="222"/>
      <c r="E6" s="222"/>
      <c r="F6" s="222"/>
      <c r="G6" s="222"/>
      <c r="H6" s="222"/>
      <c r="I6" s="222"/>
      <c r="J6" s="222"/>
      <c r="K6" s="222"/>
    </row>
    <row r="8" spans="2:11">
      <c r="B8" s="124" t="s">
        <v>0</v>
      </c>
      <c r="C8" s="124">
        <v>2021</v>
      </c>
      <c r="D8" s="124">
        <f>C8+1</f>
        <v>2022</v>
      </c>
      <c r="E8" s="124">
        <f t="shared" ref="E8:F8" si="0">D8+1</f>
        <v>2023</v>
      </c>
      <c r="F8" s="124">
        <f t="shared" si="0"/>
        <v>2024</v>
      </c>
      <c r="G8" s="85">
        <f>F8+1</f>
        <v>2025</v>
      </c>
      <c r="H8" s="85">
        <f t="shared" ref="H8:K8" si="1">G8+1</f>
        <v>2026</v>
      </c>
      <c r="I8" s="85">
        <f t="shared" si="1"/>
        <v>2027</v>
      </c>
      <c r="J8" s="85">
        <f t="shared" si="1"/>
        <v>2028</v>
      </c>
      <c r="K8" s="85">
        <f t="shared" si="1"/>
        <v>2029</v>
      </c>
    </row>
    <row r="9" spans="2:11">
      <c r="B9" s="1" t="s">
        <v>351</v>
      </c>
    </row>
    <row r="10" spans="2:11">
      <c r="B10" t="s">
        <v>1</v>
      </c>
      <c r="C10" s="231">
        <f>'P&amp;L Statement'!C9/'P&amp;L Statement'!C$9</f>
        <v>1</v>
      </c>
      <c r="D10" s="231">
        <f>'P&amp;L Statement'!D9/'P&amp;L Statement'!D$9</f>
        <v>1</v>
      </c>
      <c r="E10" s="231">
        <f>'P&amp;L Statement'!E9/'P&amp;L Statement'!E$9</f>
        <v>1</v>
      </c>
      <c r="F10" s="231">
        <f>'P&amp;L Statement'!F9/'P&amp;L Statement'!F$9</f>
        <v>1</v>
      </c>
      <c r="G10" s="231">
        <f>'P&amp;L Statement'!G9/'P&amp;L Statement'!G$9</f>
        <v>1</v>
      </c>
      <c r="H10" s="231">
        <f>'P&amp;L Statement'!H9/'P&amp;L Statement'!H$9</f>
        <v>1</v>
      </c>
      <c r="I10" s="231">
        <f>'P&amp;L Statement'!I9/'P&amp;L Statement'!I$9</f>
        <v>1</v>
      </c>
      <c r="J10" s="231">
        <f>'P&amp;L Statement'!J9/'P&amp;L Statement'!J$9</f>
        <v>1</v>
      </c>
      <c r="K10" s="231">
        <f>'P&amp;L Statement'!K9/'P&amp;L Statement'!K$9</f>
        <v>1</v>
      </c>
    </row>
    <row r="11" spans="2:11">
      <c r="B11" t="s">
        <v>125</v>
      </c>
      <c r="C11" s="231">
        <f>-'P&amp;L Statement'!C10/'P&amp;L Statement'!C$9</f>
        <v>0.74953704774893037</v>
      </c>
      <c r="D11" s="231">
        <f>-'P&amp;L Statement'!D10/'P&amp;L Statement'!D$9</f>
        <v>0.79927311819462898</v>
      </c>
      <c r="E11" s="231">
        <f>-'P&amp;L Statement'!E10/'P&amp;L Statement'!E$9</f>
        <v>0.79554758577195128</v>
      </c>
      <c r="F11" s="231">
        <f>-'P&amp;L Statement'!F10/'P&amp;L Statement'!F$9</f>
        <v>0.77739525425905309</v>
      </c>
      <c r="G11" s="231">
        <f>-'P&amp;L Statement'!G10/'P&amp;L Statement'!G$9</f>
        <v>0.78043825149364099</v>
      </c>
      <c r="H11" s="231">
        <f>-'P&amp;L Statement'!H10/'P&amp;L Statement'!H$9</f>
        <v>0.78043825149364099</v>
      </c>
      <c r="I11" s="231">
        <f>-'P&amp;L Statement'!I10/'P&amp;L Statement'!I$9</f>
        <v>0.78043825149364099</v>
      </c>
      <c r="J11" s="231">
        <f>-'P&amp;L Statement'!J10/'P&amp;L Statement'!J$9</f>
        <v>0.78043825149364099</v>
      </c>
      <c r="K11" s="231">
        <f>-'P&amp;L Statement'!K10/'P&amp;L Statement'!K$9</f>
        <v>0.78043825149364099</v>
      </c>
    </row>
    <row r="12" spans="2:11">
      <c r="B12" s="7" t="s">
        <v>184</v>
      </c>
      <c r="C12" s="232">
        <f>'P&amp;L Statement'!C11/'P&amp;L Statement'!C$9</f>
        <v>0.25046295225106957</v>
      </c>
      <c r="D12" s="232">
        <f>'P&amp;L Statement'!D11/'P&amp;L Statement'!D$9</f>
        <v>0.20072688180537102</v>
      </c>
      <c r="E12" s="232">
        <f>'P&amp;L Statement'!E11/'P&amp;L Statement'!E$9</f>
        <v>0.20445241422804866</v>
      </c>
      <c r="F12" s="232">
        <f>'P&amp;L Statement'!F11/'P&amp;L Statement'!F$9</f>
        <v>0.22260474574094691</v>
      </c>
      <c r="G12" s="232">
        <f>'P&amp;L Statement'!G11/'P&amp;L Statement'!G$9</f>
        <v>0.21956174850635907</v>
      </c>
      <c r="H12" s="232">
        <f>'P&amp;L Statement'!H11/'P&amp;L Statement'!H$9</f>
        <v>0.21956174850635901</v>
      </c>
      <c r="I12" s="232">
        <f>'P&amp;L Statement'!I11/'P&amp;L Statement'!I$9</f>
        <v>0.21956174850635904</v>
      </c>
      <c r="J12" s="232">
        <f>'P&amp;L Statement'!J11/'P&amp;L Statement'!J$9</f>
        <v>0.21956174850635896</v>
      </c>
      <c r="K12" s="232">
        <f>'P&amp;L Statement'!K11/'P&amp;L Statement'!K$9</f>
        <v>0.21956174850635904</v>
      </c>
    </row>
    <row r="13" spans="2:11">
      <c r="C13" s="231"/>
      <c r="D13" s="231"/>
      <c r="E13" s="231"/>
      <c r="F13" s="231"/>
      <c r="G13" s="231"/>
      <c r="H13" s="231"/>
      <c r="I13" s="231"/>
      <c r="J13" s="231"/>
      <c r="K13" s="231"/>
    </row>
    <row r="14" spans="2:11">
      <c r="B14" t="s">
        <v>186</v>
      </c>
      <c r="C14" s="231">
        <f>-'P&amp;L Statement'!C14/'P&amp;L Statement'!C$9</f>
        <v>2.6950083678083294E-2</v>
      </c>
      <c r="D14" s="231">
        <f>-'P&amp;L Statement'!D14/'P&amp;L Statement'!D$9</f>
        <v>1.7624296844707215E-2</v>
      </c>
      <c r="E14" s="231">
        <f>-'P&amp;L Statement'!E14/'P&amp;L Statement'!E$9</f>
        <v>1.5981331564973257E-2</v>
      </c>
      <c r="F14" s="231">
        <f>-'P&amp;L Statement'!F14/'P&amp;L Statement'!F$9</f>
        <v>1.9851863649825899E-2</v>
      </c>
      <c r="G14" s="231">
        <f>-'P&amp;L Statement'!G14/'P&amp;L Statement'!G$9</f>
        <v>2.0101893934397416E-2</v>
      </c>
      <c r="H14" s="231">
        <f>-'P&amp;L Statement'!H14/'P&amp;L Statement'!H$9</f>
        <v>2.0101893934397416E-2</v>
      </c>
      <c r="I14" s="231">
        <f>-'P&amp;L Statement'!I14/'P&amp;L Statement'!I$9</f>
        <v>2.0101893934397416E-2</v>
      </c>
      <c r="J14" s="231">
        <f>-'P&amp;L Statement'!J14/'P&amp;L Statement'!J$9</f>
        <v>2.0101893934397416E-2</v>
      </c>
      <c r="K14" s="231">
        <f>-'P&amp;L Statement'!K14/'P&amp;L Statement'!K$9</f>
        <v>2.0101893934397416E-2</v>
      </c>
    </row>
    <row r="15" spans="2:11">
      <c r="B15" t="s">
        <v>185</v>
      </c>
      <c r="C15" s="231">
        <f>-'P&amp;L Statement'!C15/'P&amp;L Statement'!C$9</f>
        <v>0.11852286279630886</v>
      </c>
      <c r="D15" s="231">
        <f>-'P&amp;L Statement'!D15/'P&amp;L Statement'!D$9</f>
        <v>9.7705743195405162E-2</v>
      </c>
      <c r="E15" s="231">
        <f>-'P&amp;L Statement'!E15/'P&amp;L Statement'!E$9</f>
        <v>0.12843008892944544</v>
      </c>
      <c r="F15" s="231">
        <f>-'P&amp;L Statement'!F15/'P&amp;L Statement'!F$9</f>
        <v>0.14676820018743997</v>
      </c>
      <c r="G15" s="231">
        <f>-'P&amp;L Statement'!G15/'P&amp;L Statement'!G$9</f>
        <v>0.12285672377714985</v>
      </c>
      <c r="H15" s="231">
        <f>-'P&amp;L Statement'!H15/'P&amp;L Statement'!H$9</f>
        <v>0.12285672377714985</v>
      </c>
      <c r="I15" s="231">
        <f>-'P&amp;L Statement'!I15/'P&amp;L Statement'!I$9</f>
        <v>0.12285672377714985</v>
      </c>
      <c r="J15" s="231">
        <f>-'P&amp;L Statement'!J15/'P&amp;L Statement'!J$9</f>
        <v>0.12285672377714985</v>
      </c>
      <c r="K15" s="231">
        <f>-'P&amp;L Statement'!K15/'P&amp;L Statement'!K$9</f>
        <v>0.12285672377714986</v>
      </c>
    </row>
    <row r="16" spans="2:11">
      <c r="B16" s="7" t="s">
        <v>187</v>
      </c>
      <c r="C16" s="232">
        <f>'P&amp;L Statement'!C16/'P&amp;L Statement'!C$9</f>
        <v>0.10499000577667743</v>
      </c>
      <c r="D16" s="232">
        <f>'P&amp;L Statement'!D16/'P&amp;L Statement'!D$9</f>
        <v>8.5396841765258635E-2</v>
      </c>
      <c r="E16" s="232">
        <f>'P&amp;L Statement'!E16/'P&amp;L Statement'!E$9</f>
        <v>6.0040993733629977E-2</v>
      </c>
      <c r="F16" s="232">
        <f>'P&amp;L Statement'!F16/'P&amp;L Statement'!F$9</f>
        <v>5.5984681903681062E-2</v>
      </c>
      <c r="G16" s="232">
        <f>'P&amp;L Statement'!G16/'P&amp;L Statement'!G$9</f>
        <v>7.6603130794811777E-2</v>
      </c>
      <c r="H16" s="232">
        <f>'P&amp;L Statement'!H16/'P&amp;L Statement'!H$9</f>
        <v>7.660313079481175E-2</v>
      </c>
      <c r="I16" s="232">
        <f>'P&amp;L Statement'!I16/'P&amp;L Statement'!I$9</f>
        <v>7.6603130794811777E-2</v>
      </c>
      <c r="J16" s="232">
        <f>'P&amp;L Statement'!J16/'P&amp;L Statement'!J$9</f>
        <v>7.6603130794811694E-2</v>
      </c>
      <c r="K16" s="232">
        <f>'P&amp;L Statement'!K16/'P&amp;L Statement'!K$9</f>
        <v>7.6603130794811763E-2</v>
      </c>
    </row>
    <row r="17" spans="2:11">
      <c r="C17" s="231"/>
      <c r="D17" s="231"/>
      <c r="E17" s="231"/>
      <c r="F17" s="231"/>
      <c r="G17" s="231"/>
      <c r="H17" s="231"/>
      <c r="I17" s="231"/>
      <c r="J17" s="231"/>
      <c r="K17" s="231"/>
    </row>
    <row r="18" spans="2:11">
      <c r="B18" t="s">
        <v>188</v>
      </c>
      <c r="C18" s="231">
        <f>-'P&amp;L Statement'!C19/'P&amp;L Statement'!C$9</f>
        <v>1.6134056094085008E-2</v>
      </c>
      <c r="D18" s="231">
        <f>-'P&amp;L Statement'!D19/'P&amp;L Statement'!D$9</f>
        <v>1.1510425261154514E-2</v>
      </c>
      <c r="E18" s="231">
        <f>-'P&amp;L Statement'!E19/'P&amp;L Statement'!E$9</f>
        <v>1.3129207048383194E-2</v>
      </c>
      <c r="F18" s="231">
        <f>-'P&amp;L Statement'!F19/'P&amp;L Statement'!F$9</f>
        <v>1.8200269512545348E-2</v>
      </c>
      <c r="G18" s="231">
        <f>-'P&amp;L Statement'!G19/'P&amp;L Statement'!G$9</f>
        <v>1.4418639954701606E-2</v>
      </c>
      <c r="H18" s="231">
        <f>-'P&amp;L Statement'!H19/'P&amp;L Statement'!H$9</f>
        <v>1.1655322748697688E-2</v>
      </c>
      <c r="I18" s="231">
        <f>-'P&amp;L Statement'!I19/'P&amp;L Statement'!I$9</f>
        <v>9.7808077395148563E-3</v>
      </c>
      <c r="J18" s="231">
        <f>-'P&amp;L Statement'!J19/'P&amp;L Statement'!J$9</f>
        <v>8.4904434408773263E-3</v>
      </c>
      <c r="K18" s="231">
        <f>-'P&amp;L Statement'!K19/'P&amp;L Statement'!K$9</f>
        <v>7.5907917913008273E-3</v>
      </c>
    </row>
    <row r="19" spans="2:11">
      <c r="C19" s="231"/>
      <c r="D19" s="231"/>
      <c r="E19" s="231"/>
      <c r="F19" s="231"/>
      <c r="G19" s="231"/>
      <c r="H19" s="231"/>
      <c r="I19" s="231"/>
      <c r="J19" s="231"/>
      <c r="K19" s="231"/>
    </row>
    <row r="20" spans="2:11">
      <c r="B20" s="7" t="s">
        <v>189</v>
      </c>
      <c r="C20" s="232">
        <f>'P&amp;L Statement'!C21/'P&amp;L Statement'!C$9</f>
        <v>8.8855949682592431E-2</v>
      </c>
      <c r="D20" s="232">
        <f>'P&amp;L Statement'!D21/'P&amp;L Statement'!D$9</f>
        <v>7.3886416504104116E-2</v>
      </c>
      <c r="E20" s="232">
        <f>'P&amp;L Statement'!E21/'P&amp;L Statement'!E$9</f>
        <v>4.6911786685246787E-2</v>
      </c>
      <c r="F20" s="232">
        <f>'P&amp;L Statement'!F21/'P&amp;L Statement'!F$9</f>
        <v>3.778441239113571E-2</v>
      </c>
      <c r="G20" s="232">
        <f>'P&amp;L Statement'!G21/'P&amp;L Statement'!G$9</f>
        <v>6.2184490840110178E-2</v>
      </c>
      <c r="H20" s="232">
        <f>'P&amp;L Statement'!H21/'P&amp;L Statement'!H$9</f>
        <v>6.4947808046114053E-2</v>
      </c>
      <c r="I20" s="232">
        <f>'P&amp;L Statement'!I21/'P&amp;L Statement'!I$9</f>
        <v>6.6822323055296923E-2</v>
      </c>
      <c r="J20" s="232">
        <f>'P&amp;L Statement'!J21/'P&amp;L Statement'!J$9</f>
        <v>6.8112687353934373E-2</v>
      </c>
      <c r="K20" s="232">
        <f>'P&amp;L Statement'!K21/'P&amp;L Statement'!K$9</f>
        <v>6.9012339003510934E-2</v>
      </c>
    </row>
    <row r="21" spans="2:11">
      <c r="C21" s="49"/>
      <c r="D21" s="49"/>
      <c r="E21" s="49"/>
      <c r="F21" s="49"/>
      <c r="G21" s="49"/>
      <c r="H21" s="49"/>
      <c r="I21" s="49"/>
      <c r="J21" s="49"/>
      <c r="K21" s="49"/>
    </row>
    <row r="22" spans="2:11">
      <c r="B22" t="s">
        <v>190</v>
      </c>
      <c r="C22" s="231">
        <f>-'P&amp;L Statement'!C24/'P&amp;L Statement'!C$9</f>
        <v>2.1574259349490154E-2</v>
      </c>
      <c r="D22" s="231">
        <f>-'P&amp;L Statement'!D24/'P&amp;L Statement'!D$9</f>
        <v>1.0884903484018106E-2</v>
      </c>
      <c r="E22" s="231">
        <f>-'P&amp;L Statement'!E24/'P&amp;L Statement'!E$9</f>
        <v>2.1831089965228943E-2</v>
      </c>
      <c r="F22" s="231">
        <f>-'P&amp;L Statement'!F24/'P&amp;L Statement'!F$9</f>
        <v>3.1621875740759073E-2</v>
      </c>
      <c r="G22" s="231">
        <f>-'P&amp;L Statement'!G24/'P&amp;L Statement'!G$9</f>
        <v>2.2315714987731248E-2</v>
      </c>
      <c r="H22" s="231">
        <f>-'P&amp;L Statement'!H24/'P&amp;L Statement'!H$9</f>
        <v>2.2315714987731248E-2</v>
      </c>
      <c r="I22" s="231">
        <f>-'P&amp;L Statement'!I24/'P&amp;L Statement'!I$9</f>
        <v>2.2315714987731244E-2</v>
      </c>
      <c r="J22" s="231">
        <f>-'P&amp;L Statement'!J24/'P&amp;L Statement'!J$9</f>
        <v>2.2315714987731251E-2</v>
      </c>
      <c r="K22" s="231">
        <f>-'P&amp;L Statement'!K24/'P&amp;L Statement'!K$9</f>
        <v>2.2315714987731248E-2</v>
      </c>
    </row>
    <row r="23" spans="2:11">
      <c r="B23" t="s">
        <v>191</v>
      </c>
      <c r="C23" s="231">
        <f>'P&amp;L Statement'!C25/'P&amp;L Statement'!C$9</f>
        <v>3.7186817093273062E-3</v>
      </c>
      <c r="D23" s="231">
        <f>'P&amp;L Statement'!D25/'P&amp;L Statement'!D$9</f>
        <v>4.9969847503903682E-3</v>
      </c>
      <c r="E23" s="231">
        <f>'P&amp;L Statement'!E25/'P&amp;L Statement'!E$9</f>
        <v>6.8264671644193411E-3</v>
      </c>
      <c r="F23" s="231">
        <f>'P&amp;L Statement'!F25/'P&amp;L Statement'!F$9</f>
        <v>5.9468153409522381E-3</v>
      </c>
      <c r="G23" s="231">
        <f>'P&amp;L Statement'!G25/'P&amp;L Statement'!G$9</f>
        <v>5.3722372412723131E-3</v>
      </c>
      <c r="H23" s="231">
        <f>'P&amp;L Statement'!H25/'P&amp;L Statement'!H$9</f>
        <v>5.3722372412723131E-3</v>
      </c>
      <c r="I23" s="231">
        <f>'P&amp;L Statement'!I25/'P&amp;L Statement'!I$9</f>
        <v>5.3722372412723122E-3</v>
      </c>
      <c r="J23" s="231">
        <f>'P&amp;L Statement'!J25/'P&amp;L Statement'!J$9</f>
        <v>5.3722372412723131E-3</v>
      </c>
      <c r="K23" s="231">
        <f>'P&amp;L Statement'!K25/'P&amp;L Statement'!K$9</f>
        <v>5.3722372412723131E-3</v>
      </c>
    </row>
    <row r="24" spans="2:11">
      <c r="B24" t="s">
        <v>17</v>
      </c>
      <c r="C24" s="231">
        <f>'P&amp;L Statement'!C26/'P&amp;L Statement'!C$9</f>
        <v>-3.7756062340873927E-5</v>
      </c>
      <c r="D24" s="231">
        <f>'P&amp;L Statement'!D26/'P&amp;L Statement'!D$9</f>
        <v>7.7773487567796022E-5</v>
      </c>
      <c r="E24" s="231">
        <f>'P&amp;L Statement'!E26/'P&amp;L Statement'!E$9</f>
        <v>3.7869015169261571E-5</v>
      </c>
      <c r="F24" s="231">
        <f>'P&amp;L Statement'!F26/'P&amp;L Statement'!F$9</f>
        <v>5.7623593666823221E-5</v>
      </c>
      <c r="G24" s="231">
        <f>'P&amp;L Statement'!G26/'P&amp;L Statement'!G$9</f>
        <v>3.3877508515751725E-5</v>
      </c>
      <c r="H24" s="231">
        <f>'P&amp;L Statement'!H26/'P&amp;L Statement'!H$9</f>
        <v>3.3877508515751725E-5</v>
      </c>
      <c r="I24" s="231">
        <f>'P&amp;L Statement'!I26/'P&amp;L Statement'!I$9</f>
        <v>3.3877508515751725E-5</v>
      </c>
      <c r="J24" s="231">
        <f>'P&amp;L Statement'!J26/'P&amp;L Statement'!J$9</f>
        <v>3.3877508515751725E-5</v>
      </c>
      <c r="K24" s="231">
        <f>'P&amp;L Statement'!K26/'P&amp;L Statement'!K$9</f>
        <v>3.3877508515751725E-5</v>
      </c>
    </row>
    <row r="25" spans="2:11">
      <c r="C25" s="49"/>
      <c r="D25" s="49"/>
      <c r="E25" s="49"/>
      <c r="F25" s="49"/>
      <c r="G25" s="49"/>
      <c r="H25" s="49"/>
      <c r="I25" s="49"/>
      <c r="J25" s="49"/>
      <c r="K25" s="49"/>
    </row>
    <row r="26" spans="2:11">
      <c r="B26" s="7" t="s">
        <v>192</v>
      </c>
      <c r="C26" s="232">
        <f>'P&amp;L Statement'!C28/'P&amp;L Statement'!C$9</f>
        <v>7.0962615980088697E-2</v>
      </c>
      <c r="D26" s="232">
        <f>'P&amp;L Statement'!D28/'P&amp;L Statement'!D$9</f>
        <v>6.8076271258044177E-2</v>
      </c>
      <c r="E26" s="232">
        <f>'P&amp;L Statement'!E28/'P&amp;L Statement'!E$9</f>
        <v>3.1945032899606443E-2</v>
      </c>
      <c r="F26" s="232">
        <f>'P&amp;L Statement'!F28/'P&amp;L Statement'!F$9</f>
        <v>1.2166975584995705E-2</v>
      </c>
      <c r="G26" s="232">
        <f>'P&amp;L Statement'!G28/'P&amp;L Statement'!G$9</f>
        <v>4.5274890602166988E-2</v>
      </c>
      <c r="H26" s="232">
        <f>'P&amp;L Statement'!H28/'P&amp;L Statement'!H$9</f>
        <v>4.803820780817087E-2</v>
      </c>
      <c r="I26" s="232">
        <f>'P&amp;L Statement'!I28/'P&amp;L Statement'!I$9</f>
        <v>4.991272281735374E-2</v>
      </c>
      <c r="J26" s="232">
        <f>'P&amp;L Statement'!J28/'P&amp;L Statement'!J$9</f>
        <v>5.1203087115991183E-2</v>
      </c>
      <c r="K26" s="232">
        <f>'P&amp;L Statement'!K28/'P&amp;L Statement'!K$9</f>
        <v>5.2102738765567758E-2</v>
      </c>
    </row>
    <row r="27" spans="2:11">
      <c r="C27" s="49"/>
      <c r="D27" s="49"/>
      <c r="E27" s="49"/>
      <c r="F27" s="49"/>
      <c r="G27" s="49"/>
      <c r="H27" s="49"/>
      <c r="I27" s="49"/>
      <c r="J27" s="49"/>
      <c r="K27" s="49"/>
    </row>
    <row r="28" spans="2:11">
      <c r="B28" t="s">
        <v>194</v>
      </c>
      <c r="C28" s="231">
        <f>'P&amp;L Statement'!C31/'P&amp;L Statement'!C$9</f>
        <v>2.7733241221449278E-2</v>
      </c>
      <c r="D28" s="231">
        <f>'P&amp;L Statement'!D31/'P&amp;L Statement'!D$9</f>
        <v>1.7374217925994861E-2</v>
      </c>
      <c r="E28" s="231">
        <f>'P&amp;L Statement'!E31/'P&amp;L Statement'!E$9</f>
        <v>9.1432233513540229E-3</v>
      </c>
      <c r="F28" s="231">
        <f>'P&amp;L Statement'!F31/'P&amp;L Statement'!F$9</f>
        <v>3.5356005559441382E-3</v>
      </c>
      <c r="G28" s="231">
        <f>'P&amp;L Statement'!G31/'P&amp;L Statement'!G$9</f>
        <v>1.3156427188095558E-2</v>
      </c>
      <c r="H28" s="231">
        <f>'P&amp;L Statement'!H31/'P&amp;L Statement'!H$9</f>
        <v>1.3959419335285014E-2</v>
      </c>
      <c r="I28" s="231">
        <f>'P&amp;L Statement'!I31/'P&amp;L Statement'!I$9</f>
        <v>1.4504134516333431E-2</v>
      </c>
      <c r="J28" s="231">
        <f>'P&amp;L Statement'!J31/'P&amp;L Statement'!J$9</f>
        <v>1.487910138462066E-2</v>
      </c>
      <c r="K28" s="231">
        <f>'P&amp;L Statement'!K31/'P&amp;L Statement'!K$9</f>
        <v>1.5140531092453854E-2</v>
      </c>
    </row>
    <row r="29" spans="2:11">
      <c r="C29" s="49"/>
      <c r="D29" s="49"/>
      <c r="E29" s="49"/>
      <c r="F29" s="49"/>
      <c r="G29" s="49"/>
      <c r="H29" s="49"/>
      <c r="I29" s="49"/>
      <c r="J29" s="49"/>
      <c r="K29" s="49"/>
    </row>
    <row r="30" spans="2:11" ht="15.75" thickBot="1">
      <c r="B30" s="12" t="s">
        <v>195</v>
      </c>
      <c r="C30" s="233">
        <f>'P&amp;L Statement'!C33/'P&amp;L Statement'!C$9</f>
        <v>4.322937475863943E-2</v>
      </c>
      <c r="D30" s="233">
        <f>'P&amp;L Statement'!D33/'P&amp;L Statement'!D$9</f>
        <v>5.0702053332049309E-2</v>
      </c>
      <c r="E30" s="233">
        <f>'P&amp;L Statement'!E33/'P&amp;L Statement'!E$9</f>
        <v>2.2801809548252422E-2</v>
      </c>
      <c r="F30" s="233">
        <f>'P&amp;L Statement'!F33/'P&amp;L Statement'!F$9</f>
        <v>8.6313750290515669E-3</v>
      </c>
      <c r="G30" s="233">
        <f>'P&amp;L Statement'!G33/'P&amp;L Statement'!G$9</f>
        <v>3.211846341407143E-2</v>
      </c>
      <c r="H30" s="233">
        <f>'P&amp;L Statement'!H33/'P&amp;L Statement'!H$9</f>
        <v>3.4078788472885861E-2</v>
      </c>
      <c r="I30" s="233">
        <f>'P&amp;L Statement'!I33/'P&amp;L Statement'!I$9</f>
        <v>3.5408588301020304E-2</v>
      </c>
      <c r="J30" s="233">
        <f>'P&amp;L Statement'!J33/'P&amp;L Statement'!J$9</f>
        <v>3.6323985731370516E-2</v>
      </c>
      <c r="K30" s="233">
        <f>'P&amp;L Statement'!K33/'P&amp;L Statement'!K$9</f>
        <v>3.6962207673113902E-2</v>
      </c>
    </row>
    <row r="33" spans="2:11">
      <c r="B33" s="1" t="s">
        <v>352</v>
      </c>
    </row>
    <row r="34" spans="2:11">
      <c r="B34" s="1" t="s">
        <v>23</v>
      </c>
    </row>
    <row r="35" spans="2:11">
      <c r="B35" s="1" t="s">
        <v>24</v>
      </c>
    </row>
    <row r="36" spans="2:11">
      <c r="B36" t="s">
        <v>25</v>
      </c>
      <c r="C36" s="231">
        <f>Balance_Sheet!C12/Balance_Sheet!C$35</f>
        <v>0.27697452702200437</v>
      </c>
      <c r="D36" s="231">
        <f>Balance_Sheet!D12/Balance_Sheet!D$35</f>
        <v>0.15889375077200873</v>
      </c>
      <c r="E36" s="231">
        <f>Balance_Sheet!E12/Balance_Sheet!E$35</f>
        <v>0.26233554132476428</v>
      </c>
      <c r="F36" s="231">
        <f>Balance_Sheet!F12/Balance_Sheet!F$35</f>
        <v>0.34707953741165121</v>
      </c>
      <c r="G36" s="231">
        <f>Balance_Sheet!G12/Balance_Sheet!G$35</f>
        <v>0.27142542687869281</v>
      </c>
      <c r="H36" s="231">
        <f>Balance_Sheet!H12/Balance_Sheet!H$35</f>
        <v>0.22498612874171064</v>
      </c>
      <c r="I36" s="231">
        <f>Balance_Sheet!I12/Balance_Sheet!I$35</f>
        <v>0.18981728900637257</v>
      </c>
      <c r="J36" s="231">
        <f>Balance_Sheet!J12/Balance_Sheet!J$35</f>
        <v>0.16371278869196529</v>
      </c>
      <c r="K36" s="231">
        <f>Balance_Sheet!K12/Balance_Sheet!K$35</f>
        <v>0.14434763114312141</v>
      </c>
    </row>
    <row r="37" spans="2:11">
      <c r="B37" t="s">
        <v>26</v>
      </c>
      <c r="C37" s="231">
        <f>Balance_Sheet!C13/Balance_Sheet!C$35</f>
        <v>4.9751630370791465E-2</v>
      </c>
      <c r="D37" s="231">
        <f>Balance_Sheet!D13/Balance_Sheet!D$35</f>
        <v>4.2417624451530869E-2</v>
      </c>
      <c r="E37" s="231">
        <f>Balance_Sheet!E13/Balance_Sheet!E$35</f>
        <v>6.5390179332723897E-2</v>
      </c>
      <c r="F37" s="231">
        <f>Balance_Sheet!F13/Balance_Sheet!F$35</f>
        <v>3.8524787583491954E-2</v>
      </c>
      <c r="G37" s="231">
        <f>Balance_Sheet!G13/Balance_Sheet!G$35</f>
        <v>2.8723956883687098E-2</v>
      </c>
      <c r="H37" s="231">
        <f>Balance_Sheet!H13/Balance_Sheet!H$35</f>
        <v>2.3078562950021596E-2</v>
      </c>
      <c r="I37" s="231">
        <f>Balance_Sheet!I13/Balance_Sheet!I$35</f>
        <v>1.9094229787516109E-2</v>
      </c>
      <c r="J37" s="231">
        <f>Balance_Sheet!J13/Balance_Sheet!J$35</f>
        <v>1.6287216872527623E-2</v>
      </c>
      <c r="K37" s="231">
        <f>Balance_Sheet!K13/Balance_Sheet!K$35</f>
        <v>1.4293196349714318E-2</v>
      </c>
    </row>
    <row r="38" spans="2:11">
      <c r="B38" t="s">
        <v>27</v>
      </c>
      <c r="C38" s="231">
        <f>Balance_Sheet!C14/Balance_Sheet!C$35</f>
        <v>0</v>
      </c>
      <c r="D38" s="231">
        <f>Balance_Sheet!D14/Balance_Sheet!D$35</f>
        <v>0</v>
      </c>
      <c r="E38" s="231">
        <f>Balance_Sheet!E14/Balance_Sheet!E$35</f>
        <v>1.5194424915550113E-3</v>
      </c>
      <c r="F38" s="231">
        <f>Balance_Sheet!F14/Balance_Sheet!F$35</f>
        <v>1.8533348283972676E-3</v>
      </c>
      <c r="G38" s="231">
        <f>Balance_Sheet!G14/Balance_Sheet!G$35</f>
        <v>1.3778845842308902E-3</v>
      </c>
      <c r="H38" s="231">
        <f>Balance_Sheet!H14/Balance_Sheet!H$35</f>
        <v>1.0945347237728341E-3</v>
      </c>
      <c r="I38" s="231">
        <f>Balance_Sheet!I14/Balance_Sheet!I$35</f>
        <v>8.9002900390954182E-4</v>
      </c>
      <c r="J38" s="231">
        <f>Balance_Sheet!J14/Balance_Sheet!J$35</f>
        <v>7.4305812446810336E-4</v>
      </c>
      <c r="K38" s="231">
        <f>Balance_Sheet!K14/Balance_Sheet!K$35</f>
        <v>6.3636297477561864E-4</v>
      </c>
    </row>
    <row r="39" spans="2:11">
      <c r="B39" t="s">
        <v>66</v>
      </c>
      <c r="C39" s="231">
        <f>Balance_Sheet!C15/Balance_Sheet!C$35</f>
        <v>0</v>
      </c>
      <c r="D39" s="231">
        <f>Balance_Sheet!D15/Balance_Sheet!D$35</f>
        <v>0</v>
      </c>
      <c r="E39" s="231">
        <f>Balance_Sheet!E15/Balance_Sheet!E$35</f>
        <v>5.4489438956507917E-3</v>
      </c>
      <c r="F39" s="231">
        <f>Balance_Sheet!F15/Balance_Sheet!F$35</f>
        <v>6.0106248699620937E-3</v>
      </c>
      <c r="G39" s="231">
        <f>Balance_Sheet!G15/Balance_Sheet!G$35</f>
        <v>4.1217860411905533E-3</v>
      </c>
      <c r="H39" s="231">
        <f>Balance_Sheet!H15/Balance_Sheet!H$35</f>
        <v>3.0644853295376247E-3</v>
      </c>
      <c r="I39" s="231">
        <f>Balance_Sheet!I15/Balance_Sheet!I$35</f>
        <v>2.3584921515824937E-3</v>
      </c>
      <c r="J39" s="231">
        <f>Balance_Sheet!J15/Balance_Sheet!J$35</f>
        <v>1.8799278638460854E-3</v>
      </c>
      <c r="K39" s="231">
        <f>Balance_Sheet!K15/Balance_Sheet!K$35</f>
        <v>1.5478237581014547E-3</v>
      </c>
    </row>
    <row r="40" spans="2:11">
      <c r="B40" t="s">
        <v>28</v>
      </c>
      <c r="C40" s="231">
        <f>Balance_Sheet!C16/Balance_Sheet!C$35</f>
        <v>2.4993411958168607E-4</v>
      </c>
      <c r="D40" s="231">
        <f>Balance_Sheet!D16/Balance_Sheet!D$35</f>
        <v>1.0876391581831843E-4</v>
      </c>
      <c r="E40" s="231">
        <f>Balance_Sheet!E16/Balance_Sheet!E$35</f>
        <v>1.6687621749192119E-4</v>
      </c>
      <c r="F40" s="231">
        <f>Balance_Sheet!F16/Balance_Sheet!F$35</f>
        <v>1.9097154241442247E-4</v>
      </c>
      <c r="G40" s="231">
        <f>Balance_Sheet!G16/Balance_Sheet!G$35</f>
        <v>1.3451864335546014E-4</v>
      </c>
      <c r="H40" s="231">
        <f>Balance_Sheet!H16/Balance_Sheet!H$35</f>
        <v>1.0204450922420637E-4</v>
      </c>
      <c r="I40" s="231">
        <f>Balance_Sheet!I16/Balance_Sheet!I$35</f>
        <v>7.9764432561387809E-5</v>
      </c>
      <c r="J40" s="231">
        <f>Balance_Sheet!J16/Balance_Sheet!J$35</f>
        <v>6.4369938853605854E-5</v>
      </c>
      <c r="K40" s="231">
        <f>Balance_Sheet!K16/Balance_Sheet!K$35</f>
        <v>5.3539502267426248E-5</v>
      </c>
    </row>
    <row r="41" spans="2:11">
      <c r="B41" t="s">
        <v>61</v>
      </c>
      <c r="C41" s="231">
        <f>Balance_Sheet!C17/Balance_Sheet!C$35</f>
        <v>6.2968476694609857E-4</v>
      </c>
      <c r="D41" s="231">
        <f>Balance_Sheet!D17/Balance_Sheet!D$35</f>
        <v>3.6506482842741392E-4</v>
      </c>
      <c r="E41" s="231">
        <f>Balance_Sheet!E17/Balance_Sheet!E$35</f>
        <v>2.958524663350643E-4</v>
      </c>
      <c r="F41" s="231">
        <f>Balance_Sheet!F17/Balance_Sheet!F$35</f>
        <v>3.3601675779942528E-4</v>
      </c>
      <c r="G41" s="231">
        <f>Balance_Sheet!G17/Balance_Sheet!G$35</f>
        <v>2.304234937078202E-4</v>
      </c>
      <c r="H41" s="231">
        <f>Balance_Sheet!H17/Balance_Sheet!H$35</f>
        <v>1.7131636843635361E-4</v>
      </c>
      <c r="I41" s="231">
        <f>Balance_Sheet!I17/Balance_Sheet!I$35</f>
        <v>1.3184866851874221E-4</v>
      </c>
      <c r="J41" s="231">
        <f>Balance_Sheet!J17/Balance_Sheet!J$35</f>
        <v>1.0509510730959072E-4</v>
      </c>
      <c r="K41" s="231">
        <f>Balance_Sheet!K17/Balance_Sheet!K$35</f>
        <v>8.6529226510429809E-5</v>
      </c>
    </row>
    <row r="42" spans="2:11">
      <c r="B42" s="1"/>
      <c r="C42" s="231"/>
      <c r="D42" s="231"/>
      <c r="E42" s="231"/>
      <c r="F42" s="231"/>
      <c r="G42" s="231"/>
      <c r="H42" s="231"/>
      <c r="I42" s="231"/>
      <c r="J42" s="231"/>
      <c r="K42" s="231"/>
    </row>
    <row r="43" spans="2:11">
      <c r="B43" t="s">
        <v>62</v>
      </c>
      <c r="C43" s="231">
        <f>Balance_Sheet!C19/Balance_Sheet!C$35</f>
        <v>2.8192252173420778E-3</v>
      </c>
      <c r="D43" s="231">
        <f>Balance_Sheet!D19/Balance_Sheet!D$35</f>
        <v>1.5596263702812331E-3</v>
      </c>
      <c r="E43" s="231">
        <f>Balance_Sheet!E19/Balance_Sheet!E$35</f>
        <v>1.0383972098566678E-3</v>
      </c>
      <c r="F43" s="231">
        <f>Balance_Sheet!F19/Balance_Sheet!F$35</f>
        <v>6.1591479410788722E-3</v>
      </c>
      <c r="G43" s="231">
        <f>Balance_Sheet!G19/Balance_Sheet!G$35</f>
        <v>3.0932132756305796E-3</v>
      </c>
      <c r="H43" s="231">
        <f>Balance_Sheet!H19/Balance_Sheet!H$35</f>
        <v>3.2422493286885482E-3</v>
      </c>
      <c r="I43" s="231">
        <f>Balance_Sheet!I19/Balance_Sheet!I$35</f>
        <v>3.3134081437274227E-3</v>
      </c>
      <c r="J43" s="231">
        <f>Balance_Sheet!J19/Balance_Sheet!J$35</f>
        <v>3.333800371385167E-3</v>
      </c>
      <c r="K43" s="231">
        <f>Balance_Sheet!K19/Balance_Sheet!K$35</f>
        <v>3.3208094020232E-3</v>
      </c>
    </row>
    <row r="44" spans="2:11">
      <c r="B44" t="s">
        <v>30</v>
      </c>
      <c r="C44" s="231">
        <f>Balance_Sheet!C20/Balance_Sheet!C$35</f>
        <v>5.2481869546100656E-3</v>
      </c>
      <c r="D44" s="231">
        <f>Balance_Sheet!D20/Balance_Sheet!D$35</f>
        <v>0.14918495363797765</v>
      </c>
      <c r="E44" s="231">
        <f>Balance_Sheet!E20/Balance_Sheet!E$35</f>
        <v>5.5363043086540413E-3</v>
      </c>
      <c r="F44" s="231">
        <f>Balance_Sheet!F20/Balance_Sheet!F$35</f>
        <v>3.9628509941797355E-3</v>
      </c>
      <c r="G44" s="231">
        <f>Balance_Sheet!G20/Balance_Sheet!G$35</f>
        <v>5.0547367185799122E-2</v>
      </c>
      <c r="H44" s="231">
        <f>Balance_Sheet!H20/Balance_Sheet!H$35</f>
        <v>5.2982821655490564E-2</v>
      </c>
      <c r="I44" s="231">
        <f>Balance_Sheet!I20/Balance_Sheet!I$35</f>
        <v>5.4145654745796336E-2</v>
      </c>
      <c r="J44" s="231">
        <f>Balance_Sheet!J20/Balance_Sheet!J$35</f>
        <v>5.4478891844988039E-2</v>
      </c>
      <c r="K44" s="231">
        <f>Balance_Sheet!K20/Balance_Sheet!K$35</f>
        <v>5.4266601504838467E-2</v>
      </c>
    </row>
    <row r="45" spans="2:11">
      <c r="C45" s="231"/>
      <c r="D45" s="231"/>
      <c r="E45" s="231"/>
      <c r="F45" s="231"/>
      <c r="G45" s="231"/>
      <c r="H45" s="231"/>
      <c r="I45" s="231"/>
      <c r="J45" s="231"/>
      <c r="K45" s="231"/>
    </row>
    <row r="46" spans="2:11">
      <c r="B46" s="7" t="s">
        <v>31</v>
      </c>
      <c r="C46" s="232">
        <f>Balance_Sheet!C22/Balance_Sheet!C$35</f>
        <v>0.33567318845127569</v>
      </c>
      <c r="D46" s="232">
        <f>Balance_Sheet!D22/Balance_Sheet!D$35</f>
        <v>0.35252978397604423</v>
      </c>
      <c r="E46" s="232">
        <f>Balance_Sheet!E22/Balance_Sheet!E$35</f>
        <v>0.34173153724703165</v>
      </c>
      <c r="F46" s="232">
        <f>Balance_Sheet!F22/Balance_Sheet!F$35</f>
        <v>0.40411727192897506</v>
      </c>
      <c r="G46" s="232">
        <f>Balance_Sheet!G22/Balance_Sheet!G$35</f>
        <v>0.35965457698629433</v>
      </c>
      <c r="H46" s="232">
        <f>Balance_Sheet!H22/Balance_Sheet!H$35</f>
        <v>0.30872214360688238</v>
      </c>
      <c r="I46" s="232">
        <f>Balance_Sheet!I22/Balance_Sheet!I$35</f>
        <v>0.26983071593998459</v>
      </c>
      <c r="J46" s="232">
        <f>Balance_Sheet!J22/Balance_Sheet!J$35</f>
        <v>0.24060514881534351</v>
      </c>
      <c r="K46" s="232">
        <f>Balance_Sheet!K22/Balance_Sheet!K$35</f>
        <v>0.21855249386135234</v>
      </c>
    </row>
    <row r="47" spans="2:11">
      <c r="C47" s="231"/>
      <c r="D47" s="231"/>
      <c r="E47" s="231"/>
      <c r="F47" s="231"/>
      <c r="G47" s="231"/>
      <c r="H47" s="231"/>
      <c r="I47" s="231"/>
      <c r="J47" s="231"/>
      <c r="K47" s="231"/>
    </row>
    <row r="48" spans="2:11">
      <c r="B48" s="1" t="s">
        <v>32</v>
      </c>
      <c r="C48" s="231"/>
      <c r="D48" s="231"/>
      <c r="E48" s="231"/>
      <c r="F48" s="231"/>
      <c r="G48" s="231"/>
      <c r="H48" s="231"/>
      <c r="I48" s="231"/>
      <c r="J48" s="231"/>
      <c r="K48" s="231"/>
    </row>
    <row r="49" spans="2:11">
      <c r="B49" t="s">
        <v>33</v>
      </c>
      <c r="C49" s="231">
        <f>Balance_Sheet!C25/Balance_Sheet!C$35</f>
        <v>0.20326021707168282</v>
      </c>
      <c r="D49" s="231">
        <f>Balance_Sheet!D25/Balance_Sheet!D$35</f>
        <v>0.2892495048895769</v>
      </c>
      <c r="E49" s="231">
        <f>Balance_Sheet!E25/Balance_Sheet!E$35</f>
        <v>0.20997250736837225</v>
      </c>
      <c r="F49" s="231">
        <f>Balance_Sheet!F25/Balance_Sheet!F$35</f>
        <v>0.18950478781182975</v>
      </c>
      <c r="G49" s="231">
        <f>Balance_Sheet!G25/Balance_Sheet!G$35</f>
        <v>0.2452432543808363</v>
      </c>
      <c r="H49" s="231">
        <f>Balance_Sheet!H25/Balance_Sheet!H$35</f>
        <v>0.25705947376666582</v>
      </c>
      <c r="I49" s="231">
        <f>Balance_Sheet!I25/Balance_Sheet!I$35</f>
        <v>0.26270125072252737</v>
      </c>
      <c r="J49" s="231">
        <f>Balance_Sheet!J25/Balance_Sheet!J$35</f>
        <v>0.26431803425124822</v>
      </c>
      <c r="K49" s="231">
        <f>Balance_Sheet!K25/Balance_Sheet!K$35</f>
        <v>0.2632880543177627</v>
      </c>
    </row>
    <row r="50" spans="2:11">
      <c r="B50" t="s">
        <v>29</v>
      </c>
      <c r="C50" s="231">
        <f>Balance_Sheet!C26/Balance_Sheet!C$35</f>
        <v>2.7591099008366319E-2</v>
      </c>
      <c r="D50" s="231">
        <f>Balance_Sheet!D26/Balance_Sheet!D$35</f>
        <v>6.9418370612607999E-2</v>
      </c>
      <c r="E50" s="231">
        <f>Balance_Sheet!E26/Balance_Sheet!E$35</f>
        <v>0</v>
      </c>
      <c r="F50" s="231">
        <f>Balance_Sheet!F26/Balance_Sheet!F$35</f>
        <v>0</v>
      </c>
      <c r="G50" s="231">
        <f>Balance_Sheet!G26/Balance_Sheet!G$35</f>
        <v>0</v>
      </c>
      <c r="H50" s="231">
        <f>Balance_Sheet!H26/Balance_Sheet!H$35</f>
        <v>0</v>
      </c>
      <c r="I50" s="231">
        <f>Balance_Sheet!I26/Balance_Sheet!I$35</f>
        <v>0</v>
      </c>
      <c r="J50" s="231">
        <f>Balance_Sheet!J26/Balance_Sheet!J$35</f>
        <v>0</v>
      </c>
      <c r="K50" s="231">
        <f>Balance_Sheet!K26/Balance_Sheet!K$35</f>
        <v>0</v>
      </c>
    </row>
    <row r="51" spans="2:11">
      <c r="B51" s="9" t="s">
        <v>34</v>
      </c>
      <c r="C51" s="231">
        <f>Balance_Sheet!C27/Balance_Sheet!C$35</f>
        <v>0.26125940208976128</v>
      </c>
      <c r="D51" s="231">
        <f>Balance_Sheet!D27/Balance_Sheet!D$35</f>
        <v>0.11383133298585556</v>
      </c>
      <c r="E51" s="231">
        <f>Balance_Sheet!E27/Balance_Sheet!E$35</f>
        <v>0.34622662929492665</v>
      </c>
      <c r="F51" s="231">
        <f>Balance_Sheet!F27/Balance_Sheet!F$35</f>
        <v>0.28159031329404244</v>
      </c>
      <c r="G51" s="231">
        <f>Balance_Sheet!G27/Balance_Sheet!G$35</f>
        <v>0.26408948864829818</v>
      </c>
      <c r="H51" s="231">
        <f>Balance_Sheet!H27/Balance_Sheet!H$35</f>
        <v>0.27681375029308108</v>
      </c>
      <c r="I51" s="231">
        <f>Balance_Sheet!I27/Balance_Sheet!I$35</f>
        <v>0.28288908147844988</v>
      </c>
      <c r="J51" s="231">
        <f>Balance_Sheet!J27/Balance_Sheet!J$35</f>
        <v>0.28463011014173706</v>
      </c>
      <c r="K51" s="231">
        <f>Balance_Sheet!K27/Balance_Sheet!K$35</f>
        <v>0.28352097923153563</v>
      </c>
    </row>
    <row r="52" spans="2:11">
      <c r="B52" s="9" t="s">
        <v>35</v>
      </c>
      <c r="C52" s="231">
        <f>Balance_Sheet!C28/Balance_Sheet!C$35</f>
        <v>2.0692080802943488E-2</v>
      </c>
      <c r="D52" s="231">
        <f>Balance_Sheet!D28/Balance_Sheet!D$35</f>
        <v>6.7839143276864439E-2</v>
      </c>
      <c r="E52" s="231">
        <f>Balance_Sheet!E28/Balance_Sheet!E$35</f>
        <v>4.0381154514118507E-3</v>
      </c>
      <c r="F52" s="231">
        <f>Balance_Sheet!F28/Balance_Sheet!F$35</f>
        <v>9.3899931098088557E-3</v>
      </c>
      <c r="G52" s="231">
        <f>Balance_Sheet!G28/Balance_Sheet!G$35</f>
        <v>7.6443206992019633E-3</v>
      </c>
      <c r="H52" s="231">
        <f>Balance_Sheet!H28/Balance_Sheet!H$35</f>
        <v>2.8092184586664903E-2</v>
      </c>
      <c r="I52" s="231">
        <f>Balance_Sheet!I28/Balance_Sheet!I$35</f>
        <v>5.2428437196869807E-2</v>
      </c>
      <c r="J52" s="231">
        <f>Balance_Sheet!J28/Balance_Sheet!J$35</f>
        <v>7.7482877480904197E-2</v>
      </c>
      <c r="K52" s="231">
        <f>Balance_Sheet!K28/Balance_Sheet!K$35</f>
        <v>0.10219276939304694</v>
      </c>
    </row>
    <row r="53" spans="2:11">
      <c r="B53" s="9" t="s">
        <v>36</v>
      </c>
      <c r="C53" s="231">
        <f>Balance_Sheet!C29/Balance_Sheet!C$35</f>
        <v>3.7828111160929635E-4</v>
      </c>
      <c r="D53" s="231">
        <f>Balance_Sheet!D29/Balance_Sheet!D$35</f>
        <v>7.5520098185448822E-3</v>
      </c>
      <c r="E53" s="231">
        <f>Balance_Sheet!E29/Balance_Sheet!E$35</f>
        <v>6.2700379428512563E-3</v>
      </c>
      <c r="F53" s="231">
        <f>Balance_Sheet!F29/Balance_Sheet!F$35</f>
        <v>2.8263477754501332E-3</v>
      </c>
      <c r="G53" s="231">
        <f>Balance_Sheet!G29/Balance_Sheet!G$35</f>
        <v>0</v>
      </c>
      <c r="H53" s="231">
        <f>Balance_Sheet!H29/Balance_Sheet!H$35</f>
        <v>0</v>
      </c>
      <c r="I53" s="231">
        <f>Balance_Sheet!I29/Balance_Sheet!I$35</f>
        <v>0</v>
      </c>
      <c r="J53" s="231">
        <f>Balance_Sheet!J29/Balance_Sheet!J$35</f>
        <v>0</v>
      </c>
      <c r="K53" s="231">
        <f>Balance_Sheet!K29/Balance_Sheet!K$35</f>
        <v>0</v>
      </c>
    </row>
    <row r="54" spans="2:11">
      <c r="B54" s="9" t="s">
        <v>37</v>
      </c>
      <c r="C54" s="231">
        <f>Balance_Sheet!C30/Balance_Sheet!C$35</f>
        <v>4.4293842401017053E-2</v>
      </c>
      <c r="D54" s="231">
        <f>Balance_Sheet!D30/Balance_Sheet!D$35</f>
        <v>4.2688682847789212E-2</v>
      </c>
      <c r="E54" s="231">
        <f>Balance_Sheet!E30/Balance_Sheet!E$35</f>
        <v>3.1639548796509903E-2</v>
      </c>
      <c r="F54" s="231">
        <f>Balance_Sheet!F30/Balance_Sheet!F$35</f>
        <v>5.2187554176530558E-2</v>
      </c>
      <c r="G54" s="231">
        <f>Balance_Sheet!G30/Balance_Sheet!G$35</f>
        <v>4.6541699416688412E-2</v>
      </c>
      <c r="H54" s="231">
        <f>Balance_Sheet!H30/Balance_Sheet!H$35</f>
        <v>4.8784154289852492E-2</v>
      </c>
      <c r="I54" s="231">
        <f>Balance_Sheet!I30/Balance_Sheet!I$35</f>
        <v>4.9854837713617331E-2</v>
      </c>
      <c r="J54" s="231">
        <f>Balance_Sheet!J30/Balance_Sheet!J$35</f>
        <v>5.0161667164260355E-2</v>
      </c>
      <c r="K54" s="231">
        <f>Balance_Sheet!K30/Balance_Sheet!K$35</f>
        <v>4.9966199947066019E-2</v>
      </c>
    </row>
    <row r="55" spans="2:11">
      <c r="B55" t="s">
        <v>38</v>
      </c>
      <c r="C55" s="231">
        <f>Balance_Sheet!C31/Balance_Sheet!C$35</f>
        <v>0.10679690581786042</v>
      </c>
      <c r="D55" s="231">
        <f>Balance_Sheet!D31/Balance_Sheet!D$35</f>
        <v>5.6860950284320581E-2</v>
      </c>
      <c r="E55" s="231">
        <f>Balance_Sheet!E31/Balance_Sheet!E$35</f>
        <v>6.0099797870900057E-2</v>
      </c>
      <c r="F55" s="231">
        <f>Balance_Sheet!F31/Balance_Sheet!F$35</f>
        <v>6.0359656033029611E-2</v>
      </c>
      <c r="G55" s="231">
        <f>Balance_Sheet!G31/Balance_Sheet!G$35</f>
        <v>7.6790904793991699E-2</v>
      </c>
      <c r="H55" s="231">
        <f>Balance_Sheet!H31/Balance_Sheet!H$35</f>
        <v>8.0490815644436914E-2</v>
      </c>
      <c r="I55" s="231">
        <f>Balance_Sheet!I31/Balance_Sheet!I$35</f>
        <v>8.2257376597072662E-2</v>
      </c>
      <c r="J55" s="231">
        <f>Balance_Sheet!J31/Balance_Sheet!J$35</f>
        <v>8.2763626077165184E-2</v>
      </c>
      <c r="K55" s="231">
        <f>Balance_Sheet!K31/Balance_Sheet!K$35</f>
        <v>8.2441117345124035E-2</v>
      </c>
    </row>
    <row r="56" spans="2:11">
      <c r="B56" t="s">
        <v>63</v>
      </c>
      <c r="C56" s="231">
        <f>Balance_Sheet!C32/Balance_Sheet!C$35</f>
        <v>5.4983245483732292E-5</v>
      </c>
      <c r="D56" s="231">
        <f>Balance_Sheet!D32/Balance_Sheet!D$35</f>
        <v>3.0221308396229961E-5</v>
      </c>
      <c r="E56" s="231">
        <f>Balance_Sheet!E32/Balance_Sheet!E$35</f>
        <v>2.1826027996300533E-5</v>
      </c>
      <c r="F56" s="231">
        <f>Balance_Sheet!F32/Balance_Sheet!F$35</f>
        <v>2.4075870333655645E-5</v>
      </c>
      <c r="G56" s="231">
        <f>Balance_Sheet!G32/Balance_Sheet!G$35</f>
        <v>3.5755074689047155E-5</v>
      </c>
      <c r="H56" s="231">
        <f>Balance_Sheet!H32/Balance_Sheet!H$35</f>
        <v>3.7477812416325965E-5</v>
      </c>
      <c r="I56" s="231">
        <f>Balance_Sheet!I32/Balance_Sheet!I$35</f>
        <v>3.8300351478389304E-5</v>
      </c>
      <c r="J56" s="231">
        <f>Balance_Sheet!J32/Balance_Sheet!J$35</f>
        <v>3.8536069341338822E-5</v>
      </c>
      <c r="K56" s="231">
        <f>Balance_Sheet!K32/Balance_Sheet!K$35</f>
        <v>3.8385904112358431E-5</v>
      </c>
    </row>
    <row r="57" spans="2:11">
      <c r="B57" s="7" t="s">
        <v>39</v>
      </c>
      <c r="C57" s="232">
        <f>Balance_Sheet!C33/Balance_Sheet!C$35</f>
        <v>0.66432681154872442</v>
      </c>
      <c r="D57" s="232">
        <f>Balance_Sheet!D33/Balance_Sheet!D$35</f>
        <v>0.64747021602395571</v>
      </c>
      <c r="E57" s="232">
        <f>Balance_Sheet!E33/Balance_Sheet!E$35</f>
        <v>0.65826846275296824</v>
      </c>
      <c r="F57" s="232">
        <f>Balance_Sheet!F33/Balance_Sheet!F$35</f>
        <v>0.59588272807102505</v>
      </c>
      <c r="G57" s="232">
        <f>Balance_Sheet!G33/Balance_Sheet!G$35</f>
        <v>0.64034542301370556</v>
      </c>
      <c r="H57" s="232">
        <f>Balance_Sheet!H33/Balance_Sheet!H$35</f>
        <v>0.69127785639311756</v>
      </c>
      <c r="I57" s="232">
        <f>Balance_Sheet!I33/Balance_Sheet!I$35</f>
        <v>0.73016928406001536</v>
      </c>
      <c r="J57" s="232">
        <f>Balance_Sheet!J33/Balance_Sheet!J$35</f>
        <v>0.75939485118465644</v>
      </c>
      <c r="K57" s="232">
        <f>Balance_Sheet!K33/Balance_Sheet!K$35</f>
        <v>0.78144750613864766</v>
      </c>
    </row>
    <row r="58" spans="2:11">
      <c r="C58" s="231"/>
      <c r="D58" s="231"/>
      <c r="E58" s="231"/>
      <c r="F58" s="231"/>
      <c r="G58" s="231"/>
      <c r="H58" s="231"/>
      <c r="I58" s="231"/>
      <c r="J58" s="231"/>
      <c r="K58" s="231"/>
    </row>
    <row r="59" spans="2:11">
      <c r="B59" s="10" t="s">
        <v>40</v>
      </c>
      <c r="C59" s="234">
        <f>Balance_Sheet!C35/Balance_Sheet!C$35</f>
        <v>1</v>
      </c>
      <c r="D59" s="234">
        <f>Balance_Sheet!D35/Balance_Sheet!D$35</f>
        <v>1</v>
      </c>
      <c r="E59" s="234">
        <f>Balance_Sheet!E35/Balance_Sheet!E$35</f>
        <v>1</v>
      </c>
      <c r="F59" s="234">
        <f>Balance_Sheet!F35/Balance_Sheet!F$35</f>
        <v>1</v>
      </c>
      <c r="G59" s="234">
        <f>Balance_Sheet!G35/Balance_Sheet!G$35</f>
        <v>1</v>
      </c>
      <c r="H59" s="234">
        <f>Balance_Sheet!H35/Balance_Sheet!H$35</f>
        <v>1</v>
      </c>
      <c r="I59" s="234">
        <f>Balance_Sheet!I35/Balance_Sheet!I$35</f>
        <v>1</v>
      </c>
      <c r="J59" s="234">
        <f>Balance_Sheet!J35/Balance_Sheet!J$35</f>
        <v>1</v>
      </c>
      <c r="K59" s="234">
        <f>Balance_Sheet!K35/Balance_Sheet!K$35</f>
        <v>1</v>
      </c>
    </row>
    <row r="60" spans="2:11">
      <c r="C60" s="231"/>
      <c r="D60" s="231"/>
      <c r="E60" s="231"/>
      <c r="F60" s="231"/>
      <c r="G60" s="231"/>
      <c r="H60" s="231"/>
      <c r="I60" s="231"/>
      <c r="J60" s="231"/>
      <c r="K60" s="231"/>
    </row>
    <row r="61" spans="2:11">
      <c r="B61" s="1" t="s">
        <v>41</v>
      </c>
      <c r="C61" s="231"/>
      <c r="D61" s="231"/>
      <c r="E61" s="231"/>
      <c r="F61" s="231"/>
      <c r="G61" s="231"/>
      <c r="H61" s="231"/>
      <c r="I61" s="231"/>
      <c r="J61" s="231"/>
      <c r="K61" s="231"/>
    </row>
    <row r="62" spans="2:11">
      <c r="B62" s="1" t="s">
        <v>42</v>
      </c>
      <c r="C62" s="231"/>
      <c r="D62" s="231"/>
      <c r="E62" s="231"/>
      <c r="F62" s="231"/>
      <c r="G62" s="231"/>
      <c r="H62" s="231"/>
      <c r="I62" s="231"/>
      <c r="J62" s="231"/>
      <c r="K62" s="231"/>
    </row>
    <row r="63" spans="2:11">
      <c r="B63" t="s">
        <v>43</v>
      </c>
      <c r="C63" s="231">
        <f>Balance_Sheet!C39/Balance_Sheet!C$35</f>
        <v>0.13009913081255653</v>
      </c>
      <c r="D63" s="231">
        <f>Balance_Sheet!D39/Balance_Sheet!D$35</f>
        <v>7.2582854409893705E-2</v>
      </c>
      <c r="E63" s="231">
        <f>Balance_Sheet!E39/Balance_Sheet!E$35</f>
        <v>7.6428406795011145E-2</v>
      </c>
      <c r="F63" s="231">
        <f>Balance_Sheet!F39/Balance_Sheet!F$35</f>
        <v>8.4335786432663276E-2</v>
      </c>
      <c r="G63" s="231">
        <f>Balance_Sheet!G39/Balance_Sheet!G$35</f>
        <v>5.7833266059934864E-2</v>
      </c>
      <c r="H63" s="231">
        <f>Balance_Sheet!H39/Balance_Sheet!H$35</f>
        <v>4.2998155078599137E-2</v>
      </c>
      <c r="I63" s="231">
        <f>Balance_Sheet!I39/Balance_Sheet!I$35</f>
        <v>3.3092281535152285E-2</v>
      </c>
      <c r="J63" s="231">
        <f>Balance_Sheet!J39/Balance_Sheet!J$35</f>
        <v>2.637748957291627E-2</v>
      </c>
      <c r="K63" s="231">
        <f>Balance_Sheet!K39/Balance_Sheet!K$35</f>
        <v>2.1717697697455837E-2</v>
      </c>
    </row>
    <row r="64" spans="2:11">
      <c r="B64" t="s">
        <v>44</v>
      </c>
      <c r="C64" s="231">
        <f>Balance_Sheet!C40/Balance_Sheet!C$35</f>
        <v>0.28306869179847127</v>
      </c>
      <c r="D64" s="231">
        <f>Balance_Sheet!D40/Balance_Sheet!D$35</f>
        <v>0.20806127165942948</v>
      </c>
      <c r="E64" s="231">
        <f>Balance_Sheet!E40/Balance_Sheet!E$35</f>
        <v>0.25243543894230125</v>
      </c>
      <c r="F64" s="231">
        <f>Balance_Sheet!F40/Balance_Sheet!F$35</f>
        <v>0.28460675279721298</v>
      </c>
      <c r="G64" s="231">
        <f>Balance_Sheet!G40/Balance_Sheet!G$35</f>
        <v>0.23096614612049388</v>
      </c>
      <c r="H64" s="231">
        <f>Balance_Sheet!H40/Balance_Sheet!H$35</f>
        <v>0.21153445455827469</v>
      </c>
      <c r="I64" s="231">
        <f>Balance_Sheet!I40/Balance_Sheet!I$35</f>
        <v>0.20507928650045198</v>
      </c>
      <c r="J64" s="231">
        <f>Balance_Sheet!J40/Balance_Sheet!J$35</f>
        <v>0.20710543820260682</v>
      </c>
      <c r="K64" s="231">
        <f>Balance_Sheet!K40/Balance_Sheet!K$35</f>
        <v>0.21475215151648452</v>
      </c>
    </row>
    <row r="65" spans="2:11">
      <c r="C65" s="231"/>
      <c r="D65" s="231"/>
      <c r="E65" s="231"/>
      <c r="F65" s="231"/>
      <c r="G65" s="231"/>
      <c r="H65" s="231"/>
      <c r="I65" s="231"/>
      <c r="J65" s="231"/>
      <c r="K65" s="231"/>
    </row>
    <row r="66" spans="2:11">
      <c r="B66" s="10" t="s">
        <v>45</v>
      </c>
      <c r="C66" s="234">
        <f>Balance_Sheet!C42/Balance_Sheet!C$35</f>
        <v>0.4131678226110278</v>
      </c>
      <c r="D66" s="234">
        <f>Balance_Sheet!D42/Balance_Sheet!D$35</f>
        <v>0.28064412606932315</v>
      </c>
      <c r="E66" s="234">
        <f>Balance_Sheet!E42/Balance_Sheet!E$35</f>
        <v>0.32886384573731242</v>
      </c>
      <c r="F66" s="234">
        <f>Balance_Sheet!F42/Balance_Sheet!F$35</f>
        <v>0.36894253922987624</v>
      </c>
      <c r="G66" s="234">
        <f>Balance_Sheet!G42/Balance_Sheet!G$35</f>
        <v>0.28879941218042876</v>
      </c>
      <c r="H66" s="234">
        <f>Balance_Sheet!H42/Balance_Sheet!H$35</f>
        <v>0.2545326096368738</v>
      </c>
      <c r="I66" s="234">
        <f>Balance_Sheet!I42/Balance_Sheet!I$35</f>
        <v>0.23817156803560427</v>
      </c>
      <c r="J66" s="234">
        <f>Balance_Sheet!J42/Balance_Sheet!J$35</f>
        <v>0.2334829277755231</v>
      </c>
      <c r="K66" s="234">
        <f>Balance_Sheet!K42/Balance_Sheet!K$35</f>
        <v>0.23646984921394038</v>
      </c>
    </row>
    <row r="67" spans="2:11">
      <c r="C67" s="231"/>
      <c r="D67" s="231"/>
      <c r="E67" s="231"/>
      <c r="F67" s="231"/>
      <c r="G67" s="231"/>
      <c r="H67" s="231"/>
      <c r="I67" s="231"/>
      <c r="J67" s="231"/>
      <c r="K67" s="231"/>
    </row>
    <row r="68" spans="2:11">
      <c r="B68" s="1" t="s">
        <v>46</v>
      </c>
      <c r="C68" s="231"/>
      <c r="D68" s="231"/>
      <c r="E68" s="231"/>
      <c r="F68" s="231"/>
      <c r="G68" s="231"/>
      <c r="H68" s="231"/>
      <c r="I68" s="231"/>
      <c r="J68" s="231"/>
      <c r="K68" s="231"/>
    </row>
    <row r="69" spans="2:11">
      <c r="B69" s="1" t="s">
        <v>47</v>
      </c>
      <c r="C69" s="231"/>
      <c r="D69" s="231"/>
      <c r="E69" s="231"/>
      <c r="F69" s="231"/>
      <c r="G69" s="231"/>
      <c r="H69" s="231"/>
      <c r="I69" s="231"/>
      <c r="J69" s="231"/>
      <c r="K69" s="231"/>
    </row>
    <row r="70" spans="2:11">
      <c r="B70" t="s">
        <v>48</v>
      </c>
      <c r="C70" s="231"/>
      <c r="D70" s="231"/>
      <c r="E70" s="231"/>
      <c r="F70" s="231"/>
      <c r="G70" s="231"/>
      <c r="H70" s="231"/>
      <c r="I70" s="231"/>
      <c r="J70" s="231"/>
      <c r="K70" s="231"/>
    </row>
    <row r="71" spans="2:11">
      <c r="B71" t="s">
        <v>49</v>
      </c>
      <c r="C71" s="231">
        <f>Balance_Sheet!C47/Balance_Sheet!C$35</f>
        <v>2.5640301597570754E-2</v>
      </c>
      <c r="D71" s="231">
        <f>Balance_Sheet!D47/Balance_Sheet!D$35</f>
        <v>6.6619418333403568E-2</v>
      </c>
      <c r="E71" s="231">
        <f>Balance_Sheet!E47/Balance_Sheet!E$35</f>
        <v>5.7416519501279198E-2</v>
      </c>
      <c r="F71" s="231">
        <f>Balance_Sheet!F47/Balance_Sheet!F$35</f>
        <v>7.002349922943242E-2</v>
      </c>
      <c r="G71" s="231">
        <f>Balance_Sheet!G47/Balance_Sheet!G$35</f>
        <v>6.0098961242954017E-2</v>
      </c>
      <c r="H71" s="231">
        <f>Balance_Sheet!H47/Balance_Sheet!H$35</f>
        <v>6.2994627069523246E-2</v>
      </c>
      <c r="I71" s="231">
        <f>Balance_Sheet!I47/Balance_Sheet!I$35</f>
        <v>6.4377192863097246E-2</v>
      </c>
      <c r="J71" s="231">
        <f>Balance_Sheet!J47/Balance_Sheet!J$35</f>
        <v>6.477339952279175E-2</v>
      </c>
      <c r="K71" s="231">
        <f>Balance_Sheet!K47/Balance_Sheet!K$35</f>
        <v>6.4520994113069691E-2</v>
      </c>
    </row>
    <row r="72" spans="2:11">
      <c r="B72" t="s">
        <v>50</v>
      </c>
      <c r="C72" s="231">
        <f>Balance_Sheet!C48/Balance_Sheet!C$35</f>
        <v>0</v>
      </c>
      <c r="D72" s="231">
        <f>Balance_Sheet!D48/Balance_Sheet!D$35</f>
        <v>0</v>
      </c>
      <c r="E72" s="231">
        <f>Balance_Sheet!E48/Balance_Sheet!E$35</f>
        <v>1.5049074453958242E-3</v>
      </c>
      <c r="F72" s="231">
        <f>Balance_Sheet!F48/Balance_Sheet!F$35</f>
        <v>1.7827012346066974E-3</v>
      </c>
      <c r="G72" s="231">
        <f>Balance_Sheet!G48/Balance_Sheet!G$35</f>
        <v>8.3560796258831931E-4</v>
      </c>
      <c r="H72" s="231">
        <f>Balance_Sheet!H48/Balance_Sheet!H$35</f>
        <v>8.7586891505128401E-4</v>
      </c>
      <c r="I72" s="231">
        <f>Balance_Sheet!I48/Balance_Sheet!I$35</f>
        <v>8.95091925932327E-4</v>
      </c>
      <c r="J72" s="231">
        <f>Balance_Sheet!J48/Balance_Sheet!J$35</f>
        <v>9.0060073062418939E-4</v>
      </c>
      <c r="K72" s="231">
        <f>Balance_Sheet!K48/Balance_Sheet!K$35</f>
        <v>8.9709131938309509E-4</v>
      </c>
    </row>
    <row r="73" spans="2:11">
      <c r="B73" t="s">
        <v>64</v>
      </c>
      <c r="C73" s="231">
        <f>Balance_Sheet!C49/Balance_Sheet!C$35</f>
        <v>2.2721283598335098E-5</v>
      </c>
      <c r="D73" s="231">
        <f>Balance_Sheet!D49/Balance_Sheet!D$35</f>
        <v>3.6163402880981185E-4</v>
      </c>
      <c r="E73" s="231">
        <f>Balance_Sheet!E49/Balance_Sheet!E$35</f>
        <v>1.6929716126795106E-4</v>
      </c>
      <c r="F73" s="231">
        <f>Balance_Sheet!F49/Balance_Sheet!F$35</f>
        <v>0</v>
      </c>
      <c r="G73" s="231">
        <f>Balance_Sheet!G49/Balance_Sheet!G$35</f>
        <v>1.6137840057039879E-4</v>
      </c>
      <c r="H73" s="231">
        <f>Balance_Sheet!H49/Balance_Sheet!H$35</f>
        <v>1.6915387472192397E-4</v>
      </c>
      <c r="I73" s="231">
        <f>Balance_Sheet!I49/Balance_Sheet!I$35</f>
        <v>1.7286635580039645E-4</v>
      </c>
      <c r="J73" s="231">
        <f>Balance_Sheet!J49/Balance_Sheet!J$35</f>
        <v>1.7393025433898117E-4</v>
      </c>
      <c r="K73" s="231">
        <f>Balance_Sheet!K49/Balance_Sheet!K$35</f>
        <v>1.7325249251957806E-4</v>
      </c>
    </row>
    <row r="74" spans="2:11">
      <c r="B74" t="s">
        <v>52</v>
      </c>
      <c r="C74" s="231">
        <f>Balance_Sheet!C50/Balance_Sheet!C$35</f>
        <v>4.4651052630722225E-3</v>
      </c>
      <c r="D74" s="231">
        <f>Balance_Sheet!D50/Balance_Sheet!D$35</f>
        <v>3.3485991723523865E-3</v>
      </c>
      <c r="E74" s="231">
        <f>Balance_Sheet!E50/Balance_Sheet!E$35</f>
        <v>2.2325324191349179E-3</v>
      </c>
      <c r="F74" s="231">
        <f>Balance_Sheet!F50/Balance_Sheet!F$35</f>
        <v>2.7133485164507701E-3</v>
      </c>
      <c r="G74" s="231">
        <f>Balance_Sheet!G50/Balance_Sheet!G$35</f>
        <v>3.4946132545845819E-3</v>
      </c>
      <c r="H74" s="231">
        <f>Balance_Sheet!H50/Balance_Sheet!H$35</f>
        <v>3.6629894123266231E-3</v>
      </c>
      <c r="I74" s="231">
        <f>Balance_Sheet!I50/Balance_Sheet!I$35</f>
        <v>3.7433823616827224E-3</v>
      </c>
      <c r="J74" s="231">
        <f>Balance_Sheet!J50/Balance_Sheet!J$35</f>
        <v>3.7664208471388317E-3</v>
      </c>
      <c r="K74" s="231">
        <f>Balance_Sheet!K50/Balance_Sheet!K$35</f>
        <v>3.7517440661745524E-3</v>
      </c>
    </row>
    <row r="75" spans="2:11">
      <c r="B75" t="s">
        <v>51</v>
      </c>
      <c r="C75" s="231">
        <f>Balance_Sheet!C51/Balance_Sheet!C$35</f>
        <v>2.102844623316839E-2</v>
      </c>
      <c r="D75" s="231">
        <f>Balance_Sheet!D51/Balance_Sheet!D$35</f>
        <v>1.1627017743755066E-2</v>
      </c>
      <c r="E75" s="231">
        <f>Balance_Sheet!E51/Balance_Sheet!E$35</f>
        <v>1.0113558308885945E-2</v>
      </c>
      <c r="F75" s="231">
        <f>Balance_Sheet!F51/Balance_Sheet!F$35</f>
        <v>1.5614288741291865E-2</v>
      </c>
      <c r="G75" s="231">
        <f>Balance_Sheet!G51/Balance_Sheet!G$35</f>
        <v>1.5795347411752609E-2</v>
      </c>
      <c r="H75" s="231">
        <f>Balance_Sheet!H51/Balance_Sheet!H$35</f>
        <v>1.6556392973490382E-2</v>
      </c>
      <c r="I75" s="231">
        <f>Balance_Sheet!I51/Balance_Sheet!I$35</f>
        <v>1.6919762099635926E-2</v>
      </c>
      <c r="J75" s="231">
        <f>Balance_Sheet!J51/Balance_Sheet!J$35</f>
        <v>1.7023894046466509E-2</v>
      </c>
      <c r="K75" s="231">
        <f>Balance_Sheet!K51/Balance_Sheet!K$35</f>
        <v>1.695755627535182E-2</v>
      </c>
    </row>
    <row r="76" spans="2:11">
      <c r="B76" s="7" t="s">
        <v>53</v>
      </c>
      <c r="C76" s="232">
        <f>Balance_Sheet!C52/Balance_Sheet!C$35</f>
        <v>5.1156574377409704E-2</v>
      </c>
      <c r="D76" s="232">
        <f>Balance_Sheet!D52/Balance_Sheet!D$35</f>
        <v>8.1956669278320834E-2</v>
      </c>
      <c r="E76" s="232">
        <f>Balance_Sheet!E52/Balance_Sheet!E$35</f>
        <v>7.1436814835963841E-2</v>
      </c>
      <c r="F76" s="232">
        <f>Balance_Sheet!F52/Balance_Sheet!F$35</f>
        <v>9.013383772178174E-2</v>
      </c>
      <c r="G76" s="232">
        <f>Balance_Sheet!G52/Balance_Sheet!G$35</f>
        <v>8.038590827244993E-2</v>
      </c>
      <c r="H76" s="232">
        <f>Balance_Sheet!H52/Balance_Sheet!H$35</f>
        <v>8.4259032245113455E-2</v>
      </c>
      <c r="I76" s="232">
        <f>Balance_Sheet!I52/Balance_Sheet!I$35</f>
        <v>8.6108295606148619E-2</v>
      </c>
      <c r="J76" s="232">
        <f>Balance_Sheet!J52/Balance_Sheet!J$35</f>
        <v>8.6638245401360267E-2</v>
      </c>
      <c r="K76" s="232">
        <f>Balance_Sheet!K52/Balance_Sheet!K$35</f>
        <v>8.6300638266498725E-2</v>
      </c>
    </row>
    <row r="77" spans="2:11">
      <c r="C77" s="231"/>
      <c r="D77" s="231"/>
      <c r="E77" s="231"/>
      <c r="F77" s="231"/>
      <c r="G77" s="231"/>
      <c r="H77" s="231"/>
      <c r="I77" s="231"/>
      <c r="J77" s="231"/>
      <c r="K77" s="231"/>
    </row>
    <row r="78" spans="2:11">
      <c r="B78" s="1" t="s">
        <v>54</v>
      </c>
      <c r="C78" s="231"/>
      <c r="D78" s="231"/>
      <c r="E78" s="231"/>
      <c r="F78" s="231"/>
      <c r="G78" s="231"/>
      <c r="H78" s="231"/>
      <c r="I78" s="231"/>
      <c r="J78" s="231"/>
      <c r="K78" s="231"/>
    </row>
    <row r="79" spans="2:11">
      <c r="B79" t="s">
        <v>48</v>
      </c>
      <c r="C79" s="231"/>
      <c r="D79" s="231"/>
      <c r="E79" s="231"/>
      <c r="F79" s="231"/>
      <c r="G79" s="231"/>
      <c r="H79" s="231"/>
      <c r="I79" s="231"/>
      <c r="J79" s="231"/>
      <c r="K79" s="231"/>
    </row>
    <row r="80" spans="2:11">
      <c r="B80" t="s">
        <v>49</v>
      </c>
      <c r="C80" s="231">
        <f>Balance_Sheet!C56/Balance_Sheet!C$35</f>
        <v>0.25722780987444832</v>
      </c>
      <c r="D80" s="231">
        <f>Balance_Sheet!D56/Balance_Sheet!D$35</f>
        <v>0.30601280805789888</v>
      </c>
      <c r="E80" s="231">
        <f>Balance_Sheet!E56/Balance_Sheet!E$35</f>
        <v>0.37714318856818335</v>
      </c>
      <c r="F80" s="231">
        <f>Balance_Sheet!F56/Balance_Sheet!F$35</f>
        <v>0.34342475612028345</v>
      </c>
      <c r="G80" s="231">
        <f>Balance_Sheet!G56/Balance_Sheet!G$35</f>
        <v>0.3469436517700426</v>
      </c>
      <c r="H80" s="231">
        <f>Balance_Sheet!H56/Balance_Sheet!H$35</f>
        <v>0.36365996192579303</v>
      </c>
      <c r="I80" s="231">
        <f>Balance_Sheet!I56/Balance_Sheet!I$35</f>
        <v>0.37164133823104739</v>
      </c>
      <c r="J80" s="231">
        <f>Balance_Sheet!J56/Balance_Sheet!J$35</f>
        <v>0.37392858883450336</v>
      </c>
      <c r="K80" s="231">
        <f>Balance_Sheet!K56/Balance_Sheet!K$35</f>
        <v>0.37247148453911499</v>
      </c>
    </row>
    <row r="81" spans="2:11">
      <c r="B81" t="s">
        <v>50</v>
      </c>
      <c r="C81" s="231">
        <f>Balance_Sheet!C57/Balance_Sheet!C$35</f>
        <v>0</v>
      </c>
      <c r="D81" s="231">
        <f>Balance_Sheet!D57/Balance_Sheet!D$35</f>
        <v>0</v>
      </c>
      <c r="E81" s="231">
        <f>Balance_Sheet!E57/Balance_Sheet!E$35</f>
        <v>7.255324525683392E-5</v>
      </c>
      <c r="F81" s="231">
        <f>Balance_Sheet!F57/Balance_Sheet!F$35</f>
        <v>2.1828720097440406E-4</v>
      </c>
      <c r="G81" s="231">
        <f>Balance_Sheet!G57/Balance_Sheet!G$35</f>
        <v>7.4596519474458663E-5</v>
      </c>
      <c r="H81" s="231">
        <f>Balance_Sheet!H57/Balance_Sheet!H$35</f>
        <v>7.8190701266552784E-5</v>
      </c>
      <c r="I81" s="231">
        <f>Balance_Sheet!I57/Balance_Sheet!I$35</f>
        <v>7.9906780779610186E-5</v>
      </c>
      <c r="J81" s="231">
        <f>Balance_Sheet!J57/Balance_Sheet!J$35</f>
        <v>8.0398563619022844E-5</v>
      </c>
      <c r="K81" s="231">
        <f>Balance_Sheet!K57/Balance_Sheet!K$35</f>
        <v>8.0085270931888459E-5</v>
      </c>
    </row>
    <row r="82" spans="2:11">
      <c r="B82" t="s">
        <v>55</v>
      </c>
      <c r="C82" s="231"/>
      <c r="D82" s="231"/>
      <c r="E82" s="231"/>
      <c r="F82" s="231"/>
      <c r="G82" s="231"/>
      <c r="H82" s="231"/>
      <c r="I82" s="231"/>
      <c r="J82" s="231"/>
      <c r="K82" s="231"/>
    </row>
    <row r="83" spans="2:11">
      <c r="B83" t="s">
        <v>67</v>
      </c>
      <c r="C83" s="231">
        <f>Balance_Sheet!C59/Balance_Sheet!C$35</f>
        <v>1.4142812107238311E-3</v>
      </c>
      <c r="D83" s="231">
        <f>Balance_Sheet!D59/Balance_Sheet!D$35</f>
        <v>1.0327211378337747E-3</v>
      </c>
      <c r="E83" s="231">
        <f>Balance_Sheet!E59/Balance_Sheet!E$35</f>
        <v>6.2632067526615298E-4</v>
      </c>
      <c r="F83" s="231">
        <f>Balance_Sheet!F59/Balance_Sheet!F$35</f>
        <v>9.6249657376868921E-4</v>
      </c>
      <c r="G83" s="231">
        <f>Balance_Sheet!G59/Balance_Sheet!G$35</f>
        <v>0</v>
      </c>
      <c r="H83" s="231">
        <f>Balance_Sheet!H59/Balance_Sheet!H$35</f>
        <v>0</v>
      </c>
      <c r="I83" s="231">
        <f>Balance_Sheet!I59/Balance_Sheet!I$35</f>
        <v>0</v>
      </c>
      <c r="J83" s="231">
        <f>Balance_Sheet!J59/Balance_Sheet!J$35</f>
        <v>0</v>
      </c>
      <c r="K83" s="231">
        <f>Balance_Sheet!K59/Balance_Sheet!K$35</f>
        <v>0</v>
      </c>
    </row>
    <row r="84" spans="2:11">
      <c r="B84" t="s">
        <v>68</v>
      </c>
      <c r="C84" s="231">
        <f>Balance_Sheet!C60/Balance_Sheet!C$35</f>
        <v>0.2109973228223696</v>
      </c>
      <c r="D84" s="231">
        <f>Balance_Sheet!D60/Balance_Sheet!D$35</f>
        <v>0.28571637410543949</v>
      </c>
      <c r="E84" s="231">
        <f>Balance_Sheet!E60/Balance_Sheet!E$35</f>
        <v>0.17883098799400496</v>
      </c>
      <c r="F84" s="231">
        <f>Balance_Sheet!F60/Balance_Sheet!F$35</f>
        <v>0.15306897013332391</v>
      </c>
      <c r="G84" s="231">
        <f>Balance_Sheet!G60/Balance_Sheet!G$35</f>
        <v>0.23035203413983993</v>
      </c>
      <c r="H84" s="231">
        <f>Balance_Sheet!H60/Balance_Sheet!H$35</f>
        <v>0.24145077028343082</v>
      </c>
      <c r="I84" s="231">
        <f>Balance_Sheet!I60/Balance_Sheet!I$35</f>
        <v>0.24674997739608742</v>
      </c>
      <c r="J84" s="231">
        <f>Balance_Sheet!J60/Balance_Sheet!J$35</f>
        <v>0.24826858950040359</v>
      </c>
      <c r="K84" s="231">
        <f>Balance_Sheet!K60/Balance_Sheet!K$35</f>
        <v>0.24730115015777782</v>
      </c>
    </row>
    <row r="85" spans="2:11">
      <c r="B85" t="s">
        <v>56</v>
      </c>
      <c r="C85" s="231">
        <f>Balance_Sheet!C61/Balance_Sheet!C$35</f>
        <v>1.8641942775102067E-2</v>
      </c>
      <c r="D85" s="231">
        <f>Balance_Sheet!D61/Balance_Sheet!D$35</f>
        <v>9.7963960433849334E-3</v>
      </c>
      <c r="E85" s="231">
        <f>Balance_Sheet!E61/Balance_Sheet!E$35</f>
        <v>2.2523325488318199E-2</v>
      </c>
      <c r="F85" s="231">
        <f>Balance_Sheet!F61/Balance_Sheet!F$35</f>
        <v>2.3243079147312166E-2</v>
      </c>
      <c r="G85" s="231">
        <f>Balance_Sheet!G61/Balance_Sheet!G$35</f>
        <v>1.9643986718925272E-2</v>
      </c>
      <c r="H85" s="231">
        <f>Balance_Sheet!H61/Balance_Sheet!H$35</f>
        <v>2.059046599016626E-2</v>
      </c>
      <c r="I85" s="231">
        <f>Balance_Sheet!I61/Balance_Sheet!I$35</f>
        <v>2.1042372371330085E-2</v>
      </c>
      <c r="J85" s="231">
        <f>Balance_Sheet!J61/Balance_Sheet!J$35</f>
        <v>2.1171876745449382E-2</v>
      </c>
      <c r="K85" s="231">
        <f>Balance_Sheet!K61/Balance_Sheet!K$35</f>
        <v>2.1089375344196856E-2</v>
      </c>
    </row>
    <row r="86" spans="2:11">
      <c r="B86" t="s">
        <v>57</v>
      </c>
      <c r="C86" s="231">
        <f>Balance_Sheet!C62/Balance_Sheet!C$35</f>
        <v>2.8574467119205305E-2</v>
      </c>
      <c r="D86" s="231">
        <f>Balance_Sheet!D62/Balance_Sheet!D$35</f>
        <v>1.8794790618362405E-2</v>
      </c>
      <c r="E86" s="231">
        <f>Balance_Sheet!E62/Balance_Sheet!E$35</f>
        <v>1.0842168550440864E-2</v>
      </c>
      <c r="F86" s="231">
        <f>Balance_Sheet!F62/Balance_Sheet!F$35</f>
        <v>1.2442059932707838E-2</v>
      </c>
      <c r="G86" s="231">
        <f>Balance_Sheet!G62/Balance_Sheet!G$35</f>
        <v>1.9407291168254525E-2</v>
      </c>
      <c r="H86" s="231">
        <f>Balance_Sheet!H62/Balance_Sheet!H$35</f>
        <v>2.034236606239476E-2</v>
      </c>
      <c r="I86" s="231">
        <f>Balance_Sheet!I62/Balance_Sheet!I$35</f>
        <v>2.0788827304989124E-2</v>
      </c>
      <c r="J86" s="231">
        <f>Balance_Sheet!J62/Balance_Sheet!J$35</f>
        <v>2.0916771246921966E-2</v>
      </c>
      <c r="K86" s="231">
        <f>Balance_Sheet!K62/Balance_Sheet!K$35</f>
        <v>2.0835263926701968E-2</v>
      </c>
    </row>
    <row r="87" spans="2:11">
      <c r="B87" t="s">
        <v>52</v>
      </c>
      <c r="C87" s="231">
        <f>Balance_Sheet!C63/Balance_Sheet!C$35</f>
        <v>1.8768345458284447E-2</v>
      </c>
      <c r="D87" s="231">
        <f>Balance_Sheet!D63/Balance_Sheet!D$35</f>
        <v>9.4909161318455781E-3</v>
      </c>
      <c r="E87" s="231">
        <f>Balance_Sheet!E63/Balance_Sheet!E$35</f>
        <v>8.4456781832494728E-3</v>
      </c>
      <c r="F87" s="231">
        <f>Balance_Sheet!F63/Balance_Sheet!F$35</f>
        <v>7.5404259584543418E-3</v>
      </c>
      <c r="G87" s="231">
        <f>Balance_Sheet!G63/Balance_Sheet!G$35</f>
        <v>1.2017615634104506E-2</v>
      </c>
      <c r="H87" s="231">
        <f>Balance_Sheet!H63/Balance_Sheet!H$35</f>
        <v>1.2596643926587684E-2</v>
      </c>
      <c r="I87" s="231">
        <f>Balance_Sheet!I63/Balance_Sheet!I$35</f>
        <v>1.287310701267773E-2</v>
      </c>
      <c r="J87" s="231">
        <f>Balance_Sheet!J63/Balance_Sheet!J$35</f>
        <v>1.2952333995131429E-2</v>
      </c>
      <c r="K87" s="231">
        <f>Balance_Sheet!K63/Balance_Sheet!K$35</f>
        <v>1.2901862054597446E-2</v>
      </c>
    </row>
    <row r="88" spans="2:11">
      <c r="B88" t="s">
        <v>65</v>
      </c>
      <c r="C88" s="231">
        <f>Balance_Sheet!C64/Balance_Sheet!C$35</f>
        <v>5.1433751429067007E-5</v>
      </c>
      <c r="D88" s="231">
        <f>Balance_Sheet!D64/Balance_Sheet!D$35</f>
        <v>6.5551985575909352E-3</v>
      </c>
      <c r="E88" s="231">
        <f>Balance_Sheet!E64/Balance_Sheet!E$35</f>
        <v>1.2151167220038426E-3</v>
      </c>
      <c r="F88" s="231">
        <f>Balance_Sheet!F64/Balance_Sheet!F$35</f>
        <v>2.3547981517225535E-5</v>
      </c>
      <c r="G88" s="231">
        <f>Balance_Sheet!G64/Balance_Sheet!G$35</f>
        <v>2.3755035964797889E-3</v>
      </c>
      <c r="H88" s="231">
        <f>Balance_Sheet!H64/Balance_Sheet!H$35</f>
        <v>2.489959228373514E-3</v>
      </c>
      <c r="I88" s="231">
        <f>Balance_Sheet!I64/Balance_Sheet!I$35</f>
        <v>2.5446072613358153E-3</v>
      </c>
      <c r="J88" s="231">
        <f>Balance_Sheet!J64/Balance_Sheet!J$35</f>
        <v>2.5602679370877418E-3</v>
      </c>
      <c r="K88" s="231">
        <f>Balance_Sheet!K64/Balance_Sheet!K$35</f>
        <v>2.5502912262400815E-3</v>
      </c>
    </row>
    <row r="89" spans="2:11">
      <c r="B89" s="7" t="s">
        <v>58</v>
      </c>
      <c r="C89" s="232">
        <f>Balance_Sheet!C65/Balance_Sheet!C$35</f>
        <v>0.53567560301156258</v>
      </c>
      <c r="D89" s="232">
        <f>Balance_Sheet!D65/Balance_Sheet!D$35</f>
        <v>0.637399204652356</v>
      </c>
      <c r="E89" s="232">
        <f>Balance_Sheet!E65/Balance_Sheet!E$35</f>
        <v>0.59969933942672371</v>
      </c>
      <c r="F89" s="232">
        <f>Balance_Sheet!F65/Balance_Sheet!F$35</f>
        <v>0.54092362304834207</v>
      </c>
      <c r="G89" s="232">
        <f>Balance_Sheet!G65/Balance_Sheet!G$35</f>
        <v>0.63081467954712112</v>
      </c>
      <c r="H89" s="232">
        <f>Balance_Sheet!H65/Balance_Sheet!H$35</f>
        <v>0.6612083581180126</v>
      </c>
      <c r="I89" s="232">
        <f>Balance_Sheet!I65/Balance_Sheet!I$35</f>
        <v>0.67572013635824701</v>
      </c>
      <c r="J89" s="232">
        <f>Balance_Sheet!J65/Balance_Sheet!J$35</f>
        <v>0.67987882682311651</v>
      </c>
      <c r="K89" s="232">
        <f>Balance_Sheet!K65/Balance_Sheet!K$35</f>
        <v>0.67722951251956087</v>
      </c>
    </row>
    <row r="90" spans="2:11">
      <c r="C90" s="231"/>
      <c r="D90" s="231"/>
      <c r="E90" s="231"/>
      <c r="F90" s="231"/>
      <c r="G90" s="231"/>
      <c r="H90" s="231"/>
      <c r="I90" s="231"/>
      <c r="J90" s="231"/>
      <c r="K90" s="231"/>
    </row>
    <row r="91" spans="2:11">
      <c r="B91" s="10" t="s">
        <v>59</v>
      </c>
      <c r="C91" s="234">
        <f>Balance_Sheet!C67/Balance_Sheet!C$35</f>
        <v>0.58683217738897231</v>
      </c>
      <c r="D91" s="234">
        <f>Balance_Sheet!D67/Balance_Sheet!D$35</f>
        <v>0.71935587393067679</v>
      </c>
      <c r="E91" s="234">
        <f>Balance_Sheet!E67/Balance_Sheet!E$35</f>
        <v>0.67113615426268747</v>
      </c>
      <c r="F91" s="234">
        <f>Balance_Sheet!F67/Balance_Sheet!F$35</f>
        <v>0.6310574607701237</v>
      </c>
      <c r="G91" s="234">
        <f>Balance_Sheet!G67/Balance_Sheet!G$35</f>
        <v>0.71120058781957107</v>
      </c>
      <c r="H91" s="234">
        <f>Balance_Sheet!H67/Balance_Sheet!H$35</f>
        <v>0.74546739036312604</v>
      </c>
      <c r="I91" s="234">
        <f>Balance_Sheet!I67/Balance_Sheet!I$35</f>
        <v>0.76182843196439565</v>
      </c>
      <c r="J91" s="234">
        <f>Balance_Sheet!J67/Balance_Sheet!J$35</f>
        <v>0.76651707222447685</v>
      </c>
      <c r="K91" s="234">
        <f>Balance_Sheet!K67/Balance_Sheet!K$35</f>
        <v>0.76353015078605957</v>
      </c>
    </row>
    <row r="92" spans="2:11">
      <c r="C92" s="231"/>
      <c r="D92" s="231"/>
      <c r="E92" s="231"/>
      <c r="F92" s="231"/>
      <c r="G92" s="231"/>
      <c r="H92" s="231"/>
      <c r="I92" s="231"/>
      <c r="J92" s="231"/>
      <c r="K92" s="231"/>
    </row>
    <row r="93" spans="2:11">
      <c r="B93" s="10" t="s">
        <v>60</v>
      </c>
      <c r="C93" s="234">
        <f>Balance_Sheet!C69/Balance_Sheet!C$35</f>
        <v>1</v>
      </c>
      <c r="D93" s="234">
        <f>Balance_Sheet!D69/Balance_Sheet!D$35</f>
        <v>1</v>
      </c>
      <c r="E93" s="234">
        <f>Balance_Sheet!E69/Balance_Sheet!E$35</f>
        <v>0.99999999999999978</v>
      </c>
      <c r="F93" s="234">
        <f>Balance_Sheet!F69/Balance_Sheet!F$35</f>
        <v>1</v>
      </c>
      <c r="G93" s="234">
        <f>Balance_Sheet!G69/Balance_Sheet!G$35</f>
        <v>0.99999999999999989</v>
      </c>
      <c r="H93" s="234">
        <f>Balance_Sheet!H69/Balance_Sheet!H$35</f>
        <v>0.99999999999999989</v>
      </c>
      <c r="I93" s="234">
        <f>Balance_Sheet!I69/Balance_Sheet!I$35</f>
        <v>1</v>
      </c>
      <c r="J93" s="234">
        <f>Balance_Sheet!J69/Balance_Sheet!J$35</f>
        <v>1</v>
      </c>
      <c r="K93" s="234">
        <f>Balance_Sheet!K69/Balance_Sheet!K$35</f>
        <v>1</v>
      </c>
    </row>
  </sheetData>
  <mergeCells count="1">
    <mergeCell ref="B6:K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K52"/>
  <sheetViews>
    <sheetView showGridLines="0" workbookViewId="0">
      <selection activeCell="N11" sqref="N11"/>
    </sheetView>
  </sheetViews>
  <sheetFormatPr defaultRowHeight="15"/>
  <cols>
    <col min="1" max="1" width="1.85546875" customWidth="1"/>
    <col min="2" max="2" width="29.85546875" bestFit="1" customWidth="1"/>
    <col min="3" max="6" width="11.140625" bestFit="1" customWidth="1"/>
    <col min="7" max="7" width="9.7109375" bestFit="1" customWidth="1"/>
    <col min="8" max="8" width="9.85546875" bestFit="1" customWidth="1"/>
    <col min="9" max="11" width="10" bestFit="1" customWidth="1"/>
  </cols>
  <sheetData>
    <row r="6" spans="2:11" ht="15.75" thickBot="1">
      <c r="B6" s="222" t="s">
        <v>344</v>
      </c>
      <c r="C6" s="222"/>
      <c r="D6" s="222"/>
      <c r="E6" s="222"/>
      <c r="F6" s="222"/>
      <c r="G6" s="222"/>
      <c r="H6" s="222"/>
      <c r="I6" s="222"/>
      <c r="J6" s="222"/>
      <c r="K6" s="222"/>
    </row>
    <row r="8" spans="2:11">
      <c r="B8" s="124" t="s">
        <v>0</v>
      </c>
      <c r="C8" s="124">
        <v>2021</v>
      </c>
      <c r="D8" s="124">
        <f>C8+1</f>
        <v>2022</v>
      </c>
      <c r="E8" s="124">
        <f t="shared" ref="E8:F8" si="0">D8+1</f>
        <v>2023</v>
      </c>
      <c r="F8" s="124">
        <f t="shared" si="0"/>
        <v>2024</v>
      </c>
      <c r="G8" s="85">
        <f>F8+1</f>
        <v>2025</v>
      </c>
      <c r="H8" s="85">
        <f t="shared" ref="H8:K8" si="1">G8+1</f>
        <v>2026</v>
      </c>
      <c r="I8" s="85">
        <f t="shared" si="1"/>
        <v>2027</v>
      </c>
      <c r="J8" s="85">
        <f t="shared" si="1"/>
        <v>2028</v>
      </c>
      <c r="K8" s="85">
        <f t="shared" si="1"/>
        <v>2029</v>
      </c>
    </row>
    <row r="10" spans="2:11">
      <c r="B10" s="1" t="s">
        <v>24</v>
      </c>
    </row>
    <row r="11" spans="2:11">
      <c r="B11" t="s">
        <v>62</v>
      </c>
      <c r="C11" s="98">
        <f>'Balance Sheet'!C19</f>
        <v>1246.99</v>
      </c>
      <c r="D11" s="98">
        <f>'Balance Sheet'!D19</f>
        <v>1236.5</v>
      </c>
      <c r="E11" s="98">
        <f>'Balance Sheet'!E19</f>
        <v>1106.6199999999999</v>
      </c>
      <c r="F11" s="98">
        <f>'Balance Sheet'!F19</f>
        <v>5950.43</v>
      </c>
      <c r="G11" s="98">
        <f>G12*'Revenue BuildUp'!G$10</f>
        <v>4357.8448078789625</v>
      </c>
      <c r="H11" s="98">
        <f>H12*'Revenue BuildUp'!H$10</f>
        <v>6143.7877138003505</v>
      </c>
      <c r="I11" s="98">
        <f>I12*'Revenue BuildUp'!I$10</f>
        <v>8158.0777248829991</v>
      </c>
      <c r="J11" s="98">
        <f>J12*'Revenue BuildUp'!J$10</f>
        <v>10297.8306247374</v>
      </c>
      <c r="K11" s="98">
        <f>K12*'Revenue BuildUp'!K$10</f>
        <v>12458.615425723821</v>
      </c>
    </row>
    <row r="12" spans="2:11">
      <c r="B12" s="207" t="s">
        <v>122</v>
      </c>
      <c r="C12" s="208">
        <f>C11/'Revenue BuildUp'!C$10</f>
        <v>2.4144324194075068E-3</v>
      </c>
      <c r="D12" s="208">
        <f>D11/'Revenue BuildUp'!D$10</f>
        <v>1.5734116063085698E-3</v>
      </c>
      <c r="E12" s="208">
        <f>E11/'Revenue BuildUp'!E$10</f>
        <v>8.2950533583943452E-4</v>
      </c>
      <c r="F12" s="208">
        <f>F11/'Revenue BuildUp'!F$10</f>
        <v>5.140707053416415E-3</v>
      </c>
      <c r="G12" s="209">
        <f>AVERAGE($C$12:$F$12)</f>
        <v>2.4895141037429816E-3</v>
      </c>
      <c r="H12" s="209">
        <f t="shared" ref="H12:K12" si="2">AVERAGE($C$12:$F$12)</f>
        <v>2.4895141037429816E-3</v>
      </c>
      <c r="I12" s="209">
        <f t="shared" si="2"/>
        <v>2.4895141037429816E-3</v>
      </c>
      <c r="J12" s="209">
        <f t="shared" si="2"/>
        <v>2.4895141037429816E-3</v>
      </c>
      <c r="K12" s="209">
        <f t="shared" si="2"/>
        <v>2.4895141037429816E-3</v>
      </c>
    </row>
    <row r="13" spans="2:11">
      <c r="B13" t="s">
        <v>30</v>
      </c>
      <c r="C13" s="98">
        <f>'Balance Sheet'!C20</f>
        <v>2321.36</v>
      </c>
      <c r="D13" s="98">
        <f>'Balance Sheet'!D20</f>
        <v>118276.53</v>
      </c>
      <c r="E13" s="98">
        <f>'Balance Sheet'!E20</f>
        <v>5900.04</v>
      </c>
      <c r="F13" s="98">
        <f>'Balance Sheet'!F20</f>
        <v>3828.56</v>
      </c>
      <c r="G13" s="98">
        <f>G14*'Revenue BuildUp'!G$10</f>
        <v>71213.189008986315</v>
      </c>
      <c r="H13" s="98">
        <f>H14*'Revenue BuildUp'!H$10</f>
        <v>100397.95701373316</v>
      </c>
      <c r="I13" s="98">
        <f>I14*'Revenue BuildUp'!I$10</f>
        <v>133314.23136540252</v>
      </c>
      <c r="J13" s="98">
        <f>J14*'Revenue BuildUp'!J$10</f>
        <v>168280.74219992288</v>
      </c>
      <c r="K13" s="98">
        <f>K14*'Revenue BuildUp'!K$10</f>
        <v>203590.94327963624</v>
      </c>
    </row>
    <row r="14" spans="2:11">
      <c r="B14" s="207" t="s">
        <v>122</v>
      </c>
      <c r="C14" s="208">
        <f>C13/'Revenue BuildUp'!C$10</f>
        <v>4.4946365577236465E-3</v>
      </c>
      <c r="D14" s="208">
        <f>D13/'Revenue BuildUp'!D$10</f>
        <v>0.15050357060728164</v>
      </c>
      <c r="E14" s="208">
        <f>E13/'Revenue BuildUp'!E$10</f>
        <v>4.4225792608719328E-3</v>
      </c>
      <c r="F14" s="208">
        <f>F13/'Revenue BuildUp'!F$10</f>
        <v>3.3075769980367722E-3</v>
      </c>
      <c r="G14" s="209">
        <f>AVERAGE(C14:F14)</f>
        <v>4.06820908559785E-2</v>
      </c>
      <c r="H14" s="209">
        <f>G14</f>
        <v>4.06820908559785E-2</v>
      </c>
      <c r="I14" s="209">
        <f t="shared" ref="I14:K14" si="3">H14</f>
        <v>4.06820908559785E-2</v>
      </c>
      <c r="J14" s="209">
        <f t="shared" si="3"/>
        <v>4.06820908559785E-2</v>
      </c>
      <c r="K14" s="209">
        <f t="shared" si="3"/>
        <v>4.06820908559785E-2</v>
      </c>
    </row>
    <row r="17" spans="2:11">
      <c r="B17" s="1" t="s">
        <v>32</v>
      </c>
    </row>
    <row r="18" spans="2:11">
      <c r="B18" t="s">
        <v>29</v>
      </c>
      <c r="C18" s="98">
        <f>'Balance Sheet'!C26</f>
        <v>12204</v>
      </c>
      <c r="D18" s="98">
        <f>'Balance Sheet'!D26</f>
        <v>55036.14</v>
      </c>
      <c r="E18" s="98">
        <f>'Balance Sheet'!E26</f>
        <v>0</v>
      </c>
      <c r="F18" s="98">
        <f>'Balance Sheet'!F26</f>
        <v>0</v>
      </c>
      <c r="G18" s="98">
        <f>G19*'Revenue BuildUp'!G$10</f>
        <v>0</v>
      </c>
      <c r="H18" s="98">
        <f>H19*'Revenue BuildUp'!H$10</f>
        <v>0</v>
      </c>
      <c r="I18" s="98">
        <f>I19*'Revenue BuildUp'!I$10</f>
        <v>0</v>
      </c>
      <c r="J18" s="98">
        <f>J19*'Revenue BuildUp'!J$10</f>
        <v>0</v>
      </c>
      <c r="K18" s="98">
        <f>K19*'Revenue BuildUp'!K$10</f>
        <v>0</v>
      </c>
    </row>
    <row r="19" spans="2:11">
      <c r="B19" s="207" t="s">
        <v>122</v>
      </c>
      <c r="C19" s="208">
        <f>C18/'Revenue BuildUp'!C$10</f>
        <v>2.3629486400411563E-2</v>
      </c>
      <c r="D19" s="208">
        <f>D18/'Revenue BuildUp'!D$10</f>
        <v>7.0031946172602777E-2</v>
      </c>
      <c r="E19" s="208">
        <f>E18/'Revenue BuildUp'!E$10</f>
        <v>0</v>
      </c>
      <c r="F19" s="208">
        <f>F18/'Revenue BuildUp'!F$10</f>
        <v>0</v>
      </c>
      <c r="G19" s="209">
        <f>F19</f>
        <v>0</v>
      </c>
      <c r="H19" s="209">
        <f>G19</f>
        <v>0</v>
      </c>
      <c r="I19" s="209">
        <f t="shared" ref="I19:K19" si="4">H19</f>
        <v>0</v>
      </c>
      <c r="J19" s="209">
        <f t="shared" si="4"/>
        <v>0</v>
      </c>
      <c r="K19" s="209">
        <f t="shared" si="4"/>
        <v>0</v>
      </c>
    </row>
    <row r="20" spans="2:11">
      <c r="B20" s="42" t="s">
        <v>37</v>
      </c>
      <c r="C20" s="98">
        <f>'Balance Sheet'!C30</f>
        <v>19591.900000000001</v>
      </c>
      <c r="D20" s="98">
        <f>'Balance Sheet'!D30</f>
        <v>33844.36</v>
      </c>
      <c r="E20" s="98">
        <f>'Balance Sheet'!E30</f>
        <v>33718.269999999997</v>
      </c>
      <c r="F20" s="98">
        <f>'Balance Sheet'!F30</f>
        <v>50419.05</v>
      </c>
      <c r="G20" s="98">
        <f>G21*'Revenue BuildUp'!G$10</f>
        <v>65569.841158635245</v>
      </c>
      <c r="H20" s="98">
        <f>H21*'Revenue BuildUp'!H$10</f>
        <v>92441.838171455311</v>
      </c>
      <c r="I20" s="98">
        <f>I21*'Revenue BuildUp'!I$10</f>
        <v>122749.63523557308</v>
      </c>
      <c r="J20" s="98">
        <f>J21*'Revenue BuildUp'!J$10</f>
        <v>154945.19610284278</v>
      </c>
      <c r="K20" s="98">
        <f>K21*'Revenue BuildUp'!K$10</f>
        <v>187457.21119858732</v>
      </c>
    </row>
    <row r="21" spans="2:11">
      <c r="B21" s="207" t="s">
        <v>122</v>
      </c>
      <c r="C21" s="208">
        <f>C20/'Revenue BuildUp'!C$10</f>
        <v>3.7933999885957331E-2</v>
      </c>
      <c r="D21" s="208">
        <f>D20/'Revenue BuildUp'!D$10</f>
        <v>4.3065999864201787E-2</v>
      </c>
      <c r="E21" s="208">
        <f>E20/'Revenue BuildUp'!E$10</f>
        <v>2.5274696716374844E-2</v>
      </c>
      <c r="F21" s="208">
        <f>F20/'Revenue BuildUp'!F$10</f>
        <v>4.3558123692162568E-2</v>
      </c>
      <c r="G21" s="209">
        <f>AVERAGE(C21:F21)</f>
        <v>3.7458205039674133E-2</v>
      </c>
      <c r="H21" s="209">
        <f>G21</f>
        <v>3.7458205039674133E-2</v>
      </c>
      <c r="I21" s="209">
        <f t="shared" ref="I21:K21" si="5">H21</f>
        <v>3.7458205039674133E-2</v>
      </c>
      <c r="J21" s="209">
        <f t="shared" si="5"/>
        <v>3.7458205039674133E-2</v>
      </c>
      <c r="K21" s="209">
        <f t="shared" si="5"/>
        <v>3.7458205039674133E-2</v>
      </c>
    </row>
    <row r="22" spans="2:11">
      <c r="B22" s="42" t="s">
        <v>38</v>
      </c>
      <c r="C22" s="98">
        <f>'Balance Sheet'!C31</f>
        <v>47238.04</v>
      </c>
      <c r="D22" s="98">
        <f>'Balance Sheet'!D31</f>
        <v>45080.39</v>
      </c>
      <c r="E22" s="98">
        <f>'Balance Sheet'!E31</f>
        <v>64048.36</v>
      </c>
      <c r="F22" s="98">
        <f>'Balance Sheet'!F31</f>
        <v>58314.22</v>
      </c>
      <c r="G22" s="98">
        <f>G23*'Revenue BuildUp'!G$10</f>
        <v>108186.15333939574</v>
      </c>
      <c r="H22" s="98">
        <f>H23*'Revenue BuildUp'!H$10</f>
        <v>152523.27446084705</v>
      </c>
      <c r="I22" s="98">
        <f>I23*'Revenue BuildUp'!I$10</f>
        <v>202529.25163906263</v>
      </c>
      <c r="J22" s="98">
        <f>J23*'Revenue BuildUp'!J$10</f>
        <v>255649.92149713772</v>
      </c>
      <c r="K22" s="98">
        <f>K23*'Revenue BuildUp'!K$10</f>
        <v>309292.72111916717</v>
      </c>
    </row>
    <row r="23" spans="2:11">
      <c r="B23" s="207" t="s">
        <v>122</v>
      </c>
      <c r="C23" s="208">
        <f>C22/'Revenue BuildUp'!C$10</f>
        <v>9.1462686312856228E-2</v>
      </c>
      <c r="D23" s="208">
        <f>D22/'Revenue BuildUp'!D$10</f>
        <v>5.7363533233252557E-2</v>
      </c>
      <c r="E23" s="208">
        <f>E22/'Revenue BuildUp'!E$10</f>
        <v>4.8009665803767337E-2</v>
      </c>
      <c r="F23" s="208">
        <f>F22/'Revenue BuildUp'!F$10</f>
        <v>5.0378934307012534E-2</v>
      </c>
      <c r="G23" s="209">
        <f>AVERAGE(C23:F23)</f>
        <v>6.1803704914222164E-2</v>
      </c>
      <c r="H23" s="209">
        <f>G23</f>
        <v>6.1803704914222164E-2</v>
      </c>
      <c r="I23" s="209">
        <f t="shared" ref="I23:K23" si="6">H23</f>
        <v>6.1803704914222164E-2</v>
      </c>
      <c r="J23" s="209">
        <f t="shared" si="6"/>
        <v>6.1803704914222164E-2</v>
      </c>
      <c r="K23" s="209">
        <f t="shared" si="6"/>
        <v>6.1803704914222164E-2</v>
      </c>
    </row>
    <row r="24" spans="2:11">
      <c r="B24" s="42" t="s">
        <v>63</v>
      </c>
      <c r="C24" s="98">
        <f>'Balance Sheet'!C32</f>
        <v>24.32</v>
      </c>
      <c r="D24" s="98">
        <f>'Balance Sheet'!D32</f>
        <v>23.96</v>
      </c>
      <c r="E24" s="98">
        <f>'Balance Sheet'!E32</f>
        <v>23.26</v>
      </c>
      <c r="F24" s="98">
        <f>'Balance Sheet'!F32</f>
        <v>23.26</v>
      </c>
      <c r="G24" s="98">
        <f>G25*'Revenue BuildUp'!G$10</f>
        <v>50.373205047500107</v>
      </c>
      <c r="H24" s="98">
        <f>H25*'Revenue BuildUp'!H$10</f>
        <v>71.01727847582697</v>
      </c>
      <c r="I24" s="98">
        <f>I25*'Revenue BuildUp'!I$10</f>
        <v>94.300862042168532</v>
      </c>
      <c r="J24" s="98">
        <f>J25*'Revenue BuildUp'!J$10</f>
        <v>119.03469638626262</v>
      </c>
      <c r="K24" s="98">
        <f>K25*'Revenue BuildUp'!K$10</f>
        <v>144.01164270771451</v>
      </c>
    </row>
    <row r="25" spans="2:11">
      <c r="B25" s="207" t="s">
        <v>122</v>
      </c>
      <c r="C25" s="208">
        <f>C24/'Revenue BuildUp'!C$10</f>
        <v>4.7088586468207901E-5</v>
      </c>
      <c r="D25" s="208">
        <f>D24/'Revenue BuildUp'!D$10</f>
        <v>3.0488428699679204E-5</v>
      </c>
      <c r="E25" s="208">
        <f>E24/'Revenue BuildUp'!E$10</f>
        <v>1.7435338338025024E-5</v>
      </c>
      <c r="F25" s="208">
        <f>F24/'Revenue BuildUp'!F$10</f>
        <v>2.0094824418145548E-5</v>
      </c>
      <c r="G25" s="209">
        <f>AVERAGE(C25:F25)</f>
        <v>2.8776794481014421E-5</v>
      </c>
      <c r="H25" s="209">
        <f>G25</f>
        <v>2.8776794481014421E-5</v>
      </c>
      <c r="I25" s="209">
        <f t="shared" ref="I25:K25" si="7">H25</f>
        <v>2.8776794481014421E-5</v>
      </c>
      <c r="J25" s="209">
        <f t="shared" si="7"/>
        <v>2.8776794481014421E-5</v>
      </c>
      <c r="K25" s="209">
        <f t="shared" si="7"/>
        <v>2.8776794481014421E-5</v>
      </c>
    </row>
    <row r="27" spans="2:11">
      <c r="B27" s="1" t="s">
        <v>46</v>
      </c>
    </row>
    <row r="28" spans="2:11">
      <c r="B28" s="1" t="s">
        <v>47</v>
      </c>
    </row>
    <row r="29" spans="2:11">
      <c r="B29" t="s">
        <v>49</v>
      </c>
      <c r="C29" s="98">
        <f>'Balance Sheet'!C47</f>
        <v>11341.13</v>
      </c>
      <c r="D29" s="98">
        <f>'Balance Sheet'!D47</f>
        <v>52817.08</v>
      </c>
      <c r="E29" s="98">
        <f>'Balance Sheet'!E47</f>
        <v>61188.79</v>
      </c>
      <c r="F29" s="98">
        <f>'Balance Sheet'!F47</f>
        <v>67650.58</v>
      </c>
      <c r="G29" s="98">
        <f>G30*'Revenue BuildUp'!G$10</f>
        <v>84669.863625273327</v>
      </c>
      <c r="H29" s="98">
        <f>H30*'Revenue BuildUp'!H$10</f>
        <v>119369.47982397121</v>
      </c>
      <c r="I29" s="98">
        <f>I30*'Revenue BuildUp'!I$10</f>
        <v>158505.71988276477</v>
      </c>
      <c r="J29" s="98">
        <f>J30*'Revenue BuildUp'!J$10</f>
        <v>200079.61574406212</v>
      </c>
      <c r="K29" s="98">
        <f>K30*'Revenue BuildUp'!K$10</f>
        <v>242062.14667134636</v>
      </c>
    </row>
    <row r="30" spans="2:11">
      <c r="B30" s="207" t="s">
        <v>122</v>
      </c>
      <c r="C30" s="208">
        <f>C29/'Revenue BuildUp'!C$10</f>
        <v>2.1958790322869515E-2</v>
      </c>
      <c r="D30" s="208">
        <f>D29/'Revenue BuildUp'!D$10</f>
        <v>6.7208254495210867E-2</v>
      </c>
      <c r="E30" s="208">
        <f>E29/'Revenue BuildUp'!E$10</f>
        <v>4.5866176102509121E-2</v>
      </c>
      <c r="F30" s="208">
        <f>F29/'Revenue BuildUp'!F$10</f>
        <v>5.8444820588379569E-2</v>
      </c>
      <c r="G30" s="209">
        <f>AVERAGE(C30:F30)</f>
        <v>4.836951037724227E-2</v>
      </c>
      <c r="H30" s="209">
        <f>G30</f>
        <v>4.836951037724227E-2</v>
      </c>
      <c r="I30" s="209">
        <f t="shared" ref="I30:K38" si="8">H30</f>
        <v>4.836951037724227E-2</v>
      </c>
      <c r="J30" s="209">
        <f t="shared" si="8"/>
        <v>4.836951037724227E-2</v>
      </c>
      <c r="K30" s="209">
        <f t="shared" si="8"/>
        <v>4.836951037724227E-2</v>
      </c>
    </row>
    <row r="31" spans="2:11">
      <c r="B31" t="s">
        <v>50</v>
      </c>
      <c r="C31" s="98">
        <f>'Balance Sheet'!C48</f>
        <v>0</v>
      </c>
      <c r="D31" s="98">
        <f>'Balance Sheet'!D48</f>
        <v>0</v>
      </c>
      <c r="E31" s="98">
        <f>'Balance Sheet'!E48</f>
        <v>1603.78</v>
      </c>
      <c r="F31" s="98">
        <f>'Balance Sheet'!F48</f>
        <v>1722.29</v>
      </c>
      <c r="G31" s="98">
        <f>G32*'Revenue BuildUp'!G$10</f>
        <v>1177.2385208211947</v>
      </c>
      <c r="H31" s="98">
        <f>H32*'Revenue BuildUp'!H$10</f>
        <v>1659.6973686068538</v>
      </c>
      <c r="I31" s="98">
        <f>I32*'Revenue BuildUp'!I$10</f>
        <v>2203.842444371036</v>
      </c>
      <c r="J31" s="98">
        <f>J32*'Revenue BuildUp'!J$10</f>
        <v>2781.8803621493648</v>
      </c>
      <c r="K31" s="98">
        <f>K32*'Revenue BuildUp'!K$10</f>
        <v>3365.5998875273845</v>
      </c>
    </row>
    <row r="32" spans="2:11">
      <c r="B32" s="207" t="s">
        <v>122</v>
      </c>
      <c r="C32" s="208">
        <f>C31/'Revenue BuildUp'!C$10</f>
        <v>0</v>
      </c>
      <c r="D32" s="208">
        <f>D31/'Revenue BuildUp'!D$10</f>
        <v>0</v>
      </c>
      <c r="E32" s="208">
        <f>E31/'Revenue BuildUp'!E$10</f>
        <v>1.2021688271606952E-3</v>
      </c>
      <c r="F32" s="208">
        <f>F31/'Revenue BuildUp'!F$10</f>
        <v>1.4879241249840024E-3</v>
      </c>
      <c r="G32" s="209">
        <f>AVERAGE(C32:F32)</f>
        <v>6.7252323803617439E-4</v>
      </c>
      <c r="H32" s="209">
        <f>G32</f>
        <v>6.7252323803617439E-4</v>
      </c>
      <c r="I32" s="209">
        <f t="shared" si="8"/>
        <v>6.7252323803617439E-4</v>
      </c>
      <c r="J32" s="209">
        <f t="shared" si="8"/>
        <v>6.7252323803617439E-4</v>
      </c>
      <c r="K32" s="209">
        <f t="shared" si="8"/>
        <v>6.7252323803617439E-4</v>
      </c>
    </row>
    <row r="33" spans="2:11">
      <c r="B33" t="s">
        <v>64</v>
      </c>
      <c r="C33" s="98">
        <f>'Balance Sheet'!C49</f>
        <v>10.050000000000001</v>
      </c>
      <c r="D33" s="98">
        <f>'Balance Sheet'!D49</f>
        <v>286.70999999999998</v>
      </c>
      <c r="E33" s="98">
        <f>'Balance Sheet'!E49</f>
        <v>180.42</v>
      </c>
      <c r="F33" s="98">
        <f>'Balance Sheet'!F49</f>
        <v>0</v>
      </c>
      <c r="G33" s="98">
        <f>G34*'Revenue BuildUp'!G$10</f>
        <v>227.35646150560291</v>
      </c>
      <c r="H33" s="98">
        <f>H34*'Revenue BuildUp'!H$10</f>
        <v>320.53225767144897</v>
      </c>
      <c r="I33" s="98">
        <f>I34*'Revenue BuildUp'!I$10</f>
        <v>425.62132567539436</v>
      </c>
      <c r="J33" s="98">
        <f>J34*'Revenue BuildUp'!J$10</f>
        <v>537.25601420943394</v>
      </c>
      <c r="K33" s="98">
        <f>K34*'Revenue BuildUp'!K$10</f>
        <v>649.98797417715707</v>
      </c>
    </row>
    <row r="34" spans="2:11">
      <c r="B34" s="207" t="s">
        <v>122</v>
      </c>
      <c r="C34" s="208">
        <f>C33/'Revenue BuildUp'!C$10</f>
        <v>1.9458893667988873E-5</v>
      </c>
      <c r="D34" s="208">
        <f>D33/'Revenue BuildUp'!D$10</f>
        <v>3.6483044209035994E-4</v>
      </c>
      <c r="E34" s="208">
        <f>E33/'Revenue BuildUp'!E$10</f>
        <v>1.3524005773630585E-4</v>
      </c>
      <c r="F34" s="208">
        <f>F33/'Revenue BuildUp'!F$10</f>
        <v>0</v>
      </c>
      <c r="G34" s="209">
        <f>AVERAGE(C34:F34)</f>
        <v>1.2988234837366366E-4</v>
      </c>
      <c r="H34" s="209">
        <f>G34</f>
        <v>1.2988234837366366E-4</v>
      </c>
      <c r="I34" s="209">
        <f t="shared" si="8"/>
        <v>1.2988234837366366E-4</v>
      </c>
      <c r="J34" s="209">
        <f t="shared" si="8"/>
        <v>1.2988234837366366E-4</v>
      </c>
      <c r="K34" s="209">
        <f t="shared" si="8"/>
        <v>1.2988234837366366E-4</v>
      </c>
    </row>
    <row r="35" spans="2:11">
      <c r="B35" t="s">
        <v>52</v>
      </c>
      <c r="C35" s="98">
        <f>'Balance Sheet'!C50</f>
        <v>1974.99</v>
      </c>
      <c r="D35" s="98">
        <f>'Balance Sheet'!D50</f>
        <v>2654.83</v>
      </c>
      <c r="E35" s="98">
        <f>'Balance Sheet'!E50</f>
        <v>2379.21</v>
      </c>
      <c r="F35" s="98">
        <f>'Balance Sheet'!F50</f>
        <v>2621.4</v>
      </c>
      <c r="G35" s="98">
        <f>G36*'Revenue BuildUp'!G$10</f>
        <v>4923.353441877317</v>
      </c>
      <c r="H35" s="98">
        <f>H36*'Revenue BuildUp'!H$10</f>
        <v>6941.0545167221708</v>
      </c>
      <c r="I35" s="98">
        <f>I36*'Revenue BuildUp'!I$10</f>
        <v>9216.734834909008</v>
      </c>
      <c r="J35" s="98">
        <f>J36*'Revenue BuildUp'!J$10</f>
        <v>11634.159105093744</v>
      </c>
      <c r="K35" s="98">
        <f>K36*'Revenue BuildUp'!K$10</f>
        <v>14075.344543331168</v>
      </c>
    </row>
    <row r="36" spans="2:11">
      <c r="B36" s="207" t="s">
        <v>122</v>
      </c>
      <c r="C36" s="208">
        <f>C35/'Revenue BuildUp'!C$10</f>
        <v>3.8239920801334667E-3</v>
      </c>
      <c r="D36" s="208">
        <f>D35/'Revenue BuildUp'!D$10</f>
        <v>3.3781967931873678E-3</v>
      </c>
      <c r="E36" s="208">
        <f>E35/'Revenue BuildUp'!E$10</f>
        <v>1.7834192316084484E-3</v>
      </c>
      <c r="F36" s="208">
        <f>F35/'Revenue BuildUp'!F$10</f>
        <v>2.2646849840811151E-3</v>
      </c>
      <c r="G36" s="209">
        <f>AVERAGE(C36:F36)</f>
        <v>2.8125732722525994E-3</v>
      </c>
      <c r="H36" s="209">
        <f>G36</f>
        <v>2.8125732722525994E-3</v>
      </c>
      <c r="I36" s="209">
        <f t="shared" si="8"/>
        <v>2.8125732722525994E-3</v>
      </c>
      <c r="J36" s="209">
        <f t="shared" si="8"/>
        <v>2.8125732722525994E-3</v>
      </c>
      <c r="K36" s="209">
        <f t="shared" si="8"/>
        <v>2.8125732722525994E-3</v>
      </c>
    </row>
    <row r="37" spans="2:11">
      <c r="B37" t="s">
        <v>51</v>
      </c>
      <c r="C37" s="98">
        <f>'Balance Sheet'!C51</f>
        <v>9301.23</v>
      </c>
      <c r="D37" s="98">
        <f>'Balance Sheet'!D51</f>
        <v>9218.11</v>
      </c>
      <c r="E37" s="98">
        <f>'Balance Sheet'!E51</f>
        <v>10778.02</v>
      </c>
      <c r="F37" s="98">
        <f>'Balance Sheet'!F51</f>
        <v>15085.16</v>
      </c>
      <c r="G37" s="98">
        <f>G38*'Revenue BuildUp'!G$10</f>
        <v>22253.128566738789</v>
      </c>
      <c r="H37" s="98">
        <f>H38*'Revenue BuildUp'!H$10</f>
        <v>31372.961615054075</v>
      </c>
      <c r="I37" s="98">
        <f>I38*'Revenue BuildUp'!I$10</f>
        <v>41658.838364560586</v>
      </c>
      <c r="J37" s="98">
        <f>J38*'Revenue BuildUp'!J$10</f>
        <v>52585.385426406916</v>
      </c>
      <c r="K37" s="98">
        <f>K38*'Revenue BuildUp'!K$10</f>
        <v>63619.33089745028</v>
      </c>
    </row>
    <row r="38" spans="2:11">
      <c r="B38" s="207" t="s">
        <v>122</v>
      </c>
      <c r="C38" s="208">
        <f>C37/'Revenue BuildUp'!C$10</f>
        <v>1.8009118960349069E-2</v>
      </c>
      <c r="D38" s="208">
        <f>D37/'Revenue BuildUp'!D$10</f>
        <v>1.1729786706210346E-2</v>
      </c>
      <c r="E38" s="208">
        <f>E37/'Revenue BuildUp'!E$10</f>
        <v>8.0790380616509224E-3</v>
      </c>
      <c r="F38" s="208">
        <f>F37/'Revenue BuildUp'!F$10</f>
        <v>1.3032400753208618E-2</v>
      </c>
      <c r="G38" s="209">
        <f>AVERAGE(C38:F38)</f>
        <v>1.271258612035474E-2</v>
      </c>
      <c r="H38" s="209">
        <f>G38</f>
        <v>1.271258612035474E-2</v>
      </c>
      <c r="I38" s="209">
        <f t="shared" si="8"/>
        <v>1.271258612035474E-2</v>
      </c>
      <c r="J38" s="209">
        <f t="shared" si="8"/>
        <v>1.271258612035474E-2</v>
      </c>
      <c r="K38" s="209">
        <f t="shared" si="8"/>
        <v>1.271258612035474E-2</v>
      </c>
    </row>
    <row r="40" spans="2:11">
      <c r="B40" s="1" t="s">
        <v>54</v>
      </c>
    </row>
    <row r="41" spans="2:11">
      <c r="B41" t="s">
        <v>49</v>
      </c>
      <c r="C41" s="98">
        <f>'Balance Sheet'!C56</f>
        <v>113776.12</v>
      </c>
      <c r="D41" s="98">
        <f>'Balance Sheet'!D56</f>
        <v>242612.49</v>
      </c>
      <c r="E41" s="98">
        <f>'Balance Sheet'!E56</f>
        <v>401921.53</v>
      </c>
      <c r="F41" s="98">
        <f>'Balance Sheet'!F56</f>
        <v>331786.96000000002</v>
      </c>
      <c r="G41" s="98">
        <f>G42*'Revenue BuildUp'!G$10</f>
        <v>488788.34298434434</v>
      </c>
      <c r="H41" s="98">
        <f>H42*'Revenue BuildUp'!H$10</f>
        <v>689104.80952571228</v>
      </c>
      <c r="I41" s="98">
        <f>I42*'Revenue BuildUp'!I$10</f>
        <v>915033.34076365863</v>
      </c>
      <c r="J41" s="98">
        <f>J42*'Revenue BuildUp'!J$10</f>
        <v>1155034.1485998675</v>
      </c>
      <c r="K41" s="98">
        <f>K42*'Revenue BuildUp'!K$10</f>
        <v>1397393.9546467382</v>
      </c>
    </row>
    <row r="42" spans="2:11">
      <c r="B42" s="207" t="s">
        <v>122</v>
      </c>
      <c r="C42" s="208">
        <f>C41/'Revenue BuildUp'!C$10</f>
        <v>0.22029427074988478</v>
      </c>
      <c r="D42" s="208">
        <f>D41/'Revenue BuildUp'!D$10</f>
        <v>0.30871759611922511</v>
      </c>
      <c r="E42" s="208">
        <f>E41/'Revenue BuildUp'!E$10</f>
        <v>0.30127419866236776</v>
      </c>
      <c r="F42" s="208">
        <f>F41/'Revenue BuildUp'!F$10</f>
        <v>0.28663803548711436</v>
      </c>
      <c r="G42" s="209">
        <f>AVERAGE(C42:F42)</f>
        <v>0.27923102525464799</v>
      </c>
      <c r="H42" s="209">
        <f>G42</f>
        <v>0.27923102525464799</v>
      </c>
      <c r="I42" s="209">
        <f t="shared" ref="I42:K42" si="9">H42</f>
        <v>0.27923102525464799</v>
      </c>
      <c r="J42" s="209">
        <f t="shared" si="9"/>
        <v>0.27923102525464799</v>
      </c>
      <c r="K42" s="209">
        <f t="shared" si="9"/>
        <v>0.27923102525464799</v>
      </c>
    </row>
    <row r="43" spans="2:11">
      <c r="B43" t="s">
        <v>50</v>
      </c>
      <c r="C43" s="98">
        <f>'Balance Sheet'!C57</f>
        <v>0</v>
      </c>
      <c r="D43" s="98">
        <f>'Balance Sheet'!D57</f>
        <v>0</v>
      </c>
      <c r="E43" s="98">
        <f>'Balance Sheet'!E57</f>
        <v>77.319999999999993</v>
      </c>
      <c r="F43" s="98">
        <f>'Balance Sheet'!F57</f>
        <v>210.89</v>
      </c>
      <c r="G43" s="98">
        <f>G44*'Revenue BuildUp'!G$10</f>
        <v>105.09461395329784</v>
      </c>
      <c r="H43" s="98">
        <f>H44*'Revenue BuildUp'!H$10</f>
        <v>148.1647526376978</v>
      </c>
      <c r="I43" s="98">
        <f>I44*'Revenue BuildUp'!I$10</f>
        <v>196.74175352629729</v>
      </c>
      <c r="J43" s="98">
        <f>J44*'Revenue BuildUp'!J$10</f>
        <v>248.34444129504766</v>
      </c>
      <c r="K43" s="98">
        <f>K44*'Revenue BuildUp'!K$10</f>
        <v>300.45433839033876</v>
      </c>
    </row>
    <row r="44" spans="2:11">
      <c r="B44" s="207" t="s">
        <v>122</v>
      </c>
      <c r="C44" s="208">
        <f>C43/'Revenue BuildUp'!C$10</f>
        <v>0</v>
      </c>
      <c r="D44" s="208">
        <f>D43/'Revenue BuildUp'!D$10</f>
        <v>0</v>
      </c>
      <c r="E44" s="208">
        <f>E43/'Revenue BuildUp'!E$10</f>
        <v>5.7957883073778789E-5</v>
      </c>
      <c r="F44" s="208">
        <f>F43/'Revenue BuildUp'!F$10</f>
        <v>1.8219249877655694E-4</v>
      </c>
      <c r="G44" s="209">
        <f>AVERAGE(C44:F44)</f>
        <v>6.0037595462583933E-5</v>
      </c>
      <c r="H44" s="209">
        <f>G44</f>
        <v>6.0037595462583933E-5</v>
      </c>
      <c r="I44" s="209">
        <f t="shared" ref="I44:K44" si="10">H44</f>
        <v>6.0037595462583933E-5</v>
      </c>
      <c r="J44" s="209">
        <f t="shared" si="10"/>
        <v>6.0037595462583933E-5</v>
      </c>
      <c r="K44" s="209">
        <f t="shared" si="10"/>
        <v>6.0037595462583933E-5</v>
      </c>
    </row>
    <row r="45" spans="2:11">
      <c r="B45" t="s">
        <v>56</v>
      </c>
      <c r="C45" s="98">
        <f>'Balance Sheet'!C61</f>
        <v>8245.64</v>
      </c>
      <c r="D45" s="98">
        <f>'Balance Sheet'!D61</f>
        <v>7766.76</v>
      </c>
      <c r="E45" s="98">
        <f>'Balance Sheet'!E61</f>
        <v>24003.11</v>
      </c>
      <c r="F45" s="98">
        <f>'Balance Sheet'!F61</f>
        <v>22455.43</v>
      </c>
      <c r="G45" s="98">
        <f>G46*'Revenue BuildUp'!G$10</f>
        <v>27675.248326244284</v>
      </c>
      <c r="H45" s="98">
        <f>H46*'Revenue BuildUp'!H$10</f>
        <v>39017.188114578654</v>
      </c>
      <c r="I45" s="98">
        <f>I46*'Revenue BuildUp'!I$10</f>
        <v>51809.285748940762</v>
      </c>
      <c r="J45" s="98">
        <f>J46*'Revenue BuildUp'!J$10</f>
        <v>65398.157191357823</v>
      </c>
      <c r="K45" s="98">
        <f>K46*'Revenue BuildUp'!K$10</f>
        <v>79120.595365097965</v>
      </c>
    </row>
    <row r="46" spans="2:11">
      <c r="B46" s="207" t="s">
        <v>122</v>
      </c>
      <c r="C46" s="208">
        <f>C45/'Revenue BuildUp'!C$10</f>
        <v>1.5965276814379675E-2</v>
      </c>
      <c r="D46" s="208">
        <f>D45/'Revenue BuildUp'!D$10</f>
        <v>9.8829844944708038E-3</v>
      </c>
      <c r="E46" s="208">
        <f>E45/'Revenue BuildUp'!E$10</f>
        <v>1.7992362167447627E-2</v>
      </c>
      <c r="F46" s="208">
        <f>F45/'Revenue BuildUp'!F$10</f>
        <v>1.9399738739637063E-2</v>
      </c>
      <c r="G46" s="209">
        <f>AVERAGE(C46:F46)</f>
        <v>1.5810090553983792E-2</v>
      </c>
      <c r="H46" s="209">
        <f>G46</f>
        <v>1.5810090553983792E-2</v>
      </c>
      <c r="I46" s="209">
        <f t="shared" ref="I46:K46" si="11">H46</f>
        <v>1.5810090553983792E-2</v>
      </c>
      <c r="J46" s="209">
        <f t="shared" si="11"/>
        <v>1.5810090553983792E-2</v>
      </c>
      <c r="K46" s="209">
        <f t="shared" si="11"/>
        <v>1.5810090553983792E-2</v>
      </c>
    </row>
    <row r="47" spans="2:11">
      <c r="B47" t="s">
        <v>57</v>
      </c>
      <c r="C47" s="98">
        <f>'Balance Sheet'!C62</f>
        <v>12638.96</v>
      </c>
      <c r="D47" s="98">
        <f>'Balance Sheet'!D62</f>
        <v>14900.85</v>
      </c>
      <c r="E47" s="98">
        <f>'Balance Sheet'!E62</f>
        <v>11554.5</v>
      </c>
      <c r="F47" s="98">
        <f>'Balance Sheet'!F62</f>
        <v>12020.43</v>
      </c>
      <c r="G47" s="98">
        <f>G48*'Revenue BuildUp'!G$10</f>
        <v>27341.781997017992</v>
      </c>
      <c r="H47" s="98">
        <f>H48*'Revenue BuildUp'!H$10</f>
        <v>38547.059776652881</v>
      </c>
      <c r="I47" s="98">
        <f>I48*'Revenue BuildUp'!I$10</f>
        <v>51185.022069899009</v>
      </c>
      <c r="J47" s="98">
        <f>J48*'Revenue BuildUp'!J$10</f>
        <v>64610.157634508832</v>
      </c>
      <c r="K47" s="98">
        <f>K48*'Revenue BuildUp'!K$10</f>
        <v>78167.250549847347</v>
      </c>
    </row>
    <row r="48" spans="2:11">
      <c r="B48" s="207" t="s">
        <v>122</v>
      </c>
      <c r="C48" s="208">
        <f>C47/'Revenue BuildUp'!C$10</f>
        <v>2.4471659573528818E-2</v>
      </c>
      <c r="D48" s="208">
        <f>D47/'Revenue BuildUp'!D$10</f>
        <v>1.8960914139800285E-2</v>
      </c>
      <c r="E48" s="208">
        <f>E47/'Revenue BuildUp'!E$10</f>
        <v>8.6610755299531429E-3</v>
      </c>
      <c r="F48" s="208">
        <f>F47/'Revenue BuildUp'!F$10</f>
        <v>1.0384713253680537E-2</v>
      </c>
      <c r="G48" s="209">
        <f>AVERAGE(C48:F48)</f>
        <v>1.5619590624240696E-2</v>
      </c>
      <c r="H48" s="209">
        <f>G48</f>
        <v>1.5619590624240696E-2</v>
      </c>
      <c r="I48" s="209">
        <f t="shared" ref="I48:K48" si="12">H48</f>
        <v>1.5619590624240696E-2</v>
      </c>
      <c r="J48" s="209">
        <f t="shared" si="12"/>
        <v>1.5619590624240696E-2</v>
      </c>
      <c r="K48" s="209">
        <f t="shared" si="12"/>
        <v>1.5619590624240696E-2</v>
      </c>
    </row>
    <row r="49" spans="2:11">
      <c r="B49" t="s">
        <v>52</v>
      </c>
      <c r="C49" s="98">
        <f>'Balance Sheet'!C63</f>
        <v>8301.5499999999993</v>
      </c>
      <c r="D49" s="98">
        <f>'Balance Sheet'!D63</f>
        <v>7524.57</v>
      </c>
      <c r="E49" s="98">
        <f>'Balance Sheet'!E63</f>
        <v>9000.56</v>
      </c>
      <c r="F49" s="98">
        <f>'Balance Sheet'!F63</f>
        <v>7284.9</v>
      </c>
      <c r="G49" s="98">
        <f>G50*'Revenue BuildUp'!G$10</f>
        <v>16930.906221941998</v>
      </c>
      <c r="H49" s="98">
        <f>H50*'Revenue BuildUp'!H$10</f>
        <v>23869.572739672989</v>
      </c>
      <c r="I49" s="98">
        <f>I50*'Revenue BuildUp'!I$10</f>
        <v>31695.403347448511</v>
      </c>
      <c r="J49" s="98">
        <f>J50*'Revenue BuildUp'!J$10</f>
        <v>40008.676830722485</v>
      </c>
      <c r="K49" s="98">
        <f>K50*'Revenue BuildUp'!K$10</f>
        <v>48403.662527586886</v>
      </c>
    </row>
    <row r="50" spans="2:11">
      <c r="B50" s="207" t="s">
        <v>122</v>
      </c>
      <c r="C50" s="208">
        <f>C49/'Revenue BuildUp'!C$10</f>
        <v>1.6073530221840101E-2</v>
      </c>
      <c r="D50" s="208">
        <f>D49/'Revenue BuildUp'!D$10</f>
        <v>9.574804505039447E-3</v>
      </c>
      <c r="E50" s="208">
        <f>E49/'Revenue BuildUp'!E$10</f>
        <v>6.7466813771149816E-3</v>
      </c>
      <c r="F50" s="208">
        <f>F49/'Revenue BuildUp'!F$10</f>
        <v>6.2935849700665727E-3</v>
      </c>
      <c r="G50" s="209">
        <f>AVERAGE(C50:F50)</f>
        <v>9.6721502685152751E-3</v>
      </c>
      <c r="H50" s="209">
        <f>G50</f>
        <v>9.6721502685152751E-3</v>
      </c>
      <c r="I50" s="209">
        <f t="shared" ref="I50:K50" si="13">H50</f>
        <v>9.6721502685152751E-3</v>
      </c>
      <c r="J50" s="209">
        <f t="shared" si="13"/>
        <v>9.6721502685152751E-3</v>
      </c>
      <c r="K50" s="209">
        <f t="shared" si="13"/>
        <v>9.6721502685152751E-3</v>
      </c>
    </row>
    <row r="51" spans="2:11">
      <c r="B51" t="s">
        <v>65</v>
      </c>
      <c r="C51" s="98">
        <f>'Balance Sheet'!C64</f>
        <v>22.75</v>
      </c>
      <c r="D51" s="98">
        <f>'Balance Sheet'!D64</f>
        <v>5197.08</v>
      </c>
      <c r="E51" s="98">
        <f>'Balance Sheet'!E64</f>
        <v>1294.95</v>
      </c>
      <c r="F51" s="98">
        <f>'Balance Sheet'!F64</f>
        <v>22.75</v>
      </c>
      <c r="G51" s="98">
        <f>G52*'Revenue BuildUp'!G$10</f>
        <v>3346.7061891834423</v>
      </c>
      <c r="H51" s="98">
        <f>H52*'Revenue BuildUp'!H$10</f>
        <v>4718.261726445563</v>
      </c>
      <c r="I51" s="98">
        <f>I52*'Revenue BuildUp'!I$10</f>
        <v>6265.1816247201787</v>
      </c>
      <c r="J51" s="98">
        <f>J52*'Revenue BuildUp'!J$10</f>
        <v>7908.4536063930154</v>
      </c>
      <c r="K51" s="98">
        <f>K52*'Revenue BuildUp'!K$10</f>
        <v>9567.8775156337088</v>
      </c>
    </row>
    <row r="52" spans="2:11">
      <c r="B52" s="207" t="s">
        <v>122</v>
      </c>
      <c r="C52" s="208">
        <f>C51/'Revenue BuildUp'!C$10</f>
        <v>4.4048739397686255E-5</v>
      </c>
      <c r="D52" s="208">
        <f>D51/'Revenue BuildUp'!D$10</f>
        <v>6.6131386905896828E-3</v>
      </c>
      <c r="E52" s="208">
        <f>E51/'Revenue BuildUp'!E$10</f>
        <v>9.7067460794606636E-4</v>
      </c>
      <c r="F52" s="208">
        <f>F51/'Revenue BuildUp'!F$10</f>
        <v>1.9654224226690077E-5</v>
      </c>
      <c r="G52" s="209">
        <f>AVERAGE(C52:F52)</f>
        <v>1.9118790655400313E-3</v>
      </c>
      <c r="H52" s="209">
        <f>G52</f>
        <v>1.9118790655400313E-3</v>
      </c>
      <c r="I52" s="209">
        <f t="shared" ref="I52:K52" si="14">H52</f>
        <v>1.9118790655400313E-3</v>
      </c>
      <c r="J52" s="209">
        <f t="shared" si="14"/>
        <v>1.9118790655400313E-3</v>
      </c>
      <c r="K52" s="209">
        <f t="shared" si="14"/>
        <v>1.9118790655400313E-3</v>
      </c>
    </row>
  </sheetData>
  <mergeCells count="1">
    <mergeCell ref="B6:K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L81"/>
  <sheetViews>
    <sheetView showGridLines="0" workbookViewId="0">
      <selection activeCell="B1" sqref="B1"/>
    </sheetView>
  </sheetViews>
  <sheetFormatPr defaultRowHeight="15"/>
  <cols>
    <col min="1" max="1" width="1.85546875" customWidth="1"/>
    <col min="2" max="2" width="42.28515625" bestFit="1" customWidth="1"/>
    <col min="3" max="7" width="10.7109375" bestFit="1" customWidth="1"/>
    <col min="8" max="8" width="12" bestFit="1" customWidth="1"/>
    <col min="9" max="10" width="10.7109375" bestFit="1" customWidth="1"/>
    <col min="11" max="11" width="12" bestFit="1" customWidth="1"/>
  </cols>
  <sheetData>
    <row r="5" spans="2:11">
      <c r="E5" s="5"/>
      <c r="F5" s="5"/>
      <c r="G5" s="5"/>
    </row>
    <row r="6" spans="2:11" ht="15.75" thickBot="1">
      <c r="B6" s="222" t="s">
        <v>345</v>
      </c>
      <c r="C6" s="222"/>
      <c r="D6" s="222"/>
      <c r="E6" s="222"/>
      <c r="F6" s="222"/>
      <c r="G6" s="222"/>
      <c r="H6" s="222"/>
      <c r="I6" s="222"/>
      <c r="J6" s="222"/>
      <c r="K6" s="222"/>
    </row>
    <row r="8" spans="2:11">
      <c r="B8" s="124" t="s">
        <v>0</v>
      </c>
      <c r="C8" s="124">
        <v>2021</v>
      </c>
      <c r="D8" s="124">
        <f>C8+1</f>
        <v>2022</v>
      </c>
      <c r="E8" s="124">
        <f t="shared" ref="E8:F8" si="0">D8+1</f>
        <v>2023</v>
      </c>
      <c r="F8" s="124">
        <f t="shared" si="0"/>
        <v>2024</v>
      </c>
      <c r="G8" s="85">
        <f>F8+1</f>
        <v>2025</v>
      </c>
      <c r="H8" s="85">
        <f t="shared" ref="H8:K8" si="1">G8+1</f>
        <v>2026</v>
      </c>
      <c r="I8" s="85">
        <f t="shared" si="1"/>
        <v>2027</v>
      </c>
      <c r="J8" s="85">
        <f t="shared" si="1"/>
        <v>2028</v>
      </c>
      <c r="K8" s="85">
        <f t="shared" si="1"/>
        <v>2029</v>
      </c>
    </row>
    <row r="10" spans="2:11">
      <c r="B10" s="217" t="s">
        <v>161</v>
      </c>
      <c r="D10" s="19"/>
      <c r="E10" s="19"/>
      <c r="F10" s="19"/>
    </row>
    <row r="11" spans="2:11">
      <c r="B11" s="2" t="s">
        <v>147</v>
      </c>
      <c r="C11" s="204">
        <v>149172.97</v>
      </c>
      <c r="D11" s="204">
        <f>C15</f>
        <v>158441.77999999997</v>
      </c>
      <c r="E11" s="204">
        <f t="shared" ref="E11:K11" si="2">D15</f>
        <v>170563.74999999997</v>
      </c>
      <c r="F11" s="204">
        <f t="shared" si="2"/>
        <v>340846.44</v>
      </c>
      <c r="G11" s="204">
        <f t="shared" si="2"/>
        <v>416270.26</v>
      </c>
      <c r="H11" s="204">
        <f t="shared" si="2"/>
        <v>488298.32860000001</v>
      </c>
      <c r="I11" s="204">
        <f t="shared" si="2"/>
        <v>560686.53754299995</v>
      </c>
      <c r="J11" s="204">
        <f t="shared" si="2"/>
        <v>633436.6875307149</v>
      </c>
      <c r="K11" s="204">
        <f t="shared" si="2"/>
        <v>706550.5882683685</v>
      </c>
    </row>
    <row r="12" spans="2:11">
      <c r="B12" t="s">
        <v>148</v>
      </c>
      <c r="C12" s="98">
        <v>9544.83</v>
      </c>
      <c r="D12" s="98">
        <v>13319.39</v>
      </c>
      <c r="E12" s="98">
        <v>23144.36</v>
      </c>
      <c r="F12" s="98">
        <v>71669.72</v>
      </c>
      <c r="G12" s="98">
        <f>F12*(1+Assumption!$C$14)</f>
        <v>72028.068599999999</v>
      </c>
      <c r="H12" s="98">
        <f>G12*(1+Assumption!$C$14)</f>
        <v>72388.208942999991</v>
      </c>
      <c r="I12" s="98">
        <f>H12*(1+Assumption!$C$14)</f>
        <v>72750.149987714976</v>
      </c>
      <c r="J12" s="98">
        <f>I12*(1+Assumption!$C$14)</f>
        <v>73113.900737653545</v>
      </c>
      <c r="K12" s="98">
        <f>J12*(1+Assumption!$C$14)</f>
        <v>73479.470241341798</v>
      </c>
    </row>
    <row r="13" spans="2:11">
      <c r="B13" t="s">
        <v>149</v>
      </c>
      <c r="C13" s="98">
        <v>974.64</v>
      </c>
      <c r="D13" s="98">
        <v>1685.79</v>
      </c>
      <c r="E13" s="98">
        <v>2174.2399999999998</v>
      </c>
      <c r="F13" s="98">
        <v>3595.64</v>
      </c>
      <c r="G13" s="98">
        <v>0</v>
      </c>
      <c r="H13" s="98">
        <v>0</v>
      </c>
      <c r="I13" s="98">
        <v>0</v>
      </c>
      <c r="J13" s="98">
        <v>0</v>
      </c>
      <c r="K13" s="98">
        <v>0</v>
      </c>
    </row>
    <row r="14" spans="2:11">
      <c r="B14" t="s">
        <v>150</v>
      </c>
      <c r="C14" s="98">
        <v>698.62</v>
      </c>
      <c r="D14" s="98">
        <v>488.37</v>
      </c>
      <c r="E14" s="98">
        <v>149312.57</v>
      </c>
      <c r="F14" s="98">
        <v>7349.74</v>
      </c>
      <c r="G14" s="98">
        <v>0</v>
      </c>
      <c r="H14" s="98">
        <v>0</v>
      </c>
      <c r="I14" s="98">
        <v>0</v>
      </c>
      <c r="J14" s="98">
        <v>0</v>
      </c>
      <c r="K14" s="98">
        <v>0</v>
      </c>
    </row>
    <row r="15" spans="2:11">
      <c r="B15" s="2" t="s">
        <v>155</v>
      </c>
      <c r="C15" s="204">
        <f>SUM(C11:C12)-C13+C14</f>
        <v>158441.77999999997</v>
      </c>
      <c r="D15" s="204">
        <f>SUM(D11:D12)-D13+D14</f>
        <v>170563.74999999997</v>
      </c>
      <c r="E15" s="204">
        <f>SUM(E11:E12)-E13+E14</f>
        <v>340846.44</v>
      </c>
      <c r="F15" s="204">
        <f>F11+F12-F13+F14</f>
        <v>416270.26</v>
      </c>
      <c r="G15" s="204">
        <f>G11+G12-G13+G14</f>
        <v>488298.32860000001</v>
      </c>
      <c r="H15" s="204">
        <f t="shared" ref="H15:K15" si="3">H11+H12-H13+H14</f>
        <v>560686.53754299995</v>
      </c>
      <c r="I15" s="204">
        <f t="shared" si="3"/>
        <v>633436.6875307149</v>
      </c>
      <c r="J15" s="204">
        <f t="shared" si="3"/>
        <v>706550.5882683685</v>
      </c>
      <c r="K15" s="204">
        <f t="shared" si="3"/>
        <v>780030.05850971024</v>
      </c>
    </row>
    <row r="16" spans="2:11">
      <c r="B16" s="1" t="s">
        <v>151</v>
      </c>
      <c r="C16" s="98">
        <v>27905.599999999999</v>
      </c>
      <c r="D16" s="98">
        <f>C19</f>
        <v>35931.360000000001</v>
      </c>
      <c r="E16" s="98">
        <f t="shared" ref="E16:G16" si="4">D19</f>
        <v>44589.909999999996</v>
      </c>
      <c r="F16" s="98">
        <f t="shared" si="4"/>
        <v>61275.43</v>
      </c>
      <c r="G16" s="98">
        <f t="shared" si="4"/>
        <v>80952.37</v>
      </c>
      <c r="H16" s="98">
        <f t="shared" ref="H16:K16" si="5">G19</f>
        <v>105903.13568899329</v>
      </c>
      <c r="I16" s="98">
        <f t="shared" si="5"/>
        <v>134356.89000231048</v>
      </c>
      <c r="J16" s="98">
        <f t="shared" si="5"/>
        <v>166079.7758347927</v>
      </c>
      <c r="K16" s="98">
        <f t="shared" si="5"/>
        <v>200855.47121107124</v>
      </c>
    </row>
    <row r="17" spans="2:12">
      <c r="B17" t="s">
        <v>153</v>
      </c>
      <c r="C17" s="98">
        <v>8299.7199999999993</v>
      </c>
      <c r="D17" s="98">
        <v>9016.8799999999992</v>
      </c>
      <c r="E17" s="98">
        <v>17310.830000000002</v>
      </c>
      <c r="F17" s="98">
        <v>20802.68</v>
      </c>
      <c r="G17" s="98">
        <f>F17/E20*F20</f>
        <v>24950.765688993291</v>
      </c>
      <c r="H17" s="98">
        <f t="shared" ref="H17:K17" si="6">G17/F20*G20</f>
        <v>28453.754313317186</v>
      </c>
      <c r="I17" s="98">
        <f t="shared" si="6"/>
        <v>31722.885832482236</v>
      </c>
      <c r="J17" s="98">
        <f t="shared" si="6"/>
        <v>34775.695376278556</v>
      </c>
      <c r="K17" s="98">
        <f t="shared" si="6"/>
        <v>37628.413967905675</v>
      </c>
    </row>
    <row r="18" spans="2:12">
      <c r="B18" t="s">
        <v>152</v>
      </c>
      <c r="C18" s="98">
        <v>273.95999999999998</v>
      </c>
      <c r="D18" s="98">
        <v>358.33</v>
      </c>
      <c r="E18" s="98">
        <v>625.30999999999995</v>
      </c>
      <c r="F18" s="98">
        <v>1125.74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</row>
    <row r="19" spans="2:12">
      <c r="B19" t="s">
        <v>72</v>
      </c>
      <c r="C19" s="98">
        <f>C16+C17-C18</f>
        <v>35931.360000000001</v>
      </c>
      <c r="D19" s="98">
        <f>D16+D17-D18</f>
        <v>44589.909999999996</v>
      </c>
      <c r="E19" s="98">
        <f t="shared" ref="E19:G19" si="7">E16+E17-E18</f>
        <v>61275.43</v>
      </c>
      <c r="F19" s="98">
        <f t="shared" si="7"/>
        <v>80952.37</v>
      </c>
      <c r="G19" s="98">
        <f t="shared" si="7"/>
        <v>105903.13568899329</v>
      </c>
      <c r="H19" s="98">
        <f t="shared" ref="H19" si="8">H16+H17-H18</f>
        <v>134356.89000231048</v>
      </c>
      <c r="I19" s="98">
        <f t="shared" ref="I19" si="9">I16+I17-I18</f>
        <v>166079.7758347927</v>
      </c>
      <c r="J19" s="98">
        <f t="shared" ref="J19" si="10">J16+J17-J18</f>
        <v>200855.47121107124</v>
      </c>
      <c r="K19" s="98">
        <f t="shared" ref="K19" si="11">K16+K17-K18</f>
        <v>238483.88517897693</v>
      </c>
    </row>
    <row r="20" spans="2:12">
      <c r="B20" s="7" t="s">
        <v>154</v>
      </c>
      <c r="C20" s="198">
        <f>C15-C19</f>
        <v>122510.41999999997</v>
      </c>
      <c r="D20" s="198">
        <f>D15-D19</f>
        <v>125973.83999999997</v>
      </c>
      <c r="E20" s="198">
        <f t="shared" ref="E20:G20" si="12">E15-E19</f>
        <v>279571.01</v>
      </c>
      <c r="F20" s="198">
        <f t="shared" si="12"/>
        <v>335317.89</v>
      </c>
      <c r="G20" s="198">
        <f t="shared" si="12"/>
        <v>382395.19291100674</v>
      </c>
      <c r="H20" s="198">
        <f t="shared" ref="H20" si="13">H15-H19</f>
        <v>426329.64754068945</v>
      </c>
      <c r="I20" s="198">
        <f t="shared" ref="I20" si="14">I15-I19</f>
        <v>467356.9116959222</v>
      </c>
      <c r="J20" s="198">
        <f t="shared" ref="J20" si="15">J15-J19</f>
        <v>505695.11705729726</v>
      </c>
      <c r="K20" s="198">
        <f t="shared" ref="K20" si="16">K15-K19</f>
        <v>541546.17333073332</v>
      </c>
    </row>
    <row r="21" spans="2:12">
      <c r="C21" s="98"/>
      <c r="D21" s="98"/>
      <c r="E21" s="98"/>
      <c r="F21" s="98"/>
      <c r="G21" s="98"/>
      <c r="H21" s="98"/>
      <c r="I21" s="98"/>
      <c r="J21" s="98"/>
      <c r="K21" s="98"/>
    </row>
    <row r="22" spans="2:12">
      <c r="B22" s="1" t="s">
        <v>156</v>
      </c>
      <c r="C22" s="98"/>
      <c r="D22" s="98"/>
      <c r="E22" s="98"/>
      <c r="F22" s="98"/>
      <c r="G22" s="98"/>
      <c r="H22" s="98"/>
      <c r="I22" s="98"/>
      <c r="J22" s="98"/>
      <c r="K22" s="98"/>
    </row>
    <row r="23" spans="2:12">
      <c r="B23" s="1" t="s">
        <v>146</v>
      </c>
      <c r="C23" s="200">
        <v>413.52</v>
      </c>
      <c r="D23" s="200">
        <f>C27</f>
        <v>421.35999999999996</v>
      </c>
      <c r="E23" s="200">
        <f t="shared" ref="E23:K23" si="17">D27</f>
        <v>425.87999999999994</v>
      </c>
      <c r="F23" s="200">
        <f t="shared" si="17"/>
        <v>606.24999999999989</v>
      </c>
      <c r="G23" s="200">
        <f t="shared" si="17"/>
        <v>664.61999999999989</v>
      </c>
      <c r="H23" s="200">
        <f t="shared" si="17"/>
        <v>723.28184999999985</v>
      </c>
      <c r="I23" s="200">
        <f t="shared" si="17"/>
        <v>782.2370092499998</v>
      </c>
      <c r="J23" s="200">
        <f t="shared" si="17"/>
        <v>841.48694429624982</v>
      </c>
      <c r="K23" s="200">
        <f t="shared" si="17"/>
        <v>901.03312901773108</v>
      </c>
    </row>
    <row r="24" spans="2:12">
      <c r="B24" s="20" t="s">
        <v>148</v>
      </c>
      <c r="C24" s="212">
        <v>7.84</v>
      </c>
      <c r="D24" s="212">
        <v>4.5199999999999996</v>
      </c>
      <c r="E24" s="212">
        <v>104.24</v>
      </c>
      <c r="F24" s="212">
        <v>58.37</v>
      </c>
      <c r="G24" s="212">
        <f>F24*(1+Assumption!$C$14)</f>
        <v>58.661849999999994</v>
      </c>
      <c r="H24" s="212">
        <f>G24*(1+Assumption!$C$14)</f>
        <v>58.955159249999987</v>
      </c>
      <c r="I24" s="212">
        <f>H24*(1+Assumption!$C$14)</f>
        <v>59.249935046249981</v>
      </c>
      <c r="J24" s="212">
        <f>I24*(1+Assumption!$C$14)</f>
        <v>59.546184721481225</v>
      </c>
      <c r="K24" s="212">
        <f>J24*(1+Assumption!$C$14)</f>
        <v>59.843915645088622</v>
      </c>
    </row>
    <row r="25" spans="2:12">
      <c r="B25" t="s">
        <v>149</v>
      </c>
      <c r="C25" s="98">
        <v>0</v>
      </c>
      <c r="D25" s="98">
        <v>0</v>
      </c>
      <c r="E25" s="98">
        <v>0</v>
      </c>
      <c r="F25" s="98">
        <v>0</v>
      </c>
      <c r="G25" s="98">
        <v>0</v>
      </c>
      <c r="H25" s="98">
        <v>0</v>
      </c>
      <c r="I25" s="98">
        <v>0</v>
      </c>
      <c r="J25" s="98">
        <v>0</v>
      </c>
      <c r="K25" s="98">
        <v>0</v>
      </c>
      <c r="L25" s="98"/>
    </row>
    <row r="26" spans="2:12">
      <c r="B26" t="s">
        <v>150</v>
      </c>
      <c r="C26" s="98">
        <v>0</v>
      </c>
      <c r="D26" s="98">
        <v>0</v>
      </c>
      <c r="E26" s="98">
        <v>76.13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</row>
    <row r="27" spans="2:12">
      <c r="B27" s="1" t="s">
        <v>160</v>
      </c>
      <c r="C27" s="200">
        <f>SUM(C23:C24)-C25+C26</f>
        <v>421.35999999999996</v>
      </c>
      <c r="D27" s="200">
        <f>SUM(D23:D24)-D25+D26</f>
        <v>425.87999999999994</v>
      </c>
      <c r="E27" s="200">
        <f t="shared" ref="E27:G27" si="18">SUM(E23:E24)-E25+E26</f>
        <v>606.24999999999989</v>
      </c>
      <c r="F27" s="200">
        <f t="shared" si="18"/>
        <v>664.61999999999989</v>
      </c>
      <c r="G27" s="200">
        <f t="shared" si="18"/>
        <v>723.28184999999985</v>
      </c>
      <c r="H27" s="200">
        <f t="shared" ref="H27" si="19">SUM(H23:H24)-H25+H26</f>
        <v>782.2370092499998</v>
      </c>
      <c r="I27" s="200">
        <f t="shared" ref="I27" si="20">SUM(I23:I24)-I25+I26</f>
        <v>841.48694429624982</v>
      </c>
      <c r="J27" s="200">
        <f t="shared" ref="J27" si="21">SUM(J23:J24)-J25+J26</f>
        <v>901.03312901773108</v>
      </c>
      <c r="K27" s="200">
        <f t="shared" ref="K27" si="22">SUM(K23:K24)-K25+K26</f>
        <v>960.87704466281969</v>
      </c>
    </row>
    <row r="28" spans="2:12">
      <c r="B28" s="7" t="s">
        <v>151</v>
      </c>
      <c r="C28" s="212">
        <v>277.72000000000003</v>
      </c>
      <c r="D28" s="212">
        <f>C31</f>
        <v>310.81000000000006</v>
      </c>
      <c r="E28" s="212">
        <f t="shared" ref="E28:G28" si="23">D31</f>
        <v>339.65000000000003</v>
      </c>
      <c r="F28" s="212">
        <f t="shared" si="23"/>
        <v>428.41</v>
      </c>
      <c r="G28" s="212">
        <f t="shared" si="23"/>
        <v>480.12</v>
      </c>
      <c r="H28" s="212">
        <f t="shared" ref="H28:K28" si="24">G31</f>
        <v>533.76650809716602</v>
      </c>
      <c r="I28" s="212">
        <f t="shared" si="24"/>
        <v>588.87131202089267</v>
      </c>
      <c r="J28" s="212">
        <f t="shared" si="24"/>
        <v>645.09567214075958</v>
      </c>
      <c r="K28" s="212">
        <f t="shared" si="24"/>
        <v>702.19976954944389</v>
      </c>
    </row>
    <row r="29" spans="2:12">
      <c r="B29" t="s">
        <v>153</v>
      </c>
      <c r="C29" s="98">
        <v>33.090000000000003</v>
      </c>
      <c r="D29" s="98">
        <v>28.84</v>
      </c>
      <c r="E29" s="98">
        <v>88.76</v>
      </c>
      <c r="F29" s="98">
        <v>51.71</v>
      </c>
      <c r="G29" s="98">
        <f>F29/E32*F32</f>
        <v>53.646508097165999</v>
      </c>
      <c r="H29" s="98">
        <f t="shared" ref="H29:K29" si="25">G29/F32*G32</f>
        <v>55.104803923726635</v>
      </c>
      <c r="I29" s="98">
        <f t="shared" si="25"/>
        <v>56.224360119866944</v>
      </c>
      <c r="J29" s="98">
        <f t="shared" si="25"/>
        <v>57.104097408684261</v>
      </c>
      <c r="K29" s="98">
        <f t="shared" si="25"/>
        <v>57.814175765323547</v>
      </c>
    </row>
    <row r="30" spans="2:12">
      <c r="B30" t="s">
        <v>152</v>
      </c>
      <c r="C30" s="98"/>
      <c r="D30" s="98"/>
      <c r="E30" s="98"/>
      <c r="F30" s="98"/>
      <c r="G30" s="98"/>
      <c r="H30" s="98"/>
      <c r="I30" s="98"/>
      <c r="J30" s="98"/>
      <c r="K30" s="98"/>
    </row>
    <row r="31" spans="2:12">
      <c r="B31" t="s">
        <v>72</v>
      </c>
      <c r="C31" s="98">
        <f>C28+C29-C30</f>
        <v>310.81000000000006</v>
      </c>
      <c r="D31" s="98">
        <f t="shared" ref="D31:G31" si="26">D28+D29-D30</f>
        <v>339.65000000000003</v>
      </c>
      <c r="E31" s="98">
        <f t="shared" si="26"/>
        <v>428.41</v>
      </c>
      <c r="F31" s="98">
        <f t="shared" si="26"/>
        <v>480.12</v>
      </c>
      <c r="G31" s="98">
        <f t="shared" si="26"/>
        <v>533.76650809716602</v>
      </c>
      <c r="H31" s="98">
        <f t="shared" ref="H31" si="27">H28+H29-H30</f>
        <v>588.87131202089267</v>
      </c>
      <c r="I31" s="98">
        <f t="shared" ref="I31" si="28">I28+I29-I30</f>
        <v>645.09567214075958</v>
      </c>
      <c r="J31" s="98">
        <f t="shared" ref="J31" si="29">J28+J29-J30</f>
        <v>702.19976954944389</v>
      </c>
      <c r="K31" s="98">
        <f t="shared" ref="K31" si="30">K28+K29-K30</f>
        <v>760.0139453147674</v>
      </c>
    </row>
    <row r="32" spans="2:12">
      <c r="B32" s="7" t="s">
        <v>159</v>
      </c>
      <c r="C32" s="198">
        <f>C27-C31</f>
        <v>110.5499999999999</v>
      </c>
      <c r="D32" s="198">
        <f t="shared" ref="D32:G32" si="31">D27-D31</f>
        <v>86.229999999999905</v>
      </c>
      <c r="E32" s="198">
        <f t="shared" si="31"/>
        <v>177.83999999999986</v>
      </c>
      <c r="F32" s="198">
        <f t="shared" si="31"/>
        <v>184.49999999999989</v>
      </c>
      <c r="G32" s="198">
        <f t="shared" si="31"/>
        <v>189.51534190283382</v>
      </c>
      <c r="H32" s="198">
        <f t="shared" ref="H32" si="32">H27-H31</f>
        <v>193.36569722910713</v>
      </c>
      <c r="I32" s="198">
        <f t="shared" ref="I32" si="33">I27-I31</f>
        <v>196.39127215549024</v>
      </c>
      <c r="J32" s="198">
        <f t="shared" ref="J32" si="34">J27-J31</f>
        <v>198.8333594682872</v>
      </c>
      <c r="K32" s="198">
        <f t="shared" ref="K32" si="35">K27-K31</f>
        <v>200.86309934805229</v>
      </c>
    </row>
    <row r="33" spans="2:11">
      <c r="C33" s="98"/>
      <c r="D33" s="98"/>
      <c r="E33" s="98"/>
      <c r="F33" s="98"/>
      <c r="G33" s="98"/>
      <c r="H33" s="98"/>
      <c r="I33" s="98"/>
      <c r="J33" s="98"/>
      <c r="K33" s="98"/>
    </row>
    <row r="34" spans="2:11">
      <c r="C34" s="98"/>
      <c r="D34" s="98"/>
      <c r="E34" s="98"/>
      <c r="F34" s="98"/>
      <c r="G34" s="98"/>
      <c r="H34" s="98"/>
      <c r="I34" s="98"/>
      <c r="J34" s="98"/>
      <c r="K34" s="98"/>
    </row>
    <row r="35" spans="2:11">
      <c r="B35" s="1" t="s">
        <v>157</v>
      </c>
      <c r="C35" s="98"/>
      <c r="D35" s="98"/>
      <c r="E35" s="98"/>
      <c r="F35" s="98"/>
      <c r="G35" s="98"/>
      <c r="H35" s="98"/>
      <c r="I35" s="98"/>
      <c r="J35" s="98"/>
      <c r="K35" s="98"/>
    </row>
    <row r="36" spans="2:11">
      <c r="B36" s="1" t="s">
        <v>146</v>
      </c>
      <c r="C36" s="98">
        <v>0</v>
      </c>
      <c r="D36" s="98">
        <v>0</v>
      </c>
      <c r="E36" s="200">
        <v>1497.44</v>
      </c>
      <c r="F36" s="200">
        <f>E40</f>
        <v>1734.99</v>
      </c>
      <c r="G36" s="200">
        <f>F40</f>
        <v>2118.89</v>
      </c>
      <c r="H36" s="200">
        <f t="shared" ref="H36:K36" si="36">G40</f>
        <v>2504.7094999999999</v>
      </c>
      <c r="I36" s="200">
        <f t="shared" si="36"/>
        <v>2892.4580974999999</v>
      </c>
      <c r="J36" s="200">
        <f t="shared" si="36"/>
        <v>3282.1454379874999</v>
      </c>
      <c r="K36" s="200">
        <f t="shared" si="36"/>
        <v>3673.7812151774374</v>
      </c>
    </row>
    <row r="37" spans="2:11">
      <c r="B37" s="20" t="s">
        <v>148</v>
      </c>
      <c r="C37" s="212">
        <v>0</v>
      </c>
      <c r="D37" s="212">
        <v>0</v>
      </c>
      <c r="E37" s="212">
        <v>237.55</v>
      </c>
      <c r="F37" s="212">
        <v>383.9</v>
      </c>
      <c r="G37" s="212">
        <f>F37*(1+Assumption!$C$14)</f>
        <v>385.81949999999995</v>
      </c>
      <c r="H37" s="212">
        <f>G37*(1+Assumption!$C$14)</f>
        <v>387.7485974999999</v>
      </c>
      <c r="I37" s="212">
        <f>H37*(1+Assumption!$C$14)</f>
        <v>389.68734048749985</v>
      </c>
      <c r="J37" s="212">
        <f>I37*(1+Assumption!$C$14)</f>
        <v>391.6357771899373</v>
      </c>
      <c r="K37" s="212">
        <f>J37*(1+Assumption!$C$14)</f>
        <v>393.59395607588692</v>
      </c>
    </row>
    <row r="38" spans="2:11">
      <c r="B38" t="s">
        <v>149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</row>
    <row r="39" spans="2:11">
      <c r="B39" t="s">
        <v>150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</row>
    <row r="40" spans="2:11">
      <c r="B40" s="1" t="s">
        <v>158</v>
      </c>
      <c r="C40" s="98">
        <v>0</v>
      </c>
      <c r="D40" s="98">
        <v>0</v>
      </c>
      <c r="E40" s="200">
        <f>SUM(E36:E37)-E38+E39</f>
        <v>1734.99</v>
      </c>
      <c r="F40" s="200">
        <f>SUM(F36:F37)-F38+F39</f>
        <v>2118.89</v>
      </c>
      <c r="G40" s="200">
        <f>SUM(G36:G37)-G38+G39</f>
        <v>2504.7094999999999</v>
      </c>
      <c r="H40" s="200">
        <f t="shared" ref="H40:K40" si="37">SUM(H36:H37)-H38+H39</f>
        <v>2892.4580974999999</v>
      </c>
      <c r="I40" s="200">
        <f t="shared" si="37"/>
        <v>3282.1454379874999</v>
      </c>
      <c r="J40" s="200">
        <f t="shared" si="37"/>
        <v>3673.7812151774374</v>
      </c>
      <c r="K40" s="200">
        <f t="shared" si="37"/>
        <v>4067.3751712533244</v>
      </c>
    </row>
    <row r="41" spans="2:11">
      <c r="B41" s="7" t="s">
        <v>151</v>
      </c>
      <c r="C41" s="212">
        <v>0</v>
      </c>
      <c r="D41" s="212">
        <v>0</v>
      </c>
      <c r="E41" s="212">
        <v>0</v>
      </c>
      <c r="F41" s="212">
        <f>E44</f>
        <v>115.72</v>
      </c>
      <c r="G41" s="212">
        <f t="shared" ref="G41:K41" si="38">F44</f>
        <v>328.36</v>
      </c>
      <c r="H41" s="212">
        <f t="shared" si="38"/>
        <v>563.48959494093015</v>
      </c>
      <c r="I41" s="212">
        <f t="shared" si="38"/>
        <v>818.40755217583262</v>
      </c>
      <c r="J41" s="212">
        <f t="shared" si="38"/>
        <v>1090.7686210264449</v>
      </c>
      <c r="K41" s="212">
        <f t="shared" si="38"/>
        <v>1378.5367920903186</v>
      </c>
    </row>
    <row r="42" spans="2:11">
      <c r="B42" t="s">
        <v>153</v>
      </c>
      <c r="C42" s="98">
        <v>0</v>
      </c>
      <c r="D42" s="98">
        <v>0</v>
      </c>
      <c r="E42" s="98">
        <v>115.72</v>
      </c>
      <c r="F42" s="98">
        <v>212.64</v>
      </c>
      <c r="G42" s="98">
        <f>F42/E45*F45</f>
        <v>235.12959494093013</v>
      </c>
      <c r="H42" s="98">
        <f t="shared" ref="H42:K42" si="39">G42/F45*G45</f>
        <v>254.9179572349025</v>
      </c>
      <c r="I42" s="98">
        <f t="shared" si="39"/>
        <v>272.36106885061224</v>
      </c>
      <c r="J42" s="98">
        <f t="shared" si="39"/>
        <v>287.76817106387364</v>
      </c>
      <c r="K42" s="98">
        <f t="shared" si="39"/>
        <v>301.40790240370347</v>
      </c>
    </row>
    <row r="43" spans="2:11">
      <c r="B43" t="s">
        <v>152</v>
      </c>
      <c r="C43" s="98">
        <v>0</v>
      </c>
      <c r="D43" s="98">
        <v>0</v>
      </c>
      <c r="E43" s="98">
        <v>0</v>
      </c>
      <c r="F43" s="98">
        <v>0</v>
      </c>
      <c r="G43" s="98">
        <v>0</v>
      </c>
      <c r="H43" s="98">
        <v>0</v>
      </c>
      <c r="I43" s="98">
        <v>0</v>
      </c>
      <c r="J43" s="98">
        <v>0</v>
      </c>
      <c r="K43" s="98">
        <v>0</v>
      </c>
    </row>
    <row r="44" spans="2:11">
      <c r="B44" t="s">
        <v>72</v>
      </c>
      <c r="C44" s="98">
        <v>0</v>
      </c>
      <c r="D44" s="98">
        <v>0</v>
      </c>
      <c r="E44" s="98">
        <f t="shared" ref="E44" si="40">E41+E42-E43</f>
        <v>115.72</v>
      </c>
      <c r="F44" s="98">
        <f t="shared" ref="F44" si="41">F41+F42-F43</f>
        <v>328.36</v>
      </c>
      <c r="G44" s="98">
        <f t="shared" ref="G44" si="42">G41+G42-G43</f>
        <v>563.48959494093015</v>
      </c>
      <c r="H44" s="98">
        <f t="shared" ref="H44" si="43">H41+H42-H43</f>
        <v>818.40755217583262</v>
      </c>
      <c r="I44" s="98">
        <f t="shared" ref="I44" si="44">I41+I42-I43</f>
        <v>1090.7686210264449</v>
      </c>
      <c r="J44" s="98">
        <f t="shared" ref="J44" si="45">J41+J42-J43</f>
        <v>1378.5367920903186</v>
      </c>
      <c r="K44" s="98">
        <f t="shared" ref="K44" si="46">K41+K42-K43</f>
        <v>1679.9446944940221</v>
      </c>
    </row>
    <row r="45" spans="2:11">
      <c r="B45" s="7" t="s">
        <v>159</v>
      </c>
      <c r="C45" s="212">
        <v>0</v>
      </c>
      <c r="D45" s="212">
        <v>0</v>
      </c>
      <c r="E45" s="198">
        <f t="shared" ref="E45" si="47">E40-E44</f>
        <v>1619.27</v>
      </c>
      <c r="F45" s="198">
        <f t="shared" ref="F45" si="48">F40-F44</f>
        <v>1790.5299999999997</v>
      </c>
      <c r="G45" s="198">
        <f t="shared" ref="G45" si="49">G40-G44</f>
        <v>1941.2199050590698</v>
      </c>
      <c r="H45" s="198">
        <f t="shared" ref="H45" si="50">H40-H44</f>
        <v>2074.0505453241672</v>
      </c>
      <c r="I45" s="198">
        <f t="shared" ref="I45" si="51">I40-I44</f>
        <v>2191.3768169610548</v>
      </c>
      <c r="J45" s="198">
        <f t="shared" ref="J45" si="52">J40-J44</f>
        <v>2295.2444230871188</v>
      </c>
      <c r="K45" s="198">
        <f t="shared" ref="K45" si="53">K40-K44</f>
        <v>2387.4304767593021</v>
      </c>
    </row>
    <row r="46" spans="2:11">
      <c r="B46" s="1"/>
      <c r="C46" s="98"/>
      <c r="D46" s="98"/>
      <c r="E46" s="200"/>
      <c r="F46" s="200"/>
      <c r="G46" s="200"/>
      <c r="H46" s="200"/>
      <c r="I46" s="200"/>
      <c r="J46" s="200"/>
      <c r="K46" s="200"/>
    </row>
    <row r="47" spans="2:11">
      <c r="C47" s="98"/>
      <c r="D47" s="98"/>
      <c r="E47" s="98"/>
      <c r="F47" s="98"/>
      <c r="G47" s="98"/>
      <c r="H47" s="98"/>
      <c r="I47" s="98"/>
      <c r="J47" s="98"/>
      <c r="K47" s="98"/>
    </row>
    <row r="48" spans="2:11">
      <c r="B48" s="1" t="s">
        <v>146</v>
      </c>
      <c r="C48" s="200">
        <f>C36+C23+C11</f>
        <v>149586.49</v>
      </c>
      <c r="D48" s="200">
        <f>D36+D23+D11</f>
        <v>158863.13999999996</v>
      </c>
      <c r="E48" s="200">
        <f>E36+E23+E11</f>
        <v>172487.06999999998</v>
      </c>
      <c r="F48" s="200">
        <f>F36+F23+F11</f>
        <v>343187.68</v>
      </c>
      <c r="G48" s="200">
        <f>G36+G23+G11</f>
        <v>419053.77</v>
      </c>
      <c r="H48" s="200">
        <f>H36+H23+H11</f>
        <v>491526.31995000003</v>
      </c>
      <c r="I48" s="200">
        <f>I36+I23+I11</f>
        <v>564361.23264974996</v>
      </c>
      <c r="J48" s="200">
        <f>J36+J23+J11</f>
        <v>637560.3199129987</v>
      </c>
      <c r="K48" s="200">
        <f>K36+K23+K11</f>
        <v>711125.40261256369</v>
      </c>
    </row>
    <row r="49" spans="2:11">
      <c r="B49" s="20" t="s">
        <v>148</v>
      </c>
      <c r="C49" s="212">
        <f>C37+C24+C12</f>
        <v>9552.67</v>
      </c>
      <c r="D49" s="212">
        <f>D37+D24+D12</f>
        <v>13323.91</v>
      </c>
      <c r="E49" s="212">
        <f>E37+E24+E12</f>
        <v>23486.15</v>
      </c>
      <c r="F49" s="212">
        <f>F37+F24+F12</f>
        <v>72111.990000000005</v>
      </c>
      <c r="G49" s="212">
        <f>G37+G24+G12</f>
        <v>72472.549950000001</v>
      </c>
      <c r="H49" s="212">
        <f>H37+H24+H12</f>
        <v>72834.912699749984</v>
      </c>
      <c r="I49" s="212">
        <f>I37+I24+I12</f>
        <v>73199.08726324873</v>
      </c>
      <c r="J49" s="212">
        <f>J37+J24+J12</f>
        <v>73565.08269956497</v>
      </c>
      <c r="K49" s="212">
        <f>K37+K24+K12</f>
        <v>73932.908113062775</v>
      </c>
    </row>
    <row r="50" spans="2:11">
      <c r="B50" t="s">
        <v>149</v>
      </c>
      <c r="C50" s="98">
        <f>C38+C25+C13</f>
        <v>974.64</v>
      </c>
      <c r="D50" s="98">
        <f>D38+D25+D13</f>
        <v>1685.79</v>
      </c>
      <c r="E50" s="98">
        <f>E38+E25+E13</f>
        <v>2174.2399999999998</v>
      </c>
      <c r="F50" s="98">
        <f>F38+F25+F13</f>
        <v>3595.64</v>
      </c>
      <c r="G50" s="98">
        <f>G38+G25+G13</f>
        <v>0</v>
      </c>
      <c r="H50" s="98">
        <f>H38+H25+H13</f>
        <v>0</v>
      </c>
      <c r="I50" s="98">
        <f>I38+I25+I13</f>
        <v>0</v>
      </c>
      <c r="J50" s="98">
        <f>J38+J25+J13</f>
        <v>0</v>
      </c>
      <c r="K50" s="98">
        <f>K38+K25+K13</f>
        <v>0</v>
      </c>
    </row>
    <row r="51" spans="2:11">
      <c r="B51" t="s">
        <v>150</v>
      </c>
      <c r="C51" s="98">
        <f>C39+C26+C14</f>
        <v>698.62</v>
      </c>
      <c r="D51" s="98">
        <f>D39+D26+D14</f>
        <v>488.37</v>
      </c>
      <c r="E51" s="98">
        <f>E39+E26+E14</f>
        <v>149388.70000000001</v>
      </c>
      <c r="F51" s="98">
        <f>F39+F26+F14</f>
        <v>7349.74</v>
      </c>
      <c r="G51" s="98">
        <f>G39+G26+G14</f>
        <v>0</v>
      </c>
      <c r="H51" s="98">
        <f>H39+H26+H14</f>
        <v>0</v>
      </c>
      <c r="I51" s="98">
        <f>I39+I26+I14</f>
        <v>0</v>
      </c>
      <c r="J51" s="98">
        <f>J39+J26+J14</f>
        <v>0</v>
      </c>
      <c r="K51" s="98">
        <f>K39+K26+K14</f>
        <v>0</v>
      </c>
    </row>
    <row r="52" spans="2:11">
      <c r="B52" s="1" t="s">
        <v>155</v>
      </c>
      <c r="C52" s="200">
        <f>C40+C27+C15</f>
        <v>158863.13999999996</v>
      </c>
      <c r="D52" s="200">
        <f>D40+D27+D15</f>
        <v>170989.62999999998</v>
      </c>
      <c r="E52" s="200">
        <f>E40+E27+E15</f>
        <v>343187.68</v>
      </c>
      <c r="F52" s="200">
        <f>F40+F27+F15</f>
        <v>419053.77</v>
      </c>
      <c r="G52" s="200">
        <f>G40+G27+G15</f>
        <v>491526.31995000003</v>
      </c>
      <c r="H52" s="200">
        <f>H40+H27+H15</f>
        <v>564361.23264974996</v>
      </c>
      <c r="I52" s="200">
        <f>I40+I27+I15</f>
        <v>637560.3199129987</v>
      </c>
      <c r="J52" s="200">
        <f>J40+J27+J15</f>
        <v>711125.40261256369</v>
      </c>
      <c r="K52" s="200">
        <f>K40+K27+K15</f>
        <v>785058.31072562642</v>
      </c>
    </row>
    <row r="53" spans="2:11">
      <c r="B53" s="7" t="s">
        <v>151</v>
      </c>
      <c r="C53" s="212">
        <f>C41+C28+C16</f>
        <v>28183.32</v>
      </c>
      <c r="D53" s="212">
        <f>D41+D28+D16</f>
        <v>36242.17</v>
      </c>
      <c r="E53" s="212">
        <f>E41+E28+E16</f>
        <v>44929.56</v>
      </c>
      <c r="F53" s="212">
        <f>F41+F28+F16</f>
        <v>61819.56</v>
      </c>
      <c r="G53" s="212">
        <f>G41+G28+G16</f>
        <v>81760.849999999991</v>
      </c>
      <c r="H53" s="212">
        <f>H41+H28+H16</f>
        <v>107000.39179203138</v>
      </c>
      <c r="I53" s="212">
        <f>I41+I28+I16</f>
        <v>135764.16886650721</v>
      </c>
      <c r="J53" s="212">
        <f>J41+J28+J16</f>
        <v>167815.64012795989</v>
      </c>
      <c r="K53" s="212">
        <f>K41+K28+K16</f>
        <v>202936.207772711</v>
      </c>
    </row>
    <row r="54" spans="2:11">
      <c r="B54" t="s">
        <v>153</v>
      </c>
      <c r="C54" s="98">
        <f>C42+C29+C17</f>
        <v>8332.81</v>
      </c>
      <c r="D54" s="98">
        <f>D42+D29+D17</f>
        <v>9045.7199999999993</v>
      </c>
      <c r="E54" s="98">
        <f>E42+E29+E17</f>
        <v>17515.310000000001</v>
      </c>
      <c r="F54" s="98">
        <f>F42+F29+F17</f>
        <v>21067.03</v>
      </c>
      <c r="G54" s="98">
        <f>G42+G29+G17</f>
        <v>25239.541792031388</v>
      </c>
      <c r="H54" s="98">
        <f>H42+H29+H17</f>
        <v>28763.777074475816</v>
      </c>
      <c r="I54" s="98">
        <f>I42+I29+I17</f>
        <v>32051.471261452716</v>
      </c>
      <c r="J54" s="98">
        <f>J42+J29+J17</f>
        <v>35120.567644751114</v>
      </c>
      <c r="K54" s="98">
        <f>K42+K29+K17</f>
        <v>37987.636046074702</v>
      </c>
    </row>
    <row r="55" spans="2:11">
      <c r="B55" t="s">
        <v>152</v>
      </c>
      <c r="C55" s="98">
        <f>C43+C30+C18</f>
        <v>273.95999999999998</v>
      </c>
      <c r="D55" s="98">
        <f>D43+D30+D18</f>
        <v>358.33</v>
      </c>
      <c r="E55" s="98">
        <f>E43+E30+E18</f>
        <v>625.30999999999995</v>
      </c>
      <c r="F55" s="98">
        <f>F43+F30+F18</f>
        <v>1125.74</v>
      </c>
      <c r="G55" s="98">
        <f>G43+G30+G18</f>
        <v>0</v>
      </c>
      <c r="H55" s="98">
        <f>H43+H30+H18</f>
        <v>0</v>
      </c>
      <c r="I55" s="98">
        <f>I43+I30+I18</f>
        <v>0</v>
      </c>
      <c r="J55" s="98">
        <f>J43+J30+J18</f>
        <v>0</v>
      </c>
      <c r="K55" s="98">
        <f>K43+K30+K18</f>
        <v>0</v>
      </c>
    </row>
    <row r="56" spans="2:11">
      <c r="B56" t="s">
        <v>72</v>
      </c>
      <c r="C56" s="98">
        <f>C44+C31+C19</f>
        <v>36242.17</v>
      </c>
      <c r="D56" s="98">
        <f>D44+D31+D19</f>
        <v>44929.56</v>
      </c>
      <c r="E56" s="98">
        <f>E44+E31+E19</f>
        <v>61819.56</v>
      </c>
      <c r="F56" s="98">
        <f>F44+F31+F19</f>
        <v>81760.849999999991</v>
      </c>
      <c r="G56" s="98">
        <f>G44+G31+G19</f>
        <v>107000.39179203138</v>
      </c>
      <c r="H56" s="98">
        <f>H44+H31+H19</f>
        <v>135764.16886650721</v>
      </c>
      <c r="I56" s="98">
        <f>I44+I31+I19</f>
        <v>167815.64012795989</v>
      </c>
      <c r="J56" s="98">
        <f>J44+J31+J19</f>
        <v>202936.207772711</v>
      </c>
      <c r="K56" s="98">
        <f>K44+K31+K19</f>
        <v>240923.84381878571</v>
      </c>
    </row>
    <row r="57" spans="2:11">
      <c r="B57" s="7" t="s">
        <v>162</v>
      </c>
      <c r="C57" s="198">
        <f>C45+C32+C20</f>
        <v>122620.96999999997</v>
      </c>
      <c r="D57" s="198">
        <f>D45+D32+D20</f>
        <v>126060.06999999996</v>
      </c>
      <c r="E57" s="198">
        <f>E45+E32+E20</f>
        <v>281368.12</v>
      </c>
      <c r="F57" s="198">
        <f>F45+F32+F20</f>
        <v>337292.92000000004</v>
      </c>
      <c r="G57" s="198">
        <f>G45+G32+G20</f>
        <v>384525.92815796862</v>
      </c>
      <c r="H57" s="198">
        <f>H45+H32+H20</f>
        <v>428597.06378324272</v>
      </c>
      <c r="I57" s="198">
        <f>I45+I32+I20</f>
        <v>469744.67978503875</v>
      </c>
      <c r="J57" s="198">
        <f>J45+J32+J20</f>
        <v>508189.19483985269</v>
      </c>
      <c r="K57" s="198">
        <f>K45+K32+K20</f>
        <v>544134.46690684068</v>
      </c>
    </row>
    <row r="58" spans="2:11">
      <c r="B58" s="1"/>
      <c r="C58" s="200"/>
      <c r="D58" s="200"/>
      <c r="E58" s="200"/>
      <c r="F58" s="200"/>
      <c r="G58" s="200"/>
      <c r="H58" s="98"/>
      <c r="I58" s="98"/>
      <c r="J58" s="98"/>
      <c r="K58" s="98"/>
    </row>
    <row r="59" spans="2:11">
      <c r="B59" s="1"/>
      <c r="C59" s="200"/>
      <c r="D59" s="200"/>
      <c r="E59" s="200"/>
      <c r="F59" s="200"/>
      <c r="G59" s="200"/>
      <c r="H59" s="98"/>
      <c r="I59" s="98"/>
      <c r="J59" s="98"/>
      <c r="K59" s="98"/>
    </row>
    <row r="60" spans="2:11">
      <c r="B60" s="7" t="s">
        <v>181</v>
      </c>
      <c r="C60" s="198">
        <f>C57</f>
        <v>122620.96999999997</v>
      </c>
      <c r="D60" s="198">
        <f t="shared" ref="D60:K60" si="54">D57</f>
        <v>126060.06999999996</v>
      </c>
      <c r="E60" s="198">
        <f t="shared" si="54"/>
        <v>281368.12</v>
      </c>
      <c r="F60" s="198">
        <f t="shared" si="54"/>
        <v>337292.92000000004</v>
      </c>
      <c r="G60" s="198">
        <f t="shared" si="54"/>
        <v>384525.92815796862</v>
      </c>
      <c r="H60" s="198">
        <f t="shared" si="54"/>
        <v>428597.06378324272</v>
      </c>
      <c r="I60" s="198">
        <f t="shared" si="54"/>
        <v>469744.67978503875</v>
      </c>
      <c r="J60" s="198">
        <f t="shared" si="54"/>
        <v>508189.19483985269</v>
      </c>
      <c r="K60" s="198">
        <f t="shared" si="54"/>
        <v>544134.46690684068</v>
      </c>
    </row>
    <row r="61" spans="2:11">
      <c r="B61" s="45" t="s">
        <v>182</v>
      </c>
      <c r="C61" s="210">
        <f>C54</f>
        <v>8332.81</v>
      </c>
      <c r="D61" s="210">
        <f t="shared" ref="D61:K61" si="55">D54</f>
        <v>9045.7199999999993</v>
      </c>
      <c r="E61" s="210">
        <f t="shared" si="55"/>
        <v>17515.310000000001</v>
      </c>
      <c r="F61" s="210">
        <f t="shared" si="55"/>
        <v>21067.03</v>
      </c>
      <c r="G61" s="210">
        <f t="shared" si="55"/>
        <v>25239.541792031388</v>
      </c>
      <c r="H61" s="210">
        <f t="shared" si="55"/>
        <v>28763.777074475816</v>
      </c>
      <c r="I61" s="210">
        <f t="shared" si="55"/>
        <v>32051.471261452716</v>
      </c>
      <c r="J61" s="210">
        <f t="shared" si="55"/>
        <v>35120.567644751114</v>
      </c>
      <c r="K61" s="210">
        <f t="shared" si="55"/>
        <v>37987.636046074702</v>
      </c>
    </row>
    <row r="62" spans="2:11">
      <c r="B62" s="46" t="s">
        <v>183</v>
      </c>
      <c r="C62" s="211"/>
      <c r="D62" s="211">
        <f>D60+D61-C61</f>
        <v>126772.97999999995</v>
      </c>
      <c r="E62" s="211">
        <f t="shared" ref="E62:K62" si="56">E60+E61-D61</f>
        <v>289837.71000000002</v>
      </c>
      <c r="F62" s="211">
        <f t="shared" si="56"/>
        <v>340844.64000000007</v>
      </c>
      <c r="G62" s="211">
        <f t="shared" si="56"/>
        <v>388698.43995000003</v>
      </c>
      <c r="H62" s="211">
        <f t="shared" si="56"/>
        <v>432121.29906568717</v>
      </c>
      <c r="I62" s="211">
        <f t="shared" si="56"/>
        <v>473032.37397201563</v>
      </c>
      <c r="J62" s="211">
        <f t="shared" si="56"/>
        <v>511258.29122315109</v>
      </c>
      <c r="K62" s="211">
        <f t="shared" si="56"/>
        <v>547001.5353081642</v>
      </c>
    </row>
    <row r="63" spans="2:11">
      <c r="B63" s="1"/>
      <c r="C63" s="200"/>
      <c r="D63" s="200"/>
      <c r="E63" s="200"/>
      <c r="F63" s="200"/>
      <c r="G63" s="200"/>
      <c r="H63" s="98"/>
      <c r="I63" s="98"/>
      <c r="J63" s="98"/>
      <c r="K63" s="98"/>
    </row>
    <row r="64" spans="2:11">
      <c r="B64" s="7" t="s">
        <v>171</v>
      </c>
      <c r="C64" s="212"/>
      <c r="D64" s="212"/>
      <c r="E64" s="212"/>
      <c r="F64" s="212"/>
      <c r="G64" s="212"/>
      <c r="H64" s="212"/>
      <c r="I64" s="212"/>
      <c r="J64" s="212"/>
      <c r="K64" s="212"/>
    </row>
    <row r="65" spans="2:11">
      <c r="B65" s="47" t="s">
        <v>172</v>
      </c>
      <c r="C65" s="213">
        <v>14904.45</v>
      </c>
      <c r="D65" s="213">
        <f>C69</f>
        <v>22005.97</v>
      </c>
      <c r="E65" s="213">
        <f t="shared" ref="E65:K65" si="57">D69</f>
        <v>33629.46</v>
      </c>
      <c r="F65" s="213">
        <f t="shared" si="57"/>
        <v>69686.320000000007</v>
      </c>
      <c r="G65" s="213">
        <f t="shared" si="57"/>
        <v>37219.280000000013</v>
      </c>
      <c r="H65" s="213">
        <f t="shared" si="57"/>
        <v>40467.48000000001</v>
      </c>
      <c r="I65" s="213">
        <f t="shared" si="57"/>
        <v>43731.921000000009</v>
      </c>
      <c r="J65" s="213">
        <f t="shared" si="57"/>
        <v>47012.684205000005</v>
      </c>
      <c r="K65" s="213">
        <f t="shared" si="57"/>
        <v>50309.851226025006</v>
      </c>
    </row>
    <row r="66" spans="2:11">
      <c r="B66" s="48" t="s">
        <v>150</v>
      </c>
      <c r="C66" s="214">
        <v>17352.810000000001</v>
      </c>
      <c r="D66" s="214">
        <v>25431.25</v>
      </c>
      <c r="E66" s="214">
        <v>48557.23</v>
      </c>
      <c r="F66" s="214">
        <v>45264.86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</row>
    <row r="67" spans="2:11">
      <c r="B67" s="48" t="s">
        <v>173</v>
      </c>
      <c r="C67" s="214">
        <v>0</v>
      </c>
      <c r="D67" s="214">
        <v>0</v>
      </c>
      <c r="E67" s="214">
        <v>12992.8</v>
      </c>
      <c r="F67" s="214">
        <v>0</v>
      </c>
      <c r="G67" s="214">
        <f>AVERAGE(C67:F67)</f>
        <v>3248.2</v>
      </c>
      <c r="H67" s="214">
        <f>G67*(1+Assumption!$C$14)</f>
        <v>3264.4409999999993</v>
      </c>
      <c r="I67" s="214">
        <f>H67*(1+Assumption!$C$14)</f>
        <v>3280.7632049999988</v>
      </c>
      <c r="J67" s="214">
        <f>I67*(1+Assumption!$C$14)</f>
        <v>3297.1670210249986</v>
      </c>
      <c r="K67" s="214">
        <f>J67*(1+Assumption!$C$14)</f>
        <v>3313.6528561301234</v>
      </c>
    </row>
    <row r="68" spans="2:11">
      <c r="B68" s="48" t="s">
        <v>174</v>
      </c>
      <c r="C68" s="214">
        <v>10251.290000000001</v>
      </c>
      <c r="D68" s="214">
        <v>13807.76</v>
      </c>
      <c r="E68" s="214">
        <v>25493.17</v>
      </c>
      <c r="F68" s="214">
        <v>77731.899999999994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</row>
    <row r="69" spans="2:11">
      <c r="B69" s="2" t="s">
        <v>175</v>
      </c>
      <c r="C69" s="204">
        <f>SUM(C65:C67)-C68</f>
        <v>22005.97</v>
      </c>
      <c r="D69" s="204">
        <f t="shared" ref="D69:K69" si="58">SUM(D65:D67)-D68</f>
        <v>33629.46</v>
      </c>
      <c r="E69" s="204">
        <f t="shared" si="58"/>
        <v>69686.320000000007</v>
      </c>
      <c r="F69" s="204">
        <f t="shared" si="58"/>
        <v>37219.280000000013</v>
      </c>
      <c r="G69" s="204">
        <f t="shared" si="58"/>
        <v>40467.48000000001</v>
      </c>
      <c r="H69" s="204">
        <f t="shared" si="58"/>
        <v>43731.921000000009</v>
      </c>
      <c r="I69" s="204">
        <f t="shared" si="58"/>
        <v>47012.684205000005</v>
      </c>
      <c r="J69" s="204">
        <f t="shared" si="58"/>
        <v>50309.851226025006</v>
      </c>
      <c r="K69" s="204">
        <f t="shared" si="58"/>
        <v>53623.50408215513</v>
      </c>
    </row>
    <row r="70" spans="2:11">
      <c r="B70" s="26"/>
      <c r="C70" s="215"/>
      <c r="D70" s="215"/>
      <c r="E70" s="215"/>
      <c r="F70" s="215"/>
      <c r="G70" s="215"/>
      <c r="H70" s="215"/>
      <c r="I70" s="215"/>
      <c r="J70" s="215"/>
      <c r="K70" s="215"/>
    </row>
    <row r="71" spans="2:11">
      <c r="B71" s="1"/>
      <c r="C71" s="200"/>
      <c r="D71" s="200"/>
      <c r="E71" s="200"/>
      <c r="F71" s="200"/>
      <c r="G71" s="200"/>
      <c r="H71" s="98"/>
      <c r="I71" s="98"/>
      <c r="J71" s="98"/>
      <c r="K71" s="98"/>
    </row>
    <row r="72" spans="2:11">
      <c r="C72" s="98"/>
      <c r="D72" s="98"/>
      <c r="E72" s="98"/>
      <c r="F72" s="98"/>
      <c r="G72" s="98"/>
      <c r="H72" s="98"/>
      <c r="I72" s="98"/>
      <c r="J72" s="98"/>
      <c r="K72" s="98"/>
    </row>
    <row r="73" spans="2:11">
      <c r="B73" s="7" t="s">
        <v>176</v>
      </c>
      <c r="C73" s="212"/>
      <c r="D73" s="212"/>
      <c r="E73" s="212"/>
      <c r="F73" s="212"/>
      <c r="G73" s="212"/>
      <c r="H73" s="212"/>
      <c r="I73" s="212"/>
      <c r="J73" s="212"/>
      <c r="K73" s="212"/>
    </row>
    <row r="74" spans="2:11">
      <c r="B74" s="2" t="s">
        <v>177</v>
      </c>
      <c r="C74" s="216"/>
      <c r="D74" s="216">
        <f>C77</f>
        <v>144626.93999999997</v>
      </c>
      <c r="E74" s="216">
        <f t="shared" ref="E74:K74" si="59">D77</f>
        <v>159689.52999999997</v>
      </c>
      <c r="F74" s="216">
        <f t="shared" si="59"/>
        <v>351054.44</v>
      </c>
      <c r="G74" s="216">
        <f t="shared" si="59"/>
        <v>374512.20000000007</v>
      </c>
      <c r="H74" s="216">
        <f t="shared" si="59"/>
        <v>424993.40815796866</v>
      </c>
      <c r="I74" s="216">
        <f t="shared" si="59"/>
        <v>472328.98478324275</v>
      </c>
      <c r="J74" s="216">
        <f t="shared" si="59"/>
        <v>516757.36399003875</v>
      </c>
      <c r="K74" s="216">
        <f t="shared" si="59"/>
        <v>558499.04606587766</v>
      </c>
    </row>
    <row r="75" spans="2:11">
      <c r="B75" s="47" t="s">
        <v>178</v>
      </c>
      <c r="C75" s="213"/>
      <c r="D75" s="213">
        <f>D77-D74+D76</f>
        <v>24108.309999999998</v>
      </c>
      <c r="E75" s="213">
        <f t="shared" ref="E75:K75" si="60">E77-E74+E76</f>
        <v>208880.22000000003</v>
      </c>
      <c r="F75" s="213">
        <f t="shared" si="60"/>
        <v>44524.790000000066</v>
      </c>
      <c r="G75" s="213">
        <f>G77+G76-G74</f>
        <v>75720.749949999969</v>
      </c>
      <c r="H75" s="213">
        <f t="shared" ref="H75:K75" si="61">H77+H76-H74</f>
        <v>76099.353699749918</v>
      </c>
      <c r="I75" s="213">
        <f t="shared" si="61"/>
        <v>76479.850468248769</v>
      </c>
      <c r="J75" s="213">
        <f t="shared" si="61"/>
        <v>76862.249720590073</v>
      </c>
      <c r="K75" s="213">
        <f t="shared" si="61"/>
        <v>77246.560969192884</v>
      </c>
    </row>
    <row r="76" spans="2:11">
      <c r="B76" s="45" t="s">
        <v>179</v>
      </c>
      <c r="C76" s="214">
        <f>C61</f>
        <v>8332.81</v>
      </c>
      <c r="D76" s="214">
        <f t="shared" ref="D76:K76" si="62">D61</f>
        <v>9045.7199999999993</v>
      </c>
      <c r="E76" s="214">
        <f t="shared" si="62"/>
        <v>17515.310000000001</v>
      </c>
      <c r="F76" s="214">
        <f t="shared" si="62"/>
        <v>21067.03</v>
      </c>
      <c r="G76" s="214">
        <f t="shared" si="62"/>
        <v>25239.541792031388</v>
      </c>
      <c r="H76" s="214">
        <f t="shared" si="62"/>
        <v>28763.777074475816</v>
      </c>
      <c r="I76" s="214">
        <f t="shared" si="62"/>
        <v>32051.471261452716</v>
      </c>
      <c r="J76" s="214">
        <f t="shared" si="62"/>
        <v>35120.567644751114</v>
      </c>
      <c r="K76" s="214">
        <f t="shared" si="62"/>
        <v>37987.636046074702</v>
      </c>
    </row>
    <row r="77" spans="2:11">
      <c r="B77" s="10" t="s">
        <v>180</v>
      </c>
      <c r="C77" s="203">
        <f>C69+C57</f>
        <v>144626.93999999997</v>
      </c>
      <c r="D77" s="203">
        <f t="shared" ref="D77:K77" si="63">D69+D57</f>
        <v>159689.52999999997</v>
      </c>
      <c r="E77" s="203">
        <f t="shared" si="63"/>
        <v>351054.44</v>
      </c>
      <c r="F77" s="203">
        <f t="shared" si="63"/>
        <v>374512.20000000007</v>
      </c>
      <c r="G77" s="203">
        <f t="shared" si="63"/>
        <v>424993.40815796866</v>
      </c>
      <c r="H77" s="203">
        <f t="shared" si="63"/>
        <v>472328.98478324275</v>
      </c>
      <c r="I77" s="203">
        <f t="shared" si="63"/>
        <v>516757.36399003875</v>
      </c>
      <c r="J77" s="203">
        <f t="shared" si="63"/>
        <v>558499.04606587766</v>
      </c>
      <c r="K77" s="203">
        <f t="shared" si="63"/>
        <v>597757.97098899586</v>
      </c>
    </row>
    <row r="79" spans="2:11">
      <c r="D79" s="19"/>
      <c r="E79" s="19"/>
      <c r="F79" s="19"/>
      <c r="G79" s="23"/>
      <c r="H79" s="23"/>
      <c r="I79" s="23"/>
      <c r="J79" s="23"/>
      <c r="K79" s="23"/>
    </row>
    <row r="81" spans="4:11">
      <c r="D81" s="19"/>
      <c r="E81" s="19"/>
      <c r="F81" s="19"/>
      <c r="G81" s="23"/>
      <c r="H81" s="43"/>
      <c r="I81" s="43"/>
      <c r="J81" s="43"/>
      <c r="K81" s="43"/>
    </row>
  </sheetData>
  <mergeCells count="1">
    <mergeCell ref="B6:K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K42"/>
  <sheetViews>
    <sheetView showGridLines="0" topLeftCell="B3" workbookViewId="0">
      <selection activeCell="C5" sqref="C5"/>
    </sheetView>
  </sheetViews>
  <sheetFormatPr defaultRowHeight="15"/>
  <cols>
    <col min="1" max="1" width="1.85546875" customWidth="1"/>
    <col min="2" max="2" width="70.42578125" bestFit="1" customWidth="1"/>
    <col min="3" max="3" width="17.5703125" bestFit="1" customWidth="1"/>
    <col min="4" max="5" width="16.28515625" bestFit="1" customWidth="1"/>
    <col min="6" max="6" width="15.28515625" bestFit="1" customWidth="1"/>
    <col min="7" max="11" width="16.28515625" bestFit="1" customWidth="1"/>
  </cols>
  <sheetData>
    <row r="6" spans="2:11" ht="15.75" thickBot="1">
      <c r="B6" s="222" t="s">
        <v>346</v>
      </c>
      <c r="C6" s="222"/>
      <c r="D6" s="222"/>
      <c r="E6" s="222"/>
      <c r="F6" s="222"/>
      <c r="G6" s="222"/>
      <c r="H6" s="222"/>
      <c r="I6" s="222"/>
      <c r="J6" s="222"/>
      <c r="K6" s="222"/>
    </row>
    <row r="8" spans="2:11">
      <c r="B8" s="124" t="s">
        <v>0</v>
      </c>
      <c r="C8" s="124">
        <v>2021</v>
      </c>
      <c r="D8" s="124">
        <f>C8+1</f>
        <v>2022</v>
      </c>
      <c r="E8" s="124">
        <f t="shared" ref="E8:F8" si="0">D8+1</f>
        <v>2023</v>
      </c>
      <c r="F8" s="124">
        <f t="shared" si="0"/>
        <v>2024</v>
      </c>
      <c r="G8" s="85">
        <f>F8+1</f>
        <v>2025</v>
      </c>
      <c r="H8" s="85">
        <f t="shared" ref="H8:K8" si="1">G8+1</f>
        <v>2026</v>
      </c>
      <c r="I8" s="85">
        <f t="shared" si="1"/>
        <v>2027</v>
      </c>
      <c r="J8" s="85">
        <f t="shared" si="1"/>
        <v>2028</v>
      </c>
      <c r="K8" s="85">
        <f t="shared" si="1"/>
        <v>2029</v>
      </c>
    </row>
    <row r="9" spans="2:11">
      <c r="B9" t="s">
        <v>1</v>
      </c>
      <c r="C9" s="98">
        <f>'Revenue BuildUp'!C10</f>
        <v>516473.35</v>
      </c>
      <c r="D9" s="98">
        <f>'Revenue BuildUp'!D10</f>
        <v>785871.92</v>
      </c>
      <c r="E9" s="98">
        <f>'Revenue BuildUp'!E10</f>
        <v>1334072.19</v>
      </c>
      <c r="F9" s="98">
        <f>'Revenue BuildUp'!F10</f>
        <v>1157511.98</v>
      </c>
      <c r="G9" s="98">
        <f>'Revenue BuildUp'!G10</f>
        <v>1750480.0640924056</v>
      </c>
      <c r="H9" s="98">
        <f>'Revenue BuildUp'!H10</f>
        <v>2467866.2011045339</v>
      </c>
      <c r="I9" s="98">
        <f>'Revenue BuildUp'!I10</f>
        <v>3276975.9016899476</v>
      </c>
      <c r="J9" s="98">
        <f>'Revenue BuildUp'!J10</f>
        <v>4136482.1389260758</v>
      </c>
      <c r="K9" s="98">
        <f>'Revenue BuildUp'!K10</f>
        <v>5004436.5713744331</v>
      </c>
    </row>
    <row r="10" spans="2:11">
      <c r="B10" t="s">
        <v>125</v>
      </c>
      <c r="C10" s="98">
        <f>-'cost Build_up'!C21</f>
        <v>-387115.91000000003</v>
      </c>
      <c r="D10" s="98">
        <f>-'cost Build_up'!D21</f>
        <v>-628126.30000000005</v>
      </c>
      <c r="E10" s="98">
        <f>-'cost Build_up'!E21</f>
        <v>-1061317.9099999999</v>
      </c>
      <c r="F10" s="98">
        <f>-'cost Build_up'!F21</f>
        <v>-899844.32</v>
      </c>
      <c r="G10" s="98">
        <f>-'cost Build_up'!G21</f>
        <v>-1366141.6004947536</v>
      </c>
      <c r="H10" s="98">
        <f>-'cost Build_up'!H21</f>
        <v>-1926017.1829102766</v>
      </c>
      <c r="I10" s="98">
        <f>-'cost Build_up'!I21</f>
        <v>-2557477.3429017002</v>
      </c>
      <c r="J10" s="98">
        <f>-'cost Build_up'!J21</f>
        <v>-3228268.8878381429</v>
      </c>
      <c r="K10" s="98">
        <f>-'cost Build_up'!K21</f>
        <v>-3905653.7274742941</v>
      </c>
    </row>
    <row r="11" spans="2:11">
      <c r="B11" s="7" t="s">
        <v>184</v>
      </c>
      <c r="C11" s="198">
        <f>SUM(C9:C10)</f>
        <v>129357.43999999994</v>
      </c>
      <c r="D11" s="198">
        <f t="shared" ref="D11:K11" si="2">SUM(D9:D10)</f>
        <v>157745.62</v>
      </c>
      <c r="E11" s="198">
        <f t="shared" si="2"/>
        <v>272754.28000000003</v>
      </c>
      <c r="F11" s="198">
        <f t="shared" si="2"/>
        <v>257667.66000000003</v>
      </c>
      <c r="G11" s="198">
        <f t="shared" si="2"/>
        <v>384338.46359765204</v>
      </c>
      <c r="H11" s="198">
        <f t="shared" si="2"/>
        <v>541849.01819425728</v>
      </c>
      <c r="I11" s="198">
        <f t="shared" si="2"/>
        <v>719498.55878824741</v>
      </c>
      <c r="J11" s="198">
        <f t="shared" si="2"/>
        <v>908213.25108793285</v>
      </c>
      <c r="K11" s="198">
        <f t="shared" si="2"/>
        <v>1098782.843900139</v>
      </c>
    </row>
    <row r="12" spans="2:11">
      <c r="B12" s="50" t="s">
        <v>205</v>
      </c>
      <c r="C12" s="51">
        <f>C11/C9</f>
        <v>0.25046295225106957</v>
      </c>
      <c r="D12" s="51">
        <f t="shared" ref="D12:K12" si="3">D11/D9</f>
        <v>0.20072688180537102</v>
      </c>
      <c r="E12" s="51">
        <f t="shared" si="3"/>
        <v>0.20445241422804866</v>
      </c>
      <c r="F12" s="51">
        <f t="shared" si="3"/>
        <v>0.22260474574094691</v>
      </c>
      <c r="G12" s="51">
        <f t="shared" si="3"/>
        <v>0.21956174850635907</v>
      </c>
      <c r="H12" s="51">
        <f t="shared" si="3"/>
        <v>0.21956174850635901</v>
      </c>
      <c r="I12" s="51">
        <f t="shared" si="3"/>
        <v>0.21956174850635904</v>
      </c>
      <c r="J12" s="51">
        <f t="shared" si="3"/>
        <v>0.21956174850635896</v>
      </c>
      <c r="K12" s="51">
        <f t="shared" si="3"/>
        <v>0.21956174850635904</v>
      </c>
    </row>
    <row r="14" spans="2:11">
      <c r="B14" t="s">
        <v>186</v>
      </c>
      <c r="C14" s="98">
        <f>-'cost Build_up'!C26</f>
        <v>-13919</v>
      </c>
      <c r="D14" s="98">
        <f>-'cost Build_up'!D26</f>
        <v>-13850.44</v>
      </c>
      <c r="E14" s="98">
        <f>-'cost Build_up'!E26</f>
        <v>-21320.25</v>
      </c>
      <c r="F14" s="98">
        <f>-'cost Build_up'!F26</f>
        <v>-22978.77</v>
      </c>
      <c r="G14" s="98">
        <f>-'cost Build_up'!G26</f>
        <v>-35187.964582662731</v>
      </c>
      <c r="H14" s="98">
        <f>-'cost Build_up'!H26</f>
        <v>-49608.784618887621</v>
      </c>
      <c r="I14" s="98">
        <f>-'cost Build_up'!I26</f>
        <v>-65873.422001347659</v>
      </c>
      <c r="J14" s="98">
        <f>-'cost Build_up'!J26</f>
        <v>-83151.125218221336</v>
      </c>
      <c r="K14" s="98">
        <f>-'cost Build_up'!K26</f>
        <v>-100598.65315918832</v>
      </c>
    </row>
    <row r="15" spans="2:11">
      <c r="B15" t="s">
        <v>185</v>
      </c>
      <c r="C15" s="98">
        <f>-'cost Build_up'!C29</f>
        <v>-61213.9</v>
      </c>
      <c r="D15" s="98">
        <f>-'cost Build_up'!D29</f>
        <v>-76784.2</v>
      </c>
      <c r="E15" s="98">
        <f>-'cost Build_up'!E29</f>
        <v>-171335.01</v>
      </c>
      <c r="F15" s="98">
        <f>-'cost Build_up'!F29</f>
        <v>-169885.95</v>
      </c>
      <c r="G15" s="98">
        <f>-'cost Build_up'!G29</f>
        <v>-215058.24571160824</v>
      </c>
      <c r="H15" s="98">
        <f>-'cost Build_up'!H29</f>
        <v>-303193.95618806384</v>
      </c>
      <c r="I15" s="98">
        <f>-'cost Build_up'!I29</f>
        <v>-402598.52317829843</v>
      </c>
      <c r="J15" s="98">
        <f>-'cost Build_up'!J29</f>
        <v>-508194.64355115488</v>
      </c>
      <c r="K15" s="98">
        <f>-'cost Build_up'!K29</f>
        <v>-614828.68150961562</v>
      </c>
    </row>
    <row r="16" spans="2:11">
      <c r="B16" s="7" t="s">
        <v>187</v>
      </c>
      <c r="C16" s="198">
        <f>SUM(C11,C14:C15)</f>
        <v>54224.539999999943</v>
      </c>
      <c r="D16" s="198">
        <f t="shared" ref="D16:K16" si="4">SUM(D11,D14:D15)</f>
        <v>67110.98</v>
      </c>
      <c r="E16" s="198">
        <f t="shared" si="4"/>
        <v>80099.020000000019</v>
      </c>
      <c r="F16" s="198">
        <f t="shared" si="4"/>
        <v>64802.940000000031</v>
      </c>
      <c r="G16" s="198">
        <f>SUM(G11,G14:G15)</f>
        <v>134092.25330338106</v>
      </c>
      <c r="H16" s="198">
        <f t="shared" si="4"/>
        <v>189046.2773873058</v>
      </c>
      <c r="I16" s="198">
        <f t="shared" si="4"/>
        <v>251026.61360860133</v>
      </c>
      <c r="J16" s="198">
        <f t="shared" si="4"/>
        <v>316867.48231855663</v>
      </c>
      <c r="K16" s="198">
        <f t="shared" si="4"/>
        <v>383355.50923133502</v>
      </c>
    </row>
    <row r="17" spans="2:11">
      <c r="B17" s="50" t="s">
        <v>206</v>
      </c>
      <c r="C17" s="51">
        <f>C16/C9</f>
        <v>0.10499000577667743</v>
      </c>
      <c r="D17" s="51">
        <f t="shared" ref="D17:K17" si="5">D16/D9</f>
        <v>8.5396841765258635E-2</v>
      </c>
      <c r="E17" s="51">
        <f t="shared" si="5"/>
        <v>6.0040993733629977E-2</v>
      </c>
      <c r="F17" s="51">
        <f t="shared" si="5"/>
        <v>5.5984681903681062E-2</v>
      </c>
      <c r="G17" s="51">
        <f t="shared" si="5"/>
        <v>7.6603130794811777E-2</v>
      </c>
      <c r="H17" s="51">
        <f t="shared" si="5"/>
        <v>7.660313079481175E-2</v>
      </c>
      <c r="I17" s="51">
        <f t="shared" si="5"/>
        <v>7.6603130794811777E-2</v>
      </c>
      <c r="J17" s="51">
        <f t="shared" si="5"/>
        <v>7.6603130794811694E-2</v>
      </c>
      <c r="K17" s="51">
        <f t="shared" si="5"/>
        <v>7.6603130794811763E-2</v>
      </c>
    </row>
    <row r="19" spans="2:11">
      <c r="B19" t="s">
        <v>188</v>
      </c>
      <c r="C19" s="98">
        <f>-FAS!C76</f>
        <v>-8332.81</v>
      </c>
      <c r="D19" s="98">
        <f>-FAS!D76</f>
        <v>-9045.7199999999993</v>
      </c>
      <c r="E19" s="98">
        <f>-FAS!E76</f>
        <v>-17515.310000000001</v>
      </c>
      <c r="F19" s="98">
        <f>-FAS!F76</f>
        <v>-21067.03</v>
      </c>
      <c r="G19" s="98">
        <f>-FAS!G76</f>
        <v>-25239.541792031388</v>
      </c>
      <c r="H19" s="98">
        <f>-FAS!H76</f>
        <v>-28763.777074475816</v>
      </c>
      <c r="I19" s="98">
        <f>-FAS!I76</f>
        <v>-32051.471261452716</v>
      </c>
      <c r="J19" s="98">
        <f>-FAS!J76</f>
        <v>-35120.567644751114</v>
      </c>
      <c r="K19" s="98">
        <f>-FAS!K76</f>
        <v>-37987.636046074702</v>
      </c>
    </row>
    <row r="20" spans="2:11">
      <c r="C20" s="98"/>
      <c r="D20" s="98"/>
      <c r="E20" s="98"/>
      <c r="F20" s="98"/>
      <c r="G20" s="98"/>
      <c r="H20" s="98"/>
      <c r="I20" s="98"/>
      <c r="J20" s="98"/>
      <c r="K20" s="98"/>
    </row>
    <row r="21" spans="2:11">
      <c r="B21" s="7" t="s">
        <v>189</v>
      </c>
      <c r="C21" s="198">
        <f>SUM(C16,C19)</f>
        <v>45891.729999999945</v>
      </c>
      <c r="D21" s="198">
        <f t="shared" ref="D21:K21" si="6">SUM(D16,D19)</f>
        <v>58065.259999999995</v>
      </c>
      <c r="E21" s="198">
        <f t="shared" si="6"/>
        <v>62583.710000000021</v>
      </c>
      <c r="F21" s="198">
        <f t="shared" si="6"/>
        <v>43735.910000000033</v>
      </c>
      <c r="G21" s="198">
        <f t="shared" si="6"/>
        <v>108852.71151134967</v>
      </c>
      <c r="H21" s="198">
        <f t="shared" si="6"/>
        <v>160282.50031282997</v>
      </c>
      <c r="I21" s="198">
        <f t="shared" si="6"/>
        <v>218975.14234714862</v>
      </c>
      <c r="J21" s="198">
        <f t="shared" si="6"/>
        <v>281746.91467380553</v>
      </c>
      <c r="K21" s="198">
        <f t="shared" si="6"/>
        <v>345367.87318526034</v>
      </c>
    </row>
    <row r="22" spans="2:11">
      <c r="B22" s="50" t="s">
        <v>207</v>
      </c>
      <c r="C22" s="51">
        <f>C21/C9</f>
        <v>8.8855949682592431E-2</v>
      </c>
      <c r="D22" s="51">
        <f t="shared" ref="D22:K22" si="7">D21/D9</f>
        <v>7.3886416504104116E-2</v>
      </c>
      <c r="E22" s="51">
        <f t="shared" si="7"/>
        <v>4.6911786685246787E-2</v>
      </c>
      <c r="F22" s="51">
        <f t="shared" si="7"/>
        <v>3.778441239113571E-2</v>
      </c>
      <c r="G22" s="51">
        <f t="shared" si="7"/>
        <v>6.2184490840110178E-2</v>
      </c>
      <c r="H22" s="51">
        <f t="shared" si="7"/>
        <v>6.4947808046114053E-2</v>
      </c>
      <c r="I22" s="51">
        <f t="shared" si="7"/>
        <v>6.6822323055296923E-2</v>
      </c>
      <c r="J22" s="51">
        <f t="shared" si="7"/>
        <v>6.8112687353934373E-2</v>
      </c>
      <c r="K22" s="51">
        <f t="shared" si="7"/>
        <v>6.9012339003510934E-2</v>
      </c>
    </row>
    <row r="24" spans="2:11">
      <c r="B24" t="s">
        <v>190</v>
      </c>
      <c r="C24" s="98">
        <f>-'Debt Schedules'!C14</f>
        <v>-11142.53</v>
      </c>
      <c r="D24" s="98">
        <f>-'Debt Schedules'!D14</f>
        <v>-8554.14</v>
      </c>
      <c r="E24" s="98">
        <f>-'Debt Schedules'!E14</f>
        <v>-29124.25</v>
      </c>
      <c r="F24" s="98">
        <f>-'Debt Schedules'!F14</f>
        <v>-36602.699999999997</v>
      </c>
      <c r="G24" s="98">
        <f>-'Debt Schedules'!G14</f>
        <v>-39063.21420199165</v>
      </c>
      <c r="H24" s="98">
        <f>-'Debt Schedules'!H14</f>
        <v>-55072.198771703828</v>
      </c>
      <c r="I24" s="98">
        <f>-'Debt Schedules'!I14</f>
        <v>-73128.060243776476</v>
      </c>
      <c r="J24" s="98">
        <f>-'Debt Schedules'!J14</f>
        <v>-92308.55646411526</v>
      </c>
      <c r="K24" s="98">
        <f>-'Debt Schedules'!K14</f>
        <v>-111677.58020097081</v>
      </c>
    </row>
    <row r="25" spans="2:11">
      <c r="B25" t="s">
        <v>191</v>
      </c>
      <c r="C25" s="98">
        <f>'Revenue BuildUp'!C13</f>
        <v>1920.6</v>
      </c>
      <c r="D25" s="98">
        <f>'Revenue BuildUp'!D13</f>
        <v>3926.99</v>
      </c>
      <c r="E25" s="98">
        <f>'Revenue BuildUp'!E13</f>
        <v>9107</v>
      </c>
      <c r="F25" s="98">
        <f>'Revenue BuildUp'!F13</f>
        <v>6883.51</v>
      </c>
      <c r="G25" s="98">
        <f>'Revenue BuildUp'!G13</f>
        <v>9403.9941904219668</v>
      </c>
      <c r="H25" s="98">
        <f>'Revenue BuildUp'!H13</f>
        <v>13257.962712051005</v>
      </c>
      <c r="I25" s="98">
        <f>'Revenue BuildUp'!I13</f>
        <v>17604.691977810653</v>
      </c>
      <c r="J25" s="98">
        <f>'Revenue BuildUp'!J13</f>
        <v>22222.163394596417</v>
      </c>
      <c r="K25" s="98">
        <f>'Revenue BuildUp'!K13</f>
        <v>26885.020520322858</v>
      </c>
    </row>
    <row r="26" spans="2:11">
      <c r="B26" t="s">
        <v>17</v>
      </c>
      <c r="C26" s="98">
        <f>'Revenue BuildUp'!C16</f>
        <v>-19.5</v>
      </c>
      <c r="D26" s="98">
        <f>'Revenue BuildUp'!D16</f>
        <v>61.12</v>
      </c>
      <c r="E26" s="98">
        <f>'Revenue BuildUp'!E16</f>
        <v>50.52</v>
      </c>
      <c r="F26" s="98">
        <f>'Revenue BuildUp'!F16</f>
        <v>66.7</v>
      </c>
      <c r="G26" s="98">
        <f>'Revenue BuildUp'!G16</f>
        <v>59.301903277944099</v>
      </c>
      <c r="H26" s="98">
        <f>'Revenue BuildUp'!H16</f>
        <v>83.605158243654699</v>
      </c>
      <c r="I26" s="98">
        <f>'Revenue BuildUp'!I16</f>
        <v>111.01577901541438</v>
      </c>
      <c r="J26" s="98">
        <f>'Revenue BuildUp'!J16</f>
        <v>140.13370888672304</v>
      </c>
      <c r="K26" s="98">
        <f>'Revenue BuildUp'!K16</f>
        <v>169.53784256327671</v>
      </c>
    </row>
    <row r="27" spans="2:11">
      <c r="C27" s="98"/>
      <c r="D27" s="98"/>
      <c r="E27" s="98"/>
      <c r="F27" s="98"/>
      <c r="G27" s="98"/>
      <c r="H27" s="98"/>
      <c r="I27" s="98"/>
      <c r="J27" s="98"/>
      <c r="K27" s="98"/>
    </row>
    <row r="28" spans="2:11">
      <c r="B28" s="7" t="s">
        <v>192</v>
      </c>
      <c r="C28" s="198">
        <f>SUM(C21,C24:C26)</f>
        <v>36650.299999999945</v>
      </c>
      <c r="D28" s="198">
        <f t="shared" ref="D28:K28" si="8">SUM(D21,D24:D26)</f>
        <v>53499.229999999996</v>
      </c>
      <c r="E28" s="198">
        <f t="shared" si="8"/>
        <v>42616.980000000018</v>
      </c>
      <c r="F28" s="198">
        <f t="shared" si="8"/>
        <v>14083.420000000036</v>
      </c>
      <c r="G28" s="198">
        <f t="shared" si="8"/>
        <v>79252.79340305792</v>
      </c>
      <c r="H28" s="198">
        <f t="shared" si="8"/>
        <v>118551.8694114208</v>
      </c>
      <c r="I28" s="198">
        <f t="shared" si="8"/>
        <v>163562.78986019819</v>
      </c>
      <c r="J28" s="198">
        <f t="shared" si="8"/>
        <v>211800.6553131734</v>
      </c>
      <c r="K28" s="198">
        <f t="shared" si="8"/>
        <v>260744.85134717566</v>
      </c>
    </row>
    <row r="29" spans="2:11">
      <c r="B29" s="41" t="s">
        <v>193</v>
      </c>
      <c r="C29" s="51">
        <f>C28/C9</f>
        <v>7.0962615980088697E-2</v>
      </c>
      <c r="D29" s="51">
        <f t="shared" ref="D29:K29" si="9">D28/D9</f>
        <v>6.8076271258044177E-2</v>
      </c>
      <c r="E29" s="51">
        <f t="shared" si="9"/>
        <v>3.1945032899606443E-2</v>
      </c>
      <c r="F29" s="51">
        <f t="shared" si="9"/>
        <v>1.2166975584995705E-2</v>
      </c>
      <c r="G29" s="51">
        <f t="shared" si="9"/>
        <v>4.5274890602166988E-2</v>
      </c>
      <c r="H29" s="51">
        <f t="shared" si="9"/>
        <v>4.803820780817087E-2</v>
      </c>
      <c r="I29" s="51">
        <f t="shared" si="9"/>
        <v>4.991272281735374E-2</v>
      </c>
      <c r="J29" s="51">
        <f t="shared" si="9"/>
        <v>5.1203087115991183E-2</v>
      </c>
      <c r="K29" s="51">
        <f t="shared" si="9"/>
        <v>5.2102738765567758E-2</v>
      </c>
    </row>
    <row r="31" spans="2:11">
      <c r="B31" t="s">
        <v>194</v>
      </c>
      <c r="C31" s="98">
        <f>'Income statement'!C27</f>
        <v>14323.48</v>
      </c>
      <c r="D31" s="98">
        <f>'Income statement'!D27</f>
        <v>13653.91</v>
      </c>
      <c r="E31" s="98">
        <f>'Income statement'!E27</f>
        <v>12197.72</v>
      </c>
      <c r="F31" s="98">
        <f>'Income statement'!F27</f>
        <v>4092.5</v>
      </c>
      <c r="G31" s="98">
        <f>G28*'cost Build_up'!G35</f>
        <v>23030.063507444582</v>
      </c>
      <c r="H31" s="98">
        <f>H28*'cost Build_up'!H35</f>
        <v>34449.979164595003</v>
      </c>
      <c r="I31" s="98">
        <f>I28*'cost Build_up'!I35</f>
        <v>47529.699284894035</v>
      </c>
      <c r="J31" s="98">
        <f>J28*'cost Build_up'!J35</f>
        <v>61547.137120753607</v>
      </c>
      <c r="K31" s="98">
        <f>K28*'cost Build_up'!K35</f>
        <v>75769.827509107767</v>
      </c>
    </row>
    <row r="32" spans="2:11">
      <c r="C32" s="98"/>
      <c r="D32" s="98"/>
      <c r="E32" s="98"/>
      <c r="F32" s="98"/>
      <c r="G32" s="98"/>
      <c r="H32" s="98"/>
      <c r="I32" s="98"/>
      <c r="J32" s="98"/>
      <c r="K32" s="98"/>
    </row>
    <row r="33" spans="2:11" ht="15.75" thickBot="1">
      <c r="B33" s="12" t="s">
        <v>195</v>
      </c>
      <c r="C33" s="99">
        <f>C28-C31</f>
        <v>22326.819999999945</v>
      </c>
      <c r="D33" s="99">
        <f t="shared" ref="D33:K33" si="10">D28-D31</f>
        <v>39845.319999999992</v>
      </c>
      <c r="E33" s="99">
        <f t="shared" si="10"/>
        <v>30419.260000000017</v>
      </c>
      <c r="F33" s="99">
        <f t="shared" si="10"/>
        <v>9990.9200000000365</v>
      </c>
      <c r="G33" s="99">
        <f t="shared" si="10"/>
        <v>56222.729895613338</v>
      </c>
      <c r="H33" s="99">
        <f t="shared" si="10"/>
        <v>84101.890246825802</v>
      </c>
      <c r="I33" s="99">
        <f t="shared" si="10"/>
        <v>116033.09057530414</v>
      </c>
      <c r="J33" s="99">
        <f t="shared" si="10"/>
        <v>150253.51819241978</v>
      </c>
      <c r="K33" s="99">
        <f t="shared" si="10"/>
        <v>184975.02383806789</v>
      </c>
    </row>
    <row r="34" spans="2:11">
      <c r="B34" s="41" t="s">
        <v>196</v>
      </c>
      <c r="C34" s="51">
        <f>C33/C9</f>
        <v>4.322937475863943E-2</v>
      </c>
      <c r="D34" s="51">
        <f t="shared" ref="D34:K34" si="11">D33/D9</f>
        <v>5.0702053332049309E-2</v>
      </c>
      <c r="E34" s="51">
        <f t="shared" si="11"/>
        <v>2.2801809548252422E-2</v>
      </c>
      <c r="F34" s="51">
        <f t="shared" si="11"/>
        <v>8.6313750290515669E-3</v>
      </c>
      <c r="G34" s="51">
        <f t="shared" si="11"/>
        <v>3.211846341407143E-2</v>
      </c>
      <c r="H34" s="51">
        <f t="shared" si="11"/>
        <v>3.4078788472885861E-2</v>
      </c>
      <c r="I34" s="51">
        <f t="shared" si="11"/>
        <v>3.5408588301020304E-2</v>
      </c>
      <c r="J34" s="51">
        <f t="shared" si="11"/>
        <v>3.6323985731370516E-2</v>
      </c>
      <c r="K34" s="51">
        <f t="shared" si="11"/>
        <v>3.6962207673113902E-2</v>
      </c>
    </row>
    <row r="36" spans="2:11">
      <c r="B36" s="7" t="s">
        <v>197</v>
      </c>
      <c r="C36" s="198">
        <f>C33/Assumption!$C$21</f>
        <v>2.7402315181081027</v>
      </c>
      <c r="D36" s="198">
        <f>D33/Assumption!$C$21</f>
        <v>4.8903248072543866</v>
      </c>
      <c r="E36" s="198">
        <f>E33/Assumption!$C$21</f>
        <v>3.7334387525641954</v>
      </c>
      <c r="F36" s="198">
        <f>F33/Assumption!$C$21</f>
        <v>1.2262128632244436</v>
      </c>
      <c r="G36" s="198">
        <f>G33/Assumption!$C$21</f>
        <v>6.90036899540726</v>
      </c>
      <c r="H36" s="198">
        <f>H33/Assumption!$C$21</f>
        <v>10.322054389600536</v>
      </c>
      <c r="I36" s="198">
        <f>I33/Assumption!$C$21</f>
        <v>14.241057702706495</v>
      </c>
      <c r="J36" s="198">
        <f>J33/Assumption!$C$21</f>
        <v>18.441024125132863</v>
      </c>
      <c r="K36" s="198">
        <f>K33/Assumption!$C$21</f>
        <v>22.702489220761063</v>
      </c>
    </row>
    <row r="38" spans="2:11">
      <c r="B38" s="7" t="s">
        <v>198</v>
      </c>
      <c r="C38" s="198">
        <f>'CashFlow '!C57</f>
        <v>0</v>
      </c>
      <c r="D38" s="198">
        <f>'CashFlow '!D57</f>
        <v>0</v>
      </c>
      <c r="E38" s="198">
        <f>'CashFlow '!E57</f>
        <v>0</v>
      </c>
      <c r="F38" s="198">
        <f>'CashFlow '!F57</f>
        <v>-4073.7</v>
      </c>
      <c r="G38" s="198">
        <f>-G39*G33</f>
        <v>-5731.0671783919606</v>
      </c>
      <c r="H38" s="198">
        <f t="shared" ref="H38:K38" si="12">-H39*H33</f>
        <v>-8572.9309787910679</v>
      </c>
      <c r="I38" s="198">
        <f t="shared" si="12"/>
        <v>-11827.839705367844</v>
      </c>
      <c r="J38" s="198">
        <f t="shared" si="12"/>
        <v>-15316.100946170578</v>
      </c>
      <c r="K38" s="198">
        <f t="shared" si="12"/>
        <v>-18855.439604389147</v>
      </c>
    </row>
    <row r="39" spans="2:11">
      <c r="B39" s="41" t="s">
        <v>199</v>
      </c>
      <c r="C39" s="51">
        <f t="shared" ref="C39:E39" si="13">-C38/C33</f>
        <v>0</v>
      </c>
      <c r="D39" s="51">
        <f t="shared" si="13"/>
        <v>0</v>
      </c>
      <c r="E39" s="51">
        <f t="shared" si="13"/>
        <v>0</v>
      </c>
      <c r="F39" s="51">
        <f>-F38/F33</f>
        <v>0.40774022812713795</v>
      </c>
      <c r="G39" s="51">
        <f>AVERAGE(C39:F39)</f>
        <v>0.10193505703178449</v>
      </c>
      <c r="H39" s="51">
        <f>G39</f>
        <v>0.10193505703178449</v>
      </c>
      <c r="I39" s="51">
        <f t="shared" ref="I39:K39" si="14">H39</f>
        <v>0.10193505703178449</v>
      </c>
      <c r="J39" s="51">
        <f t="shared" si="14"/>
        <v>0.10193505703178449</v>
      </c>
      <c r="K39" s="51">
        <f t="shared" si="14"/>
        <v>0.10193505703178449</v>
      </c>
    </row>
    <row r="41" spans="2:11">
      <c r="B41" s="7" t="s">
        <v>200</v>
      </c>
      <c r="C41" s="198">
        <f>C33-C38</f>
        <v>22326.819999999945</v>
      </c>
      <c r="D41" s="198">
        <f t="shared" ref="D41:F41" si="15">D33-D38</f>
        <v>39845.319999999992</v>
      </c>
      <c r="E41" s="198">
        <f t="shared" si="15"/>
        <v>30419.260000000017</v>
      </c>
      <c r="F41" s="198">
        <f>F33+F38</f>
        <v>5917.2200000000366</v>
      </c>
      <c r="G41" s="198">
        <f t="shared" ref="G41:K41" si="16">G33+G38</f>
        <v>50491.662717221378</v>
      </c>
      <c r="H41" s="198">
        <f t="shared" si="16"/>
        <v>75528.959268034727</v>
      </c>
      <c r="I41" s="198">
        <f t="shared" si="16"/>
        <v>104205.2508699363</v>
      </c>
      <c r="J41" s="198">
        <f t="shared" si="16"/>
        <v>134937.41724624921</v>
      </c>
      <c r="K41" s="198">
        <f t="shared" si="16"/>
        <v>166119.58423367876</v>
      </c>
    </row>
    <row r="42" spans="2:11">
      <c r="B42" s="41" t="s">
        <v>201</v>
      </c>
      <c r="C42" s="51">
        <f>C41/C33</f>
        <v>1</v>
      </c>
      <c r="D42" s="51">
        <f t="shared" ref="D42:K42" si="17">D41/D33</f>
        <v>1</v>
      </c>
      <c r="E42" s="51">
        <f t="shared" si="17"/>
        <v>1</v>
      </c>
      <c r="F42" s="51">
        <f t="shared" si="17"/>
        <v>0.59225977187286205</v>
      </c>
      <c r="G42" s="51">
        <f t="shared" si="17"/>
        <v>0.89806494296821548</v>
      </c>
      <c r="H42" s="51">
        <f t="shared" si="17"/>
        <v>0.89806494296821537</v>
      </c>
      <c r="I42" s="51">
        <f t="shared" si="17"/>
        <v>0.89806494296821548</v>
      </c>
      <c r="J42" s="51">
        <f t="shared" si="17"/>
        <v>0.8980649429682156</v>
      </c>
      <c r="K42" s="51">
        <f t="shared" si="17"/>
        <v>0.8980649429682156</v>
      </c>
    </row>
  </sheetData>
  <mergeCells count="1">
    <mergeCell ref="B6:K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K72"/>
  <sheetViews>
    <sheetView showGridLines="0" topLeftCell="B1" workbookViewId="0">
      <selection activeCell="B1" sqref="B1"/>
    </sheetView>
  </sheetViews>
  <sheetFormatPr defaultRowHeight="15"/>
  <cols>
    <col min="1" max="1" width="1.85546875" customWidth="1"/>
    <col min="2" max="2" width="79.140625" bestFit="1" customWidth="1"/>
    <col min="3" max="4" width="11.7109375" bestFit="1" customWidth="1"/>
    <col min="5" max="5" width="11.85546875" bestFit="1" customWidth="1"/>
    <col min="6" max="7" width="11.7109375" bestFit="1" customWidth="1"/>
    <col min="8" max="11" width="12.7109375" bestFit="1" customWidth="1"/>
  </cols>
  <sheetData>
    <row r="6" spans="2:11" ht="15.75" thickBot="1">
      <c r="B6" s="222" t="s">
        <v>347</v>
      </c>
      <c r="C6" s="222"/>
      <c r="D6" s="222"/>
      <c r="E6" s="222"/>
      <c r="F6" s="222"/>
      <c r="G6" s="222"/>
      <c r="H6" s="222"/>
      <c r="I6" s="222"/>
      <c r="J6" s="222"/>
      <c r="K6" s="222"/>
    </row>
    <row r="8" spans="2:11">
      <c r="B8" s="124" t="s">
        <v>0</v>
      </c>
      <c r="C8" s="124">
        <v>2021</v>
      </c>
      <c r="D8" s="124">
        <f>C8+1</f>
        <v>2022</v>
      </c>
      <c r="E8" s="124">
        <f t="shared" ref="E8:F8" si="0">D8+1</f>
        <v>2023</v>
      </c>
      <c r="F8" s="124">
        <f t="shared" si="0"/>
        <v>2024</v>
      </c>
      <c r="G8" s="85">
        <f>F8+1</f>
        <v>2025</v>
      </c>
      <c r="H8" s="85">
        <f t="shared" ref="H8:K8" si="1">G8+1</f>
        <v>2026</v>
      </c>
      <c r="I8" s="85">
        <f t="shared" si="1"/>
        <v>2027</v>
      </c>
      <c r="J8" s="85">
        <f t="shared" si="1"/>
        <v>2028</v>
      </c>
      <c r="K8" s="85">
        <f t="shared" si="1"/>
        <v>2029</v>
      </c>
    </row>
    <row r="10" spans="2:11">
      <c r="B10" s="1" t="s">
        <v>23</v>
      </c>
      <c r="G10" s="5"/>
    </row>
    <row r="11" spans="2:11">
      <c r="B11" s="1" t="s">
        <v>24</v>
      </c>
    </row>
    <row r="12" spans="2:11">
      <c r="B12" t="s">
        <v>25</v>
      </c>
      <c r="C12" s="218">
        <f>'Balance Sheet'!C12</f>
        <v>122510.42</v>
      </c>
      <c r="D12" s="218">
        <f>'Balance Sheet'!D12</f>
        <v>125973.84</v>
      </c>
      <c r="E12" s="218">
        <f>'Balance Sheet'!E12</f>
        <v>279571.01</v>
      </c>
      <c r="F12" s="218">
        <f>'Balance Sheet'!F12</f>
        <v>335317.89</v>
      </c>
      <c r="G12" s="98">
        <f>FAS!G20</f>
        <v>382395.19291100674</v>
      </c>
      <c r="H12" s="98">
        <f>FAS!H20</f>
        <v>426329.64754068945</v>
      </c>
      <c r="I12" s="98">
        <f>FAS!I20</f>
        <v>467356.9116959222</v>
      </c>
      <c r="J12" s="98">
        <f>FAS!J20</f>
        <v>505695.11705729726</v>
      </c>
      <c r="K12" s="98">
        <f>FAS!K20</f>
        <v>541546.17333073332</v>
      </c>
    </row>
    <row r="13" spans="2:11">
      <c r="B13" t="s">
        <v>26</v>
      </c>
      <c r="C13" s="218">
        <f>'Balance Sheet'!C13</f>
        <v>22005.97</v>
      </c>
      <c r="D13" s="218">
        <f>'Balance Sheet'!D13</f>
        <v>33629.46</v>
      </c>
      <c r="E13" s="218">
        <f>'Balance Sheet'!E13</f>
        <v>69686.320000000007</v>
      </c>
      <c r="F13" s="218">
        <f>'Balance Sheet'!F13</f>
        <v>37219.279999999999</v>
      </c>
      <c r="G13" s="98">
        <f>FAS!G69</f>
        <v>40467.48000000001</v>
      </c>
      <c r="H13" s="98">
        <f>FAS!H69</f>
        <v>43731.921000000009</v>
      </c>
      <c r="I13" s="98">
        <f>FAS!I69</f>
        <v>47012.684205000005</v>
      </c>
      <c r="J13" s="98">
        <f>FAS!J69</f>
        <v>50309.851226025006</v>
      </c>
      <c r="K13" s="98">
        <f>FAS!K69</f>
        <v>53623.50408215513</v>
      </c>
    </row>
    <row r="14" spans="2:11">
      <c r="B14" t="s">
        <v>27</v>
      </c>
      <c r="C14" s="218">
        <f>'Balance Sheet'!C14</f>
        <v>0</v>
      </c>
      <c r="D14" s="218">
        <f>'Balance Sheet'!D14</f>
        <v>0</v>
      </c>
      <c r="E14" s="218">
        <f>'Balance Sheet'!E14</f>
        <v>1619.27</v>
      </c>
      <c r="F14" s="218">
        <f>'Balance Sheet'!F14</f>
        <v>1790.53</v>
      </c>
      <c r="G14" s="98">
        <f>FAS!G45</f>
        <v>1941.2199050590698</v>
      </c>
      <c r="H14" s="98">
        <f>FAS!H45</f>
        <v>2074.0505453241672</v>
      </c>
      <c r="I14" s="98">
        <f>FAS!I45</f>
        <v>2191.3768169610548</v>
      </c>
      <c r="J14" s="98">
        <f>FAS!J45</f>
        <v>2295.2444230871188</v>
      </c>
      <c r="K14" s="98">
        <f>FAS!K45</f>
        <v>2387.4304767593021</v>
      </c>
    </row>
    <row r="15" spans="2:11">
      <c r="B15" t="s">
        <v>66</v>
      </c>
      <c r="C15" s="218">
        <f>'Balance Sheet'!C15</f>
        <v>0</v>
      </c>
      <c r="D15" s="218">
        <f>'Balance Sheet'!D15</f>
        <v>0</v>
      </c>
      <c r="E15" s="218">
        <f>'Balance Sheet'!E15</f>
        <v>5806.94</v>
      </c>
      <c r="F15" s="218">
        <f>'Balance Sheet'!F15</f>
        <v>5806.94</v>
      </c>
      <c r="G15" s="98">
        <f>F15</f>
        <v>5806.94</v>
      </c>
      <c r="H15" s="98">
        <f t="shared" ref="H15:K15" si="2">G15</f>
        <v>5806.94</v>
      </c>
      <c r="I15" s="98">
        <f t="shared" si="2"/>
        <v>5806.94</v>
      </c>
      <c r="J15" s="98">
        <f t="shared" si="2"/>
        <v>5806.94</v>
      </c>
      <c r="K15" s="98">
        <f t="shared" si="2"/>
        <v>5806.94</v>
      </c>
    </row>
    <row r="16" spans="2:11">
      <c r="B16" t="s">
        <v>28</v>
      </c>
      <c r="C16" s="218">
        <f>'Balance Sheet'!C16</f>
        <v>110.55</v>
      </c>
      <c r="D16" s="218">
        <f>'Balance Sheet'!D16</f>
        <v>86.23</v>
      </c>
      <c r="E16" s="218">
        <f>'Balance Sheet'!E16</f>
        <v>177.84</v>
      </c>
      <c r="F16" s="218">
        <f>'Balance Sheet'!F16</f>
        <v>184.5</v>
      </c>
      <c r="G16" s="98">
        <f>FAS!G32</f>
        <v>189.51534190283382</v>
      </c>
      <c r="H16" s="98">
        <f>FAS!H32</f>
        <v>193.36569722910713</v>
      </c>
      <c r="I16" s="98">
        <f>FAS!I32</f>
        <v>196.39127215549024</v>
      </c>
      <c r="J16" s="98">
        <f>FAS!J32</f>
        <v>198.8333594682872</v>
      </c>
      <c r="K16" s="98">
        <f>FAS!K32</f>
        <v>200.86309934805229</v>
      </c>
    </row>
    <row r="17" spans="2:11">
      <c r="B17" t="s">
        <v>61</v>
      </c>
      <c r="C17" s="218">
        <f>'Balance Sheet'!C17</f>
        <v>278.52</v>
      </c>
      <c r="D17" s="218">
        <f>'Balance Sheet'!D17</f>
        <v>289.43</v>
      </c>
      <c r="E17" s="218">
        <f>'Balance Sheet'!E17</f>
        <v>315.29000000000002</v>
      </c>
      <c r="F17" s="218">
        <f>'Balance Sheet'!F17</f>
        <v>324.63</v>
      </c>
      <c r="G17" s="98">
        <f>F17</f>
        <v>324.63</v>
      </c>
      <c r="H17" s="98">
        <f t="shared" ref="H17:K17" si="3">G17</f>
        <v>324.63</v>
      </c>
      <c r="I17" s="98">
        <f t="shared" si="3"/>
        <v>324.63</v>
      </c>
      <c r="J17" s="98">
        <f t="shared" si="3"/>
        <v>324.63</v>
      </c>
      <c r="K17" s="98">
        <f t="shared" si="3"/>
        <v>324.63</v>
      </c>
    </row>
    <row r="18" spans="2:11">
      <c r="B18" s="1"/>
      <c r="C18" s="218"/>
      <c r="D18" s="218"/>
      <c r="E18" s="218"/>
      <c r="F18" s="218"/>
      <c r="G18" s="98"/>
      <c r="H18" s="98"/>
      <c r="I18" s="98"/>
      <c r="J18" s="98"/>
      <c r="K18" s="98"/>
    </row>
    <row r="19" spans="2:11">
      <c r="B19" t="s">
        <v>62</v>
      </c>
      <c r="C19" s="218">
        <f>'Balance Sheet'!C19</f>
        <v>1246.99</v>
      </c>
      <c r="D19" s="218">
        <f>'Balance Sheet'!D19</f>
        <v>1236.5</v>
      </c>
      <c r="E19" s="218">
        <f>'Balance Sheet'!E19</f>
        <v>1106.6199999999999</v>
      </c>
      <c r="F19" s="218">
        <f>'Balance Sheet'!F19</f>
        <v>5950.43</v>
      </c>
      <c r="G19" s="98">
        <f>'B_Sheet '!G11</f>
        <v>4357.8448078789625</v>
      </c>
      <c r="H19" s="98">
        <f>'B_Sheet '!H11</f>
        <v>6143.7877138003505</v>
      </c>
      <c r="I19" s="98">
        <f>'B_Sheet '!I11</f>
        <v>8158.0777248829991</v>
      </c>
      <c r="J19" s="98">
        <f>'B_Sheet '!J11</f>
        <v>10297.8306247374</v>
      </c>
      <c r="K19" s="98">
        <f>'B_Sheet '!K11</f>
        <v>12458.615425723821</v>
      </c>
    </row>
    <row r="20" spans="2:11">
      <c r="B20" t="s">
        <v>30</v>
      </c>
      <c r="C20" s="218">
        <f>'Balance Sheet'!C20</f>
        <v>2321.36</v>
      </c>
      <c r="D20" s="218">
        <f>'Balance Sheet'!D20</f>
        <v>118276.53</v>
      </c>
      <c r="E20" s="218">
        <f>'Balance Sheet'!E20</f>
        <v>5900.04</v>
      </c>
      <c r="F20" s="218">
        <f>'Balance Sheet'!F20</f>
        <v>3828.56</v>
      </c>
      <c r="G20" s="98">
        <f>'B_Sheet '!G13</f>
        <v>71213.189008986315</v>
      </c>
      <c r="H20" s="98">
        <f>'B_Sheet '!H13</f>
        <v>100397.95701373316</v>
      </c>
      <c r="I20" s="98">
        <f>'B_Sheet '!I13</f>
        <v>133314.23136540252</v>
      </c>
      <c r="J20" s="98">
        <f>'B_Sheet '!J13</f>
        <v>168280.74219992288</v>
      </c>
      <c r="K20" s="98">
        <f>'B_Sheet '!K13</f>
        <v>203590.94327963624</v>
      </c>
    </row>
    <row r="21" spans="2:11">
      <c r="C21" s="98"/>
      <c r="D21" s="98"/>
      <c r="E21" s="98"/>
      <c r="F21" s="98"/>
      <c r="G21" s="98"/>
      <c r="H21" s="98"/>
      <c r="I21" s="98"/>
      <c r="J21" s="98"/>
      <c r="K21" s="98"/>
    </row>
    <row r="22" spans="2:11">
      <c r="B22" s="7" t="s">
        <v>31</v>
      </c>
      <c r="C22" s="198">
        <f>SUM(C12:C20)</f>
        <v>148473.80999999997</v>
      </c>
      <c r="D22" s="198">
        <f t="shared" ref="D22:K22" si="4">SUM(D12:D20)</f>
        <v>279491.99</v>
      </c>
      <c r="E22" s="198">
        <f t="shared" si="4"/>
        <v>364183.33</v>
      </c>
      <c r="F22" s="198">
        <f t="shared" si="4"/>
        <v>390422.76000000007</v>
      </c>
      <c r="G22" s="198">
        <f t="shared" si="4"/>
        <v>506696.01197483391</v>
      </c>
      <c r="H22" s="198">
        <f t="shared" si="4"/>
        <v>585002.2995107763</v>
      </c>
      <c r="I22" s="198">
        <f t="shared" si="4"/>
        <v>664361.24308032426</v>
      </c>
      <c r="J22" s="198">
        <f t="shared" si="4"/>
        <v>743209.18889053795</v>
      </c>
      <c r="K22" s="198">
        <f t="shared" si="4"/>
        <v>819939.09969435586</v>
      </c>
    </row>
    <row r="23" spans="2:11">
      <c r="C23" s="98"/>
      <c r="D23" s="98"/>
      <c r="E23" s="98"/>
      <c r="F23" s="98"/>
      <c r="G23" s="98"/>
      <c r="H23" s="98"/>
      <c r="I23" s="98"/>
      <c r="J23" s="98"/>
      <c r="K23" s="98"/>
    </row>
    <row r="24" spans="2:11">
      <c r="B24" s="1" t="s">
        <v>32</v>
      </c>
      <c r="C24" s="98"/>
      <c r="D24" s="98"/>
      <c r="E24" s="98"/>
      <c r="F24" s="98"/>
      <c r="G24" s="98"/>
      <c r="H24" s="98"/>
      <c r="I24" s="98"/>
      <c r="J24" s="98"/>
      <c r="K24" s="98"/>
    </row>
    <row r="25" spans="2:11">
      <c r="B25" t="s">
        <v>33</v>
      </c>
      <c r="C25" s="218">
        <f>'Balance Sheet'!C25</f>
        <v>89905.36</v>
      </c>
      <c r="D25" s="218">
        <f>'Balance Sheet'!D25</f>
        <v>229322.23999999999</v>
      </c>
      <c r="E25" s="218">
        <f>'Balance Sheet'!E25</f>
        <v>223767.72</v>
      </c>
      <c r="F25" s="218">
        <f>'Balance Sheet'!F25</f>
        <v>183082.95</v>
      </c>
      <c r="G25" s="98">
        <f>'Working Capital'!G11</f>
        <v>345508.68224661826</v>
      </c>
      <c r="H25" s="98">
        <f>'Working Capital'!H11</f>
        <v>487105.91831086628</v>
      </c>
      <c r="I25" s="98">
        <f>'Working Capital'!I11</f>
        <v>646807.49513925845</v>
      </c>
      <c r="J25" s="98">
        <f>'Working Capital'!J11</f>
        <v>816456.30948561116</v>
      </c>
      <c r="K25" s="98">
        <f>'Working Capital'!K11</f>
        <v>987772.62342536973</v>
      </c>
    </row>
    <row r="26" spans="2:11">
      <c r="B26" t="s">
        <v>29</v>
      </c>
      <c r="C26" s="218">
        <f>'Balance Sheet'!C26</f>
        <v>12204</v>
      </c>
      <c r="D26" s="218">
        <f>'Balance Sheet'!D26</f>
        <v>55036.14</v>
      </c>
      <c r="E26" s="218">
        <f>'Balance Sheet'!E26</f>
        <v>0</v>
      </c>
      <c r="F26" s="218">
        <f>'Balance Sheet'!F26</f>
        <v>0</v>
      </c>
      <c r="G26" s="98">
        <f>'B_Sheet '!G18</f>
        <v>0</v>
      </c>
      <c r="H26" s="98">
        <f>'B_Sheet '!H18</f>
        <v>0</v>
      </c>
      <c r="I26" s="98">
        <f>'B_Sheet '!I18</f>
        <v>0</v>
      </c>
      <c r="J26" s="98">
        <f>'B_Sheet '!J18</f>
        <v>0</v>
      </c>
      <c r="K26" s="98">
        <f>'B_Sheet '!K18</f>
        <v>0</v>
      </c>
    </row>
    <row r="27" spans="2:11">
      <c r="B27" s="9" t="s">
        <v>34</v>
      </c>
      <c r="C27" s="218">
        <f>'Balance Sheet'!C27</f>
        <v>115559.36</v>
      </c>
      <c r="D27" s="218">
        <f>'Balance Sheet'!D27</f>
        <v>90247.54</v>
      </c>
      <c r="E27" s="218">
        <f>'Balance Sheet'!E27</f>
        <v>368973.75</v>
      </c>
      <c r="F27" s="218">
        <f>'Balance Sheet'!F27</f>
        <v>272047.93</v>
      </c>
      <c r="G27" s="98">
        <f>'Working Capital'!G12</f>
        <v>372060.02443746233</v>
      </c>
      <c r="H27" s="98">
        <f>'Working Capital'!H12</f>
        <v>524538.59825442138</v>
      </c>
      <c r="I27" s="98">
        <f>'Working Capital'!I12</f>
        <v>696512.77902207244</v>
      </c>
      <c r="J27" s="98">
        <f>'Working Capital'!J12</f>
        <v>879198.61371966987</v>
      </c>
      <c r="K27" s="98">
        <f>'Working Capital'!K12</f>
        <v>1063680.0905280185</v>
      </c>
    </row>
    <row r="28" spans="2:11">
      <c r="B28" s="9" t="s">
        <v>35</v>
      </c>
      <c r="C28" s="218">
        <f>'Balance Sheet'!C28</f>
        <v>9152.4500000000007</v>
      </c>
      <c r="D28" s="218">
        <f>'Balance Sheet'!D28</f>
        <v>53784.1</v>
      </c>
      <c r="E28" s="218">
        <f>'Balance Sheet'!E28</f>
        <v>4303.42</v>
      </c>
      <c r="F28" s="218">
        <f>'Balance Sheet'!F28</f>
        <v>9071.7900000000009</v>
      </c>
      <c r="G28" s="98">
        <f>'CashFlow '!G64</f>
        <v>10769.630251890034</v>
      </c>
      <c r="H28" s="98">
        <f>'CashFlow '!H64</f>
        <v>53232.30912262229</v>
      </c>
      <c r="I28" s="98">
        <f>'CashFlow '!I64</f>
        <v>129086.19979579454</v>
      </c>
      <c r="J28" s="98">
        <f>'CashFlow '!J64</f>
        <v>239338.13058041863</v>
      </c>
      <c r="K28" s="98">
        <f>'CashFlow '!K64</f>
        <v>383394.60626134335</v>
      </c>
    </row>
    <row r="29" spans="2:11">
      <c r="B29" s="9" t="s">
        <v>36</v>
      </c>
      <c r="C29" s="218">
        <f>'Balance Sheet'!C29</f>
        <v>167.32</v>
      </c>
      <c r="D29" s="218">
        <f>'Balance Sheet'!D29</f>
        <v>5987.37</v>
      </c>
      <c r="E29" s="218">
        <f>'Balance Sheet'!E29</f>
        <v>6681.98</v>
      </c>
      <c r="F29" s="218">
        <f>'Balance Sheet'!F29</f>
        <v>2730.57</v>
      </c>
      <c r="G29" s="98"/>
      <c r="H29" s="98"/>
      <c r="I29" s="98"/>
      <c r="J29" s="98"/>
      <c r="K29" s="98"/>
    </row>
    <row r="30" spans="2:11">
      <c r="B30" s="9" t="s">
        <v>37</v>
      </c>
      <c r="C30" s="218">
        <f>'Balance Sheet'!C30</f>
        <v>19591.900000000001</v>
      </c>
      <c r="D30" s="218">
        <f>'Balance Sheet'!D30</f>
        <v>33844.36</v>
      </c>
      <c r="E30" s="218">
        <f>'Balance Sheet'!E30</f>
        <v>33718.269999999997</v>
      </c>
      <c r="F30" s="218">
        <f>'Balance Sheet'!F30</f>
        <v>50419.05</v>
      </c>
      <c r="G30" s="98">
        <f>'B_Sheet '!G20</f>
        <v>65569.841158635245</v>
      </c>
      <c r="H30" s="98">
        <f>'B_Sheet '!H20</f>
        <v>92441.838171455311</v>
      </c>
      <c r="I30" s="98">
        <f>'B_Sheet '!I20</f>
        <v>122749.63523557308</v>
      </c>
      <c r="J30" s="98">
        <f>'B_Sheet '!J20</f>
        <v>154945.19610284278</v>
      </c>
      <c r="K30" s="98">
        <f>'B_Sheet '!K20</f>
        <v>187457.21119858732</v>
      </c>
    </row>
    <row r="31" spans="2:11">
      <c r="B31" t="s">
        <v>38</v>
      </c>
      <c r="C31" s="218">
        <f>'Balance Sheet'!C31</f>
        <v>47238.04</v>
      </c>
      <c r="D31" s="218">
        <f>'Balance Sheet'!D31</f>
        <v>45080.39</v>
      </c>
      <c r="E31" s="218">
        <f>'Balance Sheet'!E31</f>
        <v>64048.36</v>
      </c>
      <c r="F31" s="218">
        <f>'Balance Sheet'!F31</f>
        <v>58314.22</v>
      </c>
      <c r="G31" s="98">
        <f>'B_Sheet '!G22</f>
        <v>108186.15333939574</v>
      </c>
      <c r="H31" s="98">
        <f>'B_Sheet '!H22</f>
        <v>152523.27446084705</v>
      </c>
      <c r="I31" s="98">
        <f>'B_Sheet '!I22</f>
        <v>202529.25163906263</v>
      </c>
      <c r="J31" s="98">
        <f>'B_Sheet '!J22</f>
        <v>255649.92149713772</v>
      </c>
      <c r="K31" s="98">
        <f>'B_Sheet '!K22</f>
        <v>309292.72111916717</v>
      </c>
    </row>
    <row r="32" spans="2:11">
      <c r="B32" t="s">
        <v>63</v>
      </c>
      <c r="C32" s="218">
        <f>'Balance Sheet'!C32</f>
        <v>24.32</v>
      </c>
      <c r="D32" s="218">
        <f>'Balance Sheet'!D32</f>
        <v>23.96</v>
      </c>
      <c r="E32" s="218">
        <f>'Balance Sheet'!E32</f>
        <v>23.26</v>
      </c>
      <c r="F32" s="218">
        <f>'Balance Sheet'!F32</f>
        <v>23.26</v>
      </c>
      <c r="G32" s="98">
        <f>'B_Sheet '!G24</f>
        <v>50.373205047500107</v>
      </c>
      <c r="H32" s="98">
        <f>'B_Sheet '!H24</f>
        <v>71.01727847582697</v>
      </c>
      <c r="I32" s="98">
        <f>'B_Sheet '!I24</f>
        <v>94.300862042168532</v>
      </c>
      <c r="J32" s="98">
        <f>'B_Sheet '!J24</f>
        <v>119.03469638626262</v>
      </c>
      <c r="K32" s="98">
        <f>'B_Sheet '!K24</f>
        <v>144.01164270771451</v>
      </c>
    </row>
    <row r="33" spans="2:11">
      <c r="B33" s="7" t="s">
        <v>39</v>
      </c>
      <c r="C33" s="198">
        <f>SUM(C25:C32)</f>
        <v>293842.75</v>
      </c>
      <c r="D33" s="198">
        <f t="shared" ref="D33:F33" si="5">SUM(D25:D32)</f>
        <v>513326.1</v>
      </c>
      <c r="E33" s="198">
        <f t="shared" si="5"/>
        <v>701516.76</v>
      </c>
      <c r="F33" s="198">
        <f t="shared" si="5"/>
        <v>575689.77</v>
      </c>
      <c r="G33" s="198">
        <f t="shared" ref="G33" si="6">SUM(G25:G32)</f>
        <v>902144.70463904913</v>
      </c>
      <c r="H33" s="198">
        <f t="shared" ref="H33" si="7">SUM(H25:H32)</f>
        <v>1309912.9555986882</v>
      </c>
      <c r="I33" s="198">
        <f t="shared" ref="I33" si="8">SUM(I25:I32)</f>
        <v>1797779.6616938033</v>
      </c>
      <c r="J33" s="198">
        <f t="shared" ref="J33" si="9">SUM(J25:J32)</f>
        <v>2345707.2060820665</v>
      </c>
      <c r="K33" s="198">
        <f t="shared" ref="K33" si="10">SUM(K25:K32)</f>
        <v>2931741.2641751938</v>
      </c>
    </row>
    <row r="34" spans="2:11">
      <c r="C34" s="98"/>
      <c r="D34" s="98"/>
      <c r="E34" s="98"/>
      <c r="F34" s="98"/>
      <c r="G34" s="98"/>
      <c r="H34" s="98"/>
      <c r="I34" s="98"/>
      <c r="J34" s="98"/>
      <c r="K34" s="98"/>
    </row>
    <row r="35" spans="2:11">
      <c r="B35" s="10" t="s">
        <v>40</v>
      </c>
      <c r="C35" s="199">
        <f>C33+C22</f>
        <v>442316.55999999994</v>
      </c>
      <c r="D35" s="199">
        <f t="shared" ref="D35:K35" si="11">D33+D22</f>
        <v>792818.09</v>
      </c>
      <c r="E35" s="199">
        <f t="shared" si="11"/>
        <v>1065700.0900000001</v>
      </c>
      <c r="F35" s="199">
        <f t="shared" si="11"/>
        <v>966112.53</v>
      </c>
      <c r="G35" s="199">
        <f t="shared" si="11"/>
        <v>1408840.7166138832</v>
      </c>
      <c r="H35" s="199">
        <f t="shared" si="11"/>
        <v>1894915.2551094645</v>
      </c>
      <c r="I35" s="199">
        <f t="shared" si="11"/>
        <v>2462140.9047741275</v>
      </c>
      <c r="J35" s="199">
        <f t="shared" si="11"/>
        <v>3088916.3949726047</v>
      </c>
      <c r="K35" s="199">
        <f t="shared" si="11"/>
        <v>3751680.3638695497</v>
      </c>
    </row>
    <row r="36" spans="2:11">
      <c r="C36" s="98"/>
      <c r="D36" s="98"/>
      <c r="E36" s="98"/>
      <c r="F36" s="98"/>
      <c r="G36" s="98"/>
      <c r="H36" s="98"/>
      <c r="I36" s="98"/>
      <c r="J36" s="98"/>
      <c r="K36" s="98"/>
    </row>
    <row r="37" spans="2:11">
      <c r="B37" s="1" t="s">
        <v>41</v>
      </c>
      <c r="C37" s="98"/>
      <c r="D37" s="98"/>
      <c r="E37" s="98"/>
      <c r="F37" s="98"/>
      <c r="G37" s="98"/>
      <c r="H37" s="98"/>
      <c r="I37" s="98"/>
      <c r="J37" s="98"/>
      <c r="K37" s="98"/>
    </row>
    <row r="38" spans="2:11">
      <c r="B38" s="1" t="s">
        <v>42</v>
      </c>
      <c r="C38" s="98"/>
      <c r="D38" s="98"/>
      <c r="E38" s="98"/>
      <c r="F38" s="98"/>
      <c r="G38" s="98"/>
      <c r="H38" s="98"/>
      <c r="I38" s="98"/>
      <c r="J38" s="98"/>
      <c r="K38" s="98"/>
    </row>
    <row r="39" spans="2:11">
      <c r="B39" t="s">
        <v>43</v>
      </c>
      <c r="C39" s="218">
        <f>'Balance Sheet'!C39</f>
        <v>57545</v>
      </c>
      <c r="D39" s="218">
        <f>'Balance Sheet'!D39</f>
        <v>57545</v>
      </c>
      <c r="E39" s="218">
        <f>'Balance Sheet'!E39</f>
        <v>81449.759999999995</v>
      </c>
      <c r="F39" s="218">
        <f>'Balance Sheet'!F39</f>
        <v>81477.86</v>
      </c>
      <c r="G39" s="98">
        <f>F39</f>
        <v>81477.86</v>
      </c>
      <c r="H39" s="98">
        <f t="shared" ref="H39:K39" si="12">G39</f>
        <v>81477.86</v>
      </c>
      <c r="I39" s="98">
        <f t="shared" si="12"/>
        <v>81477.86</v>
      </c>
      <c r="J39" s="98">
        <f t="shared" si="12"/>
        <v>81477.86</v>
      </c>
      <c r="K39" s="98">
        <f t="shared" si="12"/>
        <v>81477.86</v>
      </c>
    </row>
    <row r="40" spans="2:11">
      <c r="B40" t="s">
        <v>44</v>
      </c>
      <c r="C40" s="218">
        <f>'Balance Sheet'!C40</f>
        <v>125205.97</v>
      </c>
      <c r="D40" s="218">
        <f>'Balance Sheet'!D40</f>
        <v>164954.74</v>
      </c>
      <c r="E40" s="218">
        <f>'Balance Sheet'!E40</f>
        <v>269020.46999999997</v>
      </c>
      <c r="F40" s="218">
        <f>'Balance Sheet'!F40</f>
        <v>274962.15000000002</v>
      </c>
      <c r="G40" s="98">
        <f>F40+'P&amp;L Statement'!G33+'P&amp;L Statement'!G38-'P&amp;L Statement'!G26</f>
        <v>325394.51081394346</v>
      </c>
      <c r="H40" s="98">
        <f>G40+'P&amp;L Statement'!H33+'P&amp;L Statement'!H38-'P&amp;L Statement'!H26</f>
        <v>400839.86492373451</v>
      </c>
      <c r="I40" s="98">
        <f>H40+'P&amp;L Statement'!I33+'P&amp;L Statement'!I38-'P&amp;L Statement'!I26</f>
        <v>504934.10001465539</v>
      </c>
      <c r="J40" s="98">
        <f>I40+'P&amp;L Statement'!J33+'P&amp;L Statement'!J38-'P&amp;L Statement'!J26</f>
        <v>639731.38355201785</v>
      </c>
      <c r="K40" s="98">
        <f>J40+'P&amp;L Statement'!K33+'P&amp;L Statement'!K38-'P&amp;L Statement'!K26</f>
        <v>805681.42994313338</v>
      </c>
    </row>
    <row r="41" spans="2:11">
      <c r="C41" s="98"/>
      <c r="D41" s="98"/>
      <c r="E41" s="98"/>
      <c r="F41" s="98"/>
      <c r="G41" s="98"/>
      <c r="H41" s="98"/>
      <c r="I41" s="98"/>
      <c r="J41" s="98"/>
      <c r="K41" s="98"/>
    </row>
    <row r="42" spans="2:11">
      <c r="B42" s="10" t="s">
        <v>45</v>
      </c>
      <c r="C42" s="199">
        <f>SUM(C39:C41)</f>
        <v>182750.97</v>
      </c>
      <c r="D42" s="199">
        <f t="shared" ref="D42:F42" si="13">SUM(D39:D41)</f>
        <v>222499.74</v>
      </c>
      <c r="E42" s="199">
        <f t="shared" si="13"/>
        <v>350470.23</v>
      </c>
      <c r="F42" s="199">
        <f t="shared" si="13"/>
        <v>356440.01</v>
      </c>
      <c r="G42" s="199">
        <f t="shared" ref="G42" si="14">SUM(G39:G41)</f>
        <v>406872.37081394345</v>
      </c>
      <c r="H42" s="199">
        <f t="shared" ref="H42" si="15">SUM(H39:H41)</f>
        <v>482317.72492373449</v>
      </c>
      <c r="I42" s="199">
        <f t="shared" ref="I42" si="16">SUM(I39:I41)</f>
        <v>586411.96001465537</v>
      </c>
      <c r="J42" s="199">
        <f t="shared" ref="J42" si="17">SUM(J39:J41)</f>
        <v>721209.24355201784</v>
      </c>
      <c r="K42" s="199">
        <f t="shared" ref="K42" si="18">SUM(K39:K41)</f>
        <v>887159.28994313336</v>
      </c>
    </row>
    <row r="43" spans="2:11">
      <c r="C43" s="98"/>
      <c r="D43" s="98"/>
      <c r="E43" s="98"/>
      <c r="F43" s="98"/>
      <c r="G43" s="98"/>
      <c r="H43" s="98"/>
      <c r="I43" s="98"/>
      <c r="J43" s="98"/>
      <c r="K43" s="98"/>
    </row>
    <row r="44" spans="2:11">
      <c r="B44" s="1" t="s">
        <v>46</v>
      </c>
      <c r="C44" s="98"/>
      <c r="D44" s="98"/>
      <c r="E44" s="98"/>
      <c r="F44" s="98"/>
      <c r="G44" s="98"/>
      <c r="H44" s="98"/>
      <c r="I44" s="98"/>
      <c r="J44" s="98"/>
      <c r="K44" s="98"/>
    </row>
    <row r="45" spans="2:11">
      <c r="B45" s="1" t="s">
        <v>47</v>
      </c>
      <c r="C45" s="98"/>
      <c r="D45" s="98"/>
      <c r="E45" s="98"/>
      <c r="F45" s="98"/>
      <c r="G45" s="98"/>
      <c r="H45" s="98"/>
      <c r="I45" s="98"/>
      <c r="J45" s="98"/>
      <c r="K45" s="98"/>
    </row>
    <row r="46" spans="2:11">
      <c r="B46" t="s">
        <v>48</v>
      </c>
      <c r="C46" s="98"/>
      <c r="D46" s="98"/>
      <c r="E46" s="98"/>
      <c r="F46" s="98"/>
      <c r="G46" s="98"/>
      <c r="H46" s="98"/>
      <c r="I46" s="98"/>
      <c r="J46" s="98"/>
      <c r="K46" s="98"/>
    </row>
    <row r="47" spans="2:11">
      <c r="B47" t="s">
        <v>49</v>
      </c>
      <c r="C47" s="218">
        <f>'Balance Sheet'!C47</f>
        <v>11341.13</v>
      </c>
      <c r="D47" s="218">
        <f>'Balance Sheet'!D47</f>
        <v>52817.08</v>
      </c>
      <c r="E47" s="218">
        <f>'Balance Sheet'!E47</f>
        <v>61188.79</v>
      </c>
      <c r="F47" s="218">
        <f>'Balance Sheet'!F47</f>
        <v>67650.58</v>
      </c>
      <c r="G47" s="98">
        <f>'B_Sheet '!G29</f>
        <v>84669.863625273327</v>
      </c>
      <c r="H47" s="98">
        <f>'B_Sheet '!H29</f>
        <v>119369.47982397121</v>
      </c>
      <c r="I47" s="98">
        <f>'B_Sheet '!I29</f>
        <v>158505.71988276477</v>
      </c>
      <c r="J47" s="98">
        <f>'B_Sheet '!J29</f>
        <v>200079.61574406212</v>
      </c>
      <c r="K47" s="98">
        <f>'B_Sheet '!K29</f>
        <v>242062.14667134636</v>
      </c>
    </row>
    <row r="48" spans="2:11">
      <c r="B48" t="s">
        <v>50</v>
      </c>
      <c r="C48" s="218">
        <f>'Balance Sheet'!C48</f>
        <v>0</v>
      </c>
      <c r="D48" s="218">
        <f>'Balance Sheet'!D48</f>
        <v>0</v>
      </c>
      <c r="E48" s="218">
        <f>'Balance Sheet'!E48</f>
        <v>1603.78</v>
      </c>
      <c r="F48" s="218">
        <f>'Balance Sheet'!F48</f>
        <v>1722.29</v>
      </c>
      <c r="G48" s="98">
        <f>'B_Sheet '!G31</f>
        <v>1177.2385208211947</v>
      </c>
      <c r="H48" s="98">
        <f>'B_Sheet '!H31</f>
        <v>1659.6973686068538</v>
      </c>
      <c r="I48" s="98">
        <f>'B_Sheet '!I31</f>
        <v>2203.842444371036</v>
      </c>
      <c r="J48" s="98">
        <f>'B_Sheet '!J31</f>
        <v>2781.8803621493648</v>
      </c>
      <c r="K48" s="98">
        <f>'B_Sheet '!K31</f>
        <v>3365.5998875273845</v>
      </c>
    </row>
    <row r="49" spans="2:11">
      <c r="B49" t="s">
        <v>64</v>
      </c>
      <c r="C49" s="218">
        <f>'Balance Sheet'!C49</f>
        <v>10.050000000000001</v>
      </c>
      <c r="D49" s="218">
        <f>'Balance Sheet'!D49</f>
        <v>286.70999999999998</v>
      </c>
      <c r="E49" s="218">
        <f>'Balance Sheet'!E49</f>
        <v>180.42</v>
      </c>
      <c r="F49" s="218">
        <f>'Balance Sheet'!F49</f>
        <v>0</v>
      </c>
      <c r="G49" s="98">
        <f>'B_Sheet '!G33</f>
        <v>227.35646150560291</v>
      </c>
      <c r="H49" s="98">
        <f>'B_Sheet '!H33</f>
        <v>320.53225767144897</v>
      </c>
      <c r="I49" s="98">
        <f>'B_Sheet '!I33</f>
        <v>425.62132567539436</v>
      </c>
      <c r="J49" s="98">
        <f>'B_Sheet '!J33</f>
        <v>537.25601420943394</v>
      </c>
      <c r="K49" s="98">
        <f>'B_Sheet '!K33</f>
        <v>649.98797417715707</v>
      </c>
    </row>
    <row r="50" spans="2:11">
      <c r="B50" t="s">
        <v>52</v>
      </c>
      <c r="C50" s="218">
        <f>'Balance Sheet'!C50</f>
        <v>1974.99</v>
      </c>
      <c r="D50" s="218">
        <f>'Balance Sheet'!D50</f>
        <v>2654.83</v>
      </c>
      <c r="E50" s="218">
        <f>'Balance Sheet'!E50</f>
        <v>2379.21</v>
      </c>
      <c r="F50" s="218">
        <f>'Balance Sheet'!F50</f>
        <v>2621.4</v>
      </c>
      <c r="G50" s="98">
        <f>'B_Sheet '!G35</f>
        <v>4923.353441877317</v>
      </c>
      <c r="H50" s="98">
        <f>'B_Sheet '!H35</f>
        <v>6941.0545167221708</v>
      </c>
      <c r="I50" s="98">
        <f>'B_Sheet '!I35</f>
        <v>9216.734834909008</v>
      </c>
      <c r="J50" s="98">
        <f>'B_Sheet '!J35</f>
        <v>11634.159105093744</v>
      </c>
      <c r="K50" s="98">
        <f>'B_Sheet '!K35</f>
        <v>14075.344543331168</v>
      </c>
    </row>
    <row r="51" spans="2:11">
      <c r="B51" t="s">
        <v>51</v>
      </c>
      <c r="C51" s="218">
        <f>'Balance Sheet'!C51</f>
        <v>9301.23</v>
      </c>
      <c r="D51" s="218">
        <f>'Balance Sheet'!D51</f>
        <v>9218.11</v>
      </c>
      <c r="E51" s="218">
        <f>'Balance Sheet'!E51</f>
        <v>10778.02</v>
      </c>
      <c r="F51" s="218">
        <f>'Balance Sheet'!F51</f>
        <v>15085.16</v>
      </c>
      <c r="G51" s="98">
        <f>'B_Sheet '!G37</f>
        <v>22253.128566738789</v>
      </c>
      <c r="H51" s="98">
        <f>'B_Sheet '!H37</f>
        <v>31372.961615054075</v>
      </c>
      <c r="I51" s="98">
        <f>'B_Sheet '!I37</f>
        <v>41658.838364560586</v>
      </c>
      <c r="J51" s="98">
        <f>'B_Sheet '!J37</f>
        <v>52585.385426406916</v>
      </c>
      <c r="K51" s="98">
        <f>'B_Sheet '!K37</f>
        <v>63619.33089745028</v>
      </c>
    </row>
    <row r="52" spans="2:11">
      <c r="B52" s="7" t="s">
        <v>53</v>
      </c>
      <c r="C52" s="198">
        <f>SUM(C47:C51)</f>
        <v>22627.399999999998</v>
      </c>
      <c r="D52" s="198">
        <f t="shared" ref="D52:F52" si="19">SUM(D47:D51)</f>
        <v>64976.73</v>
      </c>
      <c r="E52" s="198">
        <f t="shared" si="19"/>
        <v>76130.22</v>
      </c>
      <c r="F52" s="198">
        <f t="shared" si="19"/>
        <v>87079.43</v>
      </c>
      <c r="G52" s="198">
        <f t="shared" ref="G52" si="20">SUM(G47:G51)</f>
        <v>113250.94061621623</v>
      </c>
      <c r="H52" s="198">
        <f t="shared" ref="H52" si="21">SUM(H47:H51)</f>
        <v>159663.72558202577</v>
      </c>
      <c r="I52" s="198">
        <f t="shared" ref="I52" si="22">SUM(I47:I51)</f>
        <v>212010.75685228079</v>
      </c>
      <c r="J52" s="198">
        <f t="shared" ref="J52" si="23">SUM(J47:J51)</f>
        <v>267618.29665192158</v>
      </c>
      <c r="K52" s="198">
        <f t="shared" ref="K52" si="24">SUM(K47:K51)</f>
        <v>323772.40997383231</v>
      </c>
    </row>
    <row r="53" spans="2:11">
      <c r="C53" s="98"/>
      <c r="D53" s="98"/>
      <c r="E53" s="98"/>
      <c r="F53" s="98"/>
      <c r="G53" s="98"/>
      <c r="H53" s="98"/>
      <c r="I53" s="98"/>
      <c r="J53" s="98"/>
      <c r="K53" s="98"/>
    </row>
    <row r="54" spans="2:11">
      <c r="B54" s="1" t="s">
        <v>54</v>
      </c>
      <c r="C54" s="98"/>
      <c r="D54" s="98"/>
      <c r="E54" s="98"/>
      <c r="F54" s="98"/>
      <c r="G54" s="98"/>
      <c r="H54" s="98"/>
      <c r="I54" s="98"/>
      <c r="J54" s="98"/>
      <c r="K54" s="98"/>
    </row>
    <row r="55" spans="2:11">
      <c r="B55" t="s">
        <v>48</v>
      </c>
      <c r="C55" s="98"/>
      <c r="D55" s="98"/>
      <c r="E55" s="98"/>
      <c r="F55" s="98"/>
      <c r="G55" s="98"/>
      <c r="H55" s="98"/>
      <c r="I55" s="98"/>
      <c r="J55" s="98"/>
      <c r="K55" s="98"/>
    </row>
    <row r="56" spans="2:11">
      <c r="B56" t="s">
        <v>49</v>
      </c>
      <c r="C56" s="218">
        <f>'Balance Sheet'!C56</f>
        <v>113776.12</v>
      </c>
      <c r="D56" s="218">
        <f>'Balance Sheet'!D56</f>
        <v>242612.49</v>
      </c>
      <c r="E56" s="218">
        <f>'Balance Sheet'!E56</f>
        <v>401921.53</v>
      </c>
      <c r="F56" s="218">
        <f>'Balance Sheet'!F56</f>
        <v>331786.96000000002</v>
      </c>
      <c r="G56" s="98">
        <f>'B_Sheet '!G41</f>
        <v>488788.34298434434</v>
      </c>
      <c r="H56" s="98">
        <f>'B_Sheet '!H41</f>
        <v>689104.80952571228</v>
      </c>
      <c r="I56" s="98">
        <f>'B_Sheet '!I41</f>
        <v>915033.34076365863</v>
      </c>
      <c r="J56" s="98">
        <f>'B_Sheet '!J41</f>
        <v>1155034.1485998675</v>
      </c>
      <c r="K56" s="98">
        <f>'B_Sheet '!K41</f>
        <v>1397393.9546467382</v>
      </c>
    </row>
    <row r="57" spans="2:11">
      <c r="B57" t="s">
        <v>50</v>
      </c>
      <c r="C57" s="218">
        <f>'Balance Sheet'!C57</f>
        <v>0</v>
      </c>
      <c r="D57" s="218">
        <f>'Balance Sheet'!D57</f>
        <v>0</v>
      </c>
      <c r="E57" s="218">
        <f>'Balance Sheet'!E57</f>
        <v>77.319999999999993</v>
      </c>
      <c r="F57" s="218">
        <f>'Balance Sheet'!F57</f>
        <v>210.89</v>
      </c>
      <c r="G57" s="98">
        <f>'B_Sheet '!G43</f>
        <v>105.09461395329784</v>
      </c>
      <c r="H57" s="98">
        <f>'B_Sheet '!H43</f>
        <v>148.1647526376978</v>
      </c>
      <c r="I57" s="98">
        <f>'B_Sheet '!I43</f>
        <v>196.74175352629729</v>
      </c>
      <c r="J57" s="98">
        <f>'B_Sheet '!J43</f>
        <v>248.34444129504766</v>
      </c>
      <c r="K57" s="98">
        <f>'B_Sheet '!K43</f>
        <v>300.45433839033876</v>
      </c>
    </row>
    <row r="58" spans="2:11">
      <c r="B58" t="s">
        <v>55</v>
      </c>
      <c r="C58" s="98"/>
      <c r="D58" s="98"/>
      <c r="E58" s="98"/>
      <c r="F58" s="98"/>
      <c r="G58" s="98"/>
      <c r="H58" s="98"/>
      <c r="I58" s="98"/>
      <c r="J58" s="98"/>
      <c r="K58" s="98"/>
    </row>
    <row r="59" spans="2:11">
      <c r="B59" t="s">
        <v>67</v>
      </c>
      <c r="C59" s="218">
        <f>'Balance Sheet'!C59</f>
        <v>625.55999999999995</v>
      </c>
      <c r="D59" s="218">
        <f>'Balance Sheet'!D59</f>
        <v>818.76</v>
      </c>
      <c r="E59" s="218">
        <f>'Balance Sheet'!E59</f>
        <v>667.47</v>
      </c>
      <c r="F59" s="218">
        <f>'Balance Sheet'!F59</f>
        <v>929.88</v>
      </c>
      <c r="G59" s="98"/>
      <c r="H59" s="98"/>
      <c r="I59" s="98"/>
      <c r="J59" s="98"/>
      <c r="K59" s="98"/>
    </row>
    <row r="60" spans="2:11">
      <c r="B60" t="s">
        <v>68</v>
      </c>
      <c r="C60" s="218">
        <f>'Balance Sheet'!C60</f>
        <v>93327.61</v>
      </c>
      <c r="D60" s="218">
        <f>'Balance Sheet'!D60</f>
        <v>226521.11</v>
      </c>
      <c r="E60" s="218">
        <f>'Balance Sheet'!E60</f>
        <v>190580.2</v>
      </c>
      <c r="F60" s="218">
        <f>'Balance Sheet'!F60</f>
        <v>147881.85</v>
      </c>
      <c r="G60" s="98">
        <f>'Working Capital'!G13</f>
        <v>324529.32485103776</v>
      </c>
      <c r="H60" s="98">
        <f>'Working Capital'!H13</f>
        <v>457528.74796800403</v>
      </c>
      <c r="I60" s="98">
        <f>'Working Capital'!I13</f>
        <v>607533.21259899822</v>
      </c>
      <c r="J60" s="98">
        <f>'Working Capital'!J13</f>
        <v>766880.91646452015</v>
      </c>
      <c r="K60" s="98">
        <f>'Working Capital'!K13</f>
        <v>927794.86900929001</v>
      </c>
    </row>
    <row r="61" spans="2:11">
      <c r="B61" t="s">
        <v>56</v>
      </c>
      <c r="C61" s="218">
        <f>'Balance Sheet'!C61</f>
        <v>8245.64</v>
      </c>
      <c r="D61" s="218">
        <f>'Balance Sheet'!D61</f>
        <v>7766.76</v>
      </c>
      <c r="E61" s="218">
        <f>'Balance Sheet'!E61</f>
        <v>24003.11</v>
      </c>
      <c r="F61" s="218">
        <f>'Balance Sheet'!F61</f>
        <v>22455.43</v>
      </c>
      <c r="G61" s="98">
        <f>'B_Sheet '!G45</f>
        <v>27675.248326244284</v>
      </c>
      <c r="H61" s="98">
        <f>'B_Sheet '!H45</f>
        <v>39017.188114578654</v>
      </c>
      <c r="I61" s="98">
        <f>'B_Sheet '!I45</f>
        <v>51809.285748940762</v>
      </c>
      <c r="J61" s="98">
        <f>'B_Sheet '!J45</f>
        <v>65398.157191357823</v>
      </c>
      <c r="K61" s="98">
        <f>'B_Sheet '!K45</f>
        <v>79120.595365097965</v>
      </c>
    </row>
    <row r="62" spans="2:11">
      <c r="B62" t="s">
        <v>57</v>
      </c>
      <c r="C62" s="218">
        <f>'Balance Sheet'!C62</f>
        <v>12638.96</v>
      </c>
      <c r="D62" s="218">
        <f>'Balance Sheet'!D62</f>
        <v>14900.85</v>
      </c>
      <c r="E62" s="218">
        <f>'Balance Sheet'!E62</f>
        <v>11554.5</v>
      </c>
      <c r="F62" s="218">
        <f>'Balance Sheet'!F62</f>
        <v>12020.43</v>
      </c>
      <c r="G62" s="98">
        <f>'B_Sheet '!G47</f>
        <v>27341.781997017992</v>
      </c>
      <c r="H62" s="98">
        <f>'B_Sheet '!H47</f>
        <v>38547.059776652881</v>
      </c>
      <c r="I62" s="98">
        <f>'B_Sheet '!I47</f>
        <v>51185.022069899009</v>
      </c>
      <c r="J62" s="98">
        <f>'B_Sheet '!J47</f>
        <v>64610.157634508832</v>
      </c>
      <c r="K62" s="98">
        <f>'B_Sheet '!K47</f>
        <v>78167.250549847347</v>
      </c>
    </row>
    <row r="63" spans="2:11">
      <c r="B63" t="s">
        <v>52</v>
      </c>
      <c r="C63" s="218">
        <f>'Balance Sheet'!C63</f>
        <v>8301.5499999999993</v>
      </c>
      <c r="D63" s="218">
        <f>'Balance Sheet'!D63</f>
        <v>7524.57</v>
      </c>
      <c r="E63" s="218">
        <f>'Balance Sheet'!E63</f>
        <v>9000.56</v>
      </c>
      <c r="F63" s="218">
        <f>'Balance Sheet'!F63</f>
        <v>7284.9</v>
      </c>
      <c r="G63" s="98">
        <f>'B_Sheet '!G49</f>
        <v>16930.906221941998</v>
      </c>
      <c r="H63" s="98">
        <f>'B_Sheet '!H49</f>
        <v>23869.572739672989</v>
      </c>
      <c r="I63" s="98">
        <f>'B_Sheet '!I49</f>
        <v>31695.403347448511</v>
      </c>
      <c r="J63" s="98">
        <f>'B_Sheet '!J49</f>
        <v>40008.676830722485</v>
      </c>
      <c r="K63" s="98">
        <f>'B_Sheet '!K49</f>
        <v>48403.662527586886</v>
      </c>
    </row>
    <row r="64" spans="2:11">
      <c r="B64" t="s">
        <v>65</v>
      </c>
      <c r="C64" s="218">
        <f>'Balance Sheet'!C64</f>
        <v>22.75</v>
      </c>
      <c r="D64" s="218">
        <f>'Balance Sheet'!D64</f>
        <v>5197.08</v>
      </c>
      <c r="E64" s="218">
        <f>'Balance Sheet'!E64</f>
        <v>1294.95</v>
      </c>
      <c r="F64" s="218">
        <f>'Balance Sheet'!F64</f>
        <v>22.75</v>
      </c>
      <c r="G64" s="98">
        <f>'B_Sheet '!G51</f>
        <v>3346.7061891834423</v>
      </c>
      <c r="H64" s="98">
        <f>'B_Sheet '!H51</f>
        <v>4718.261726445563</v>
      </c>
      <c r="I64" s="98">
        <f>'B_Sheet '!I51</f>
        <v>6265.1816247201787</v>
      </c>
      <c r="J64" s="98">
        <f>'B_Sheet '!J51</f>
        <v>7908.4536063930154</v>
      </c>
      <c r="K64" s="98">
        <f>'B_Sheet '!K51</f>
        <v>9567.8775156337088</v>
      </c>
    </row>
    <row r="65" spans="2:11">
      <c r="B65" s="7" t="s">
        <v>58</v>
      </c>
      <c r="C65" s="198">
        <f>SUM(C56:C64)</f>
        <v>236938.18999999997</v>
      </c>
      <c r="D65" s="198">
        <f t="shared" ref="D65:F65" si="25">SUM(D56:D64)</f>
        <v>505341.62</v>
      </c>
      <c r="E65" s="198">
        <f t="shared" si="25"/>
        <v>639099.64</v>
      </c>
      <c r="F65" s="198">
        <f t="shared" si="25"/>
        <v>522593.09000000008</v>
      </c>
      <c r="G65" s="198">
        <f t="shared" ref="G65" si="26">SUM(G56:G64)</f>
        <v>888717.4051837232</v>
      </c>
      <c r="H65" s="198">
        <f t="shared" ref="H65" si="27">SUM(H56:H64)</f>
        <v>1252933.804603704</v>
      </c>
      <c r="I65" s="198">
        <f t="shared" ref="I65" si="28">SUM(I56:I64)</f>
        <v>1663718.1879071912</v>
      </c>
      <c r="J65" s="198">
        <f t="shared" ref="J65" si="29">SUM(J56:J64)</f>
        <v>2100088.854768665</v>
      </c>
      <c r="K65" s="198">
        <f t="shared" ref="K65" si="30">SUM(K56:K64)</f>
        <v>2540748.6639525839</v>
      </c>
    </row>
    <row r="66" spans="2:11">
      <c r="C66" s="98"/>
      <c r="D66" s="98"/>
      <c r="E66" s="98"/>
      <c r="F66" s="98"/>
      <c r="G66" s="98"/>
      <c r="H66" s="98"/>
      <c r="I66" s="98"/>
      <c r="J66" s="98"/>
      <c r="K66" s="98"/>
    </row>
    <row r="67" spans="2:11">
      <c r="B67" s="10" t="s">
        <v>59</v>
      </c>
      <c r="C67" s="199">
        <f>C65+C52</f>
        <v>259565.58999999997</v>
      </c>
      <c r="D67" s="199">
        <f t="shared" ref="D67:K67" si="31">D65+D52</f>
        <v>570318.35</v>
      </c>
      <c r="E67" s="199">
        <f t="shared" si="31"/>
        <v>715229.86</v>
      </c>
      <c r="F67" s="199">
        <f t="shared" si="31"/>
        <v>609672.52</v>
      </c>
      <c r="G67" s="199">
        <f t="shared" si="31"/>
        <v>1001968.3457999395</v>
      </c>
      <c r="H67" s="199">
        <f t="shared" si="31"/>
        <v>1412597.5301857297</v>
      </c>
      <c r="I67" s="199">
        <f t="shared" si="31"/>
        <v>1875728.944759472</v>
      </c>
      <c r="J67" s="199">
        <f t="shared" si="31"/>
        <v>2367707.1514205867</v>
      </c>
      <c r="K67" s="199">
        <f t="shared" si="31"/>
        <v>2864521.0739264162</v>
      </c>
    </row>
    <row r="68" spans="2:11">
      <c r="C68" s="98"/>
      <c r="D68" s="98"/>
      <c r="E68" s="98"/>
      <c r="F68" s="98"/>
      <c r="G68" s="98"/>
      <c r="H68" s="98"/>
      <c r="I68" s="98"/>
      <c r="J68" s="98"/>
      <c r="K68" s="98"/>
    </row>
    <row r="69" spans="2:11">
      <c r="B69" s="10" t="s">
        <v>60</v>
      </c>
      <c r="C69" s="199">
        <f>C67+C42</f>
        <v>442316.55999999994</v>
      </c>
      <c r="D69" s="199">
        <f t="shared" ref="D69:K69" si="32">D67+D42</f>
        <v>792818.09</v>
      </c>
      <c r="E69" s="199">
        <f t="shared" si="32"/>
        <v>1065700.0899999999</v>
      </c>
      <c r="F69" s="199">
        <f t="shared" si="32"/>
        <v>966112.53</v>
      </c>
      <c r="G69" s="199">
        <f t="shared" si="32"/>
        <v>1408840.7166138829</v>
      </c>
      <c r="H69" s="199">
        <f t="shared" si="32"/>
        <v>1894915.2551094643</v>
      </c>
      <c r="I69" s="199">
        <f t="shared" si="32"/>
        <v>2462140.9047741275</v>
      </c>
      <c r="J69" s="199">
        <f t="shared" si="32"/>
        <v>3088916.3949726047</v>
      </c>
      <c r="K69" s="199">
        <f t="shared" si="32"/>
        <v>3751680.3638695497</v>
      </c>
    </row>
    <row r="70" spans="2:11" ht="15.75" thickBot="1"/>
    <row r="71" spans="2:11" ht="16.5" thickTop="1" thickBot="1">
      <c r="B71" s="52" t="s">
        <v>208</v>
      </c>
      <c r="C71" s="53">
        <f>C69-C35</f>
        <v>0</v>
      </c>
      <c r="D71" s="53">
        <f t="shared" ref="D71:K71" si="33">D69-D35</f>
        <v>0</v>
      </c>
      <c r="E71" s="53">
        <f t="shared" si="33"/>
        <v>0</v>
      </c>
      <c r="F71" s="53">
        <f t="shared" si="33"/>
        <v>0</v>
      </c>
      <c r="G71" s="53">
        <f t="shared" si="33"/>
        <v>0</v>
      </c>
      <c r="H71" s="53">
        <f t="shared" si="33"/>
        <v>0</v>
      </c>
      <c r="I71" s="53">
        <f t="shared" si="33"/>
        <v>0</v>
      </c>
      <c r="J71" s="53">
        <f t="shared" si="33"/>
        <v>0</v>
      </c>
      <c r="K71" s="53">
        <f t="shared" si="33"/>
        <v>0</v>
      </c>
    </row>
    <row r="72" spans="2:11" ht="15.75" thickTop="1"/>
  </sheetData>
  <mergeCells count="1">
    <mergeCell ref="B6:K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F2486"/>
  <sheetViews>
    <sheetView showGridLines="0" workbookViewId="0">
      <selection activeCell="K10" sqref="K10:K12"/>
    </sheetView>
  </sheetViews>
  <sheetFormatPr defaultRowHeight="15"/>
  <cols>
    <col min="1" max="1" width="1.85546875" customWidth="1"/>
    <col min="2" max="2" width="10.140625" bestFit="1" customWidth="1"/>
  </cols>
  <sheetData>
    <row r="8" spans="2:6">
      <c r="B8" s="219" t="s">
        <v>209</v>
      </c>
      <c r="C8" s="219"/>
      <c r="D8" s="219"/>
      <c r="E8" s="219"/>
      <c r="F8" s="219"/>
    </row>
    <row r="9" spans="2:6" ht="15.75" thickBot="1"/>
    <row r="10" spans="2:6" ht="15.75" thickBot="1">
      <c r="B10" s="12" t="s">
        <v>210</v>
      </c>
      <c r="C10" s="54" t="s">
        <v>211</v>
      </c>
      <c r="E10" s="235" t="s">
        <v>242</v>
      </c>
      <c r="F10" s="237">
        <f>YEARFRAC(B11,B2486)</f>
        <v>9.9972222222222218</v>
      </c>
    </row>
    <row r="11" spans="2:6" ht="15.75" thickBot="1">
      <c r="B11" s="74">
        <v>42237</v>
      </c>
      <c r="C11">
        <v>27366.07</v>
      </c>
      <c r="E11" s="236" t="s">
        <v>243</v>
      </c>
      <c r="F11" s="238">
        <f>_xlfn.RRI(F10,C11,C2486)</f>
        <v>0.11582993008539222</v>
      </c>
    </row>
    <row r="12" spans="2:6">
      <c r="B12" s="74">
        <v>42240</v>
      </c>
      <c r="C12">
        <v>25741.56</v>
      </c>
    </row>
    <row r="13" spans="2:6">
      <c r="B13" s="74">
        <v>42241</v>
      </c>
      <c r="C13">
        <v>26032.38</v>
      </c>
    </row>
    <row r="14" spans="2:6">
      <c r="B14" s="74">
        <v>42242</v>
      </c>
      <c r="C14">
        <v>25714.66</v>
      </c>
    </row>
    <row r="15" spans="2:6">
      <c r="B15" s="74">
        <v>42243</v>
      </c>
      <c r="C15">
        <v>26231.19</v>
      </c>
    </row>
    <row r="16" spans="2:6">
      <c r="B16" s="74">
        <v>42244</v>
      </c>
      <c r="C16">
        <v>26392.38</v>
      </c>
    </row>
    <row r="17" spans="2:3">
      <c r="B17" s="74">
        <v>42247</v>
      </c>
      <c r="C17">
        <v>26283.09</v>
      </c>
    </row>
    <row r="18" spans="2:3">
      <c r="B18" s="74">
        <v>42248</v>
      </c>
      <c r="C18">
        <v>25696.44</v>
      </c>
    </row>
    <row r="19" spans="2:3">
      <c r="B19" s="74">
        <v>42249</v>
      </c>
      <c r="C19">
        <v>25453.56</v>
      </c>
    </row>
    <row r="20" spans="2:3">
      <c r="B20" s="74">
        <v>42250</v>
      </c>
      <c r="C20">
        <v>25764.78</v>
      </c>
    </row>
    <row r="21" spans="2:3">
      <c r="B21" s="74">
        <v>42251</v>
      </c>
      <c r="C21">
        <v>25201.9</v>
      </c>
    </row>
    <row r="22" spans="2:3">
      <c r="B22" s="74">
        <v>42254</v>
      </c>
      <c r="C22">
        <v>24893.81</v>
      </c>
    </row>
    <row r="23" spans="2:3">
      <c r="B23" s="74">
        <v>42255</v>
      </c>
      <c r="C23">
        <v>25317.87</v>
      </c>
    </row>
    <row r="24" spans="2:3">
      <c r="B24" s="74">
        <v>42256</v>
      </c>
      <c r="C24">
        <v>25719.58</v>
      </c>
    </row>
    <row r="25" spans="2:3">
      <c r="B25" s="74">
        <v>42257</v>
      </c>
      <c r="C25">
        <v>25622.17</v>
      </c>
    </row>
    <row r="26" spans="2:3">
      <c r="B26" s="74">
        <v>42258</v>
      </c>
      <c r="C26">
        <v>25610.21</v>
      </c>
    </row>
    <row r="27" spans="2:3">
      <c r="B27" s="74">
        <v>42261</v>
      </c>
      <c r="C27">
        <v>25856.7</v>
      </c>
    </row>
    <row r="28" spans="2:3">
      <c r="B28" s="74">
        <v>42262</v>
      </c>
      <c r="C28">
        <v>25705.93</v>
      </c>
    </row>
    <row r="29" spans="2:3">
      <c r="B29" s="74">
        <v>42263</v>
      </c>
      <c r="C29">
        <v>25963.97</v>
      </c>
    </row>
    <row r="30" spans="2:3">
      <c r="B30" s="74">
        <v>42265</v>
      </c>
      <c r="C30">
        <v>26218.91</v>
      </c>
    </row>
    <row r="31" spans="2:3">
      <c r="B31" s="74">
        <v>42268</v>
      </c>
      <c r="C31">
        <v>26192.98</v>
      </c>
    </row>
    <row r="32" spans="2:3">
      <c r="B32" s="74">
        <v>42269</v>
      </c>
      <c r="C32">
        <v>25651.84</v>
      </c>
    </row>
    <row r="33" spans="2:3">
      <c r="B33" s="74">
        <v>42270</v>
      </c>
      <c r="C33">
        <v>25822.99</v>
      </c>
    </row>
    <row r="34" spans="2:3">
      <c r="B34" s="74">
        <v>42271</v>
      </c>
      <c r="C34">
        <v>25863.5</v>
      </c>
    </row>
    <row r="35" spans="2:3">
      <c r="B35" s="74">
        <v>42275</v>
      </c>
      <c r="C35">
        <v>25616.84</v>
      </c>
    </row>
    <row r="36" spans="2:3">
      <c r="B36" s="74">
        <v>42276</v>
      </c>
      <c r="C36">
        <v>25778.66</v>
      </c>
    </row>
    <row r="37" spans="2:3">
      <c r="B37" s="74">
        <v>42277</v>
      </c>
      <c r="C37">
        <v>26154.83</v>
      </c>
    </row>
    <row r="38" spans="2:3">
      <c r="B38" s="74">
        <v>42278</v>
      </c>
      <c r="C38">
        <v>26220.95</v>
      </c>
    </row>
    <row r="39" spans="2:3">
      <c r="B39" s="74">
        <v>42282</v>
      </c>
      <c r="C39">
        <v>26785.55</v>
      </c>
    </row>
    <row r="40" spans="2:3">
      <c r="B40" s="74">
        <v>42283</v>
      </c>
      <c r="C40">
        <v>26932.880000000001</v>
      </c>
    </row>
    <row r="41" spans="2:3">
      <c r="B41" s="74">
        <v>42284</v>
      </c>
      <c r="C41">
        <v>27035.85</v>
      </c>
    </row>
    <row r="42" spans="2:3">
      <c r="B42" s="74">
        <v>42285</v>
      </c>
      <c r="C42">
        <v>26845.81</v>
      </c>
    </row>
    <row r="43" spans="2:3">
      <c r="B43" s="74">
        <v>42286</v>
      </c>
      <c r="C43">
        <v>27079.51</v>
      </c>
    </row>
    <row r="44" spans="2:3">
      <c r="B44" s="74">
        <v>42289</v>
      </c>
      <c r="C44">
        <v>26904.11</v>
      </c>
    </row>
    <row r="45" spans="2:3">
      <c r="B45" s="74">
        <v>42290</v>
      </c>
      <c r="C45">
        <v>26846.53</v>
      </c>
    </row>
    <row r="46" spans="2:3">
      <c r="B46" s="74">
        <v>42291</v>
      </c>
      <c r="C46">
        <v>26779.66</v>
      </c>
    </row>
    <row r="47" spans="2:3">
      <c r="B47" s="74">
        <v>42292</v>
      </c>
      <c r="C47">
        <v>27010.14</v>
      </c>
    </row>
    <row r="48" spans="2:3">
      <c r="B48" s="74">
        <v>42293</v>
      </c>
      <c r="C48">
        <v>27214.6</v>
      </c>
    </row>
    <row r="49" spans="2:3">
      <c r="B49" s="74">
        <v>42296</v>
      </c>
      <c r="C49">
        <v>27364.92</v>
      </c>
    </row>
    <row r="50" spans="2:3">
      <c r="B50" s="74">
        <v>42297</v>
      </c>
      <c r="C50">
        <v>27306.83</v>
      </c>
    </row>
    <row r="51" spans="2:3">
      <c r="B51" s="74">
        <v>42298</v>
      </c>
      <c r="C51">
        <v>27287.66</v>
      </c>
    </row>
    <row r="52" spans="2:3">
      <c r="B52" s="74">
        <v>42300</v>
      </c>
      <c r="C52">
        <v>27470.81</v>
      </c>
    </row>
    <row r="53" spans="2:3">
      <c r="B53" s="74">
        <v>42303</v>
      </c>
      <c r="C53">
        <v>27361.96</v>
      </c>
    </row>
    <row r="54" spans="2:3">
      <c r="B54" s="74">
        <v>42304</v>
      </c>
      <c r="C54">
        <v>27253.439999999999</v>
      </c>
    </row>
    <row r="55" spans="2:3">
      <c r="B55" s="74">
        <v>42305</v>
      </c>
      <c r="C55">
        <v>27039.759999999998</v>
      </c>
    </row>
    <row r="56" spans="2:3">
      <c r="B56" s="74">
        <v>42306</v>
      </c>
      <c r="C56">
        <v>26838.14</v>
      </c>
    </row>
    <row r="57" spans="2:3">
      <c r="B57" s="74">
        <v>42307</v>
      </c>
      <c r="C57">
        <v>26656.83</v>
      </c>
    </row>
    <row r="58" spans="2:3">
      <c r="B58" s="74">
        <v>42310</v>
      </c>
      <c r="C58">
        <v>26559.15</v>
      </c>
    </row>
    <row r="59" spans="2:3">
      <c r="B59" s="74">
        <v>42311</v>
      </c>
      <c r="C59">
        <v>26590.59</v>
      </c>
    </row>
    <row r="60" spans="2:3">
      <c r="B60" s="74">
        <v>42312</v>
      </c>
      <c r="C60">
        <v>26552.92</v>
      </c>
    </row>
    <row r="61" spans="2:3">
      <c r="B61" s="74">
        <v>42313</v>
      </c>
      <c r="C61">
        <v>26304.2</v>
      </c>
    </row>
    <row r="62" spans="2:3">
      <c r="B62" s="74">
        <v>42314</v>
      </c>
      <c r="C62">
        <v>26265.24</v>
      </c>
    </row>
    <row r="63" spans="2:3">
      <c r="B63" s="74">
        <v>42317</v>
      </c>
      <c r="C63">
        <v>26121.4</v>
      </c>
    </row>
    <row r="64" spans="2:3">
      <c r="B64" s="74">
        <v>42318</v>
      </c>
      <c r="C64">
        <v>25743.26</v>
      </c>
    </row>
    <row r="65" spans="2:3">
      <c r="B65" s="74">
        <v>42319</v>
      </c>
      <c r="C65">
        <v>25866.95</v>
      </c>
    </row>
    <row r="66" spans="2:3">
      <c r="B66" s="74">
        <v>42321</v>
      </c>
      <c r="C66">
        <v>25610.53</v>
      </c>
    </row>
    <row r="67" spans="2:3">
      <c r="B67" s="74">
        <v>42324</v>
      </c>
      <c r="C67">
        <v>25760.1</v>
      </c>
    </row>
    <row r="68" spans="2:3">
      <c r="B68" s="74">
        <v>42325</v>
      </c>
      <c r="C68">
        <v>25864.47</v>
      </c>
    </row>
    <row r="69" spans="2:3">
      <c r="B69" s="74">
        <v>42326</v>
      </c>
      <c r="C69">
        <v>25482.52</v>
      </c>
    </row>
    <row r="70" spans="2:3">
      <c r="B70" s="74">
        <v>42327</v>
      </c>
      <c r="C70">
        <v>25841.919999999998</v>
      </c>
    </row>
    <row r="71" spans="2:3">
      <c r="B71" s="74">
        <v>42328</v>
      </c>
      <c r="C71">
        <v>25868.49</v>
      </c>
    </row>
    <row r="72" spans="2:3">
      <c r="B72" s="74">
        <v>42331</v>
      </c>
      <c r="C72">
        <v>25819.34</v>
      </c>
    </row>
    <row r="73" spans="2:3">
      <c r="B73" s="74">
        <v>42332</v>
      </c>
      <c r="C73">
        <v>25775.74</v>
      </c>
    </row>
    <row r="74" spans="2:3">
      <c r="B74" s="74">
        <v>42334</v>
      </c>
      <c r="C74">
        <v>25958.63</v>
      </c>
    </row>
    <row r="75" spans="2:3">
      <c r="B75" s="74">
        <v>42335</v>
      </c>
      <c r="C75">
        <v>26128.2</v>
      </c>
    </row>
    <row r="76" spans="2:3">
      <c r="B76" s="74">
        <v>42338</v>
      </c>
      <c r="C76">
        <v>26145.67</v>
      </c>
    </row>
    <row r="77" spans="2:3">
      <c r="B77" s="74">
        <v>42339</v>
      </c>
      <c r="C77">
        <v>26169.41</v>
      </c>
    </row>
    <row r="78" spans="2:3">
      <c r="B78" s="74">
        <v>42340</v>
      </c>
      <c r="C78">
        <v>26117.85</v>
      </c>
    </row>
    <row r="79" spans="2:3">
      <c r="B79" s="74">
        <v>42341</v>
      </c>
      <c r="C79">
        <v>25886.62</v>
      </c>
    </row>
    <row r="80" spans="2:3">
      <c r="B80" s="74">
        <v>42342</v>
      </c>
      <c r="C80">
        <v>25638.11</v>
      </c>
    </row>
    <row r="81" spans="2:3">
      <c r="B81" s="74">
        <v>42345</v>
      </c>
      <c r="C81">
        <v>25530.11</v>
      </c>
    </row>
    <row r="82" spans="2:3">
      <c r="B82" s="74">
        <v>42346</v>
      </c>
      <c r="C82">
        <v>25310.33</v>
      </c>
    </row>
    <row r="83" spans="2:3">
      <c r="B83" s="74">
        <v>42347</v>
      </c>
      <c r="C83">
        <v>25036.05</v>
      </c>
    </row>
    <row r="84" spans="2:3">
      <c r="B84" s="74">
        <v>42348</v>
      </c>
      <c r="C84">
        <v>25252.32</v>
      </c>
    </row>
    <row r="85" spans="2:3">
      <c r="B85" s="74">
        <v>42349</v>
      </c>
      <c r="C85">
        <v>25044.43</v>
      </c>
    </row>
    <row r="86" spans="2:3">
      <c r="B86" s="74">
        <v>42352</v>
      </c>
      <c r="C86">
        <v>25150.35</v>
      </c>
    </row>
    <row r="87" spans="2:3">
      <c r="B87" s="74">
        <v>42353</v>
      </c>
      <c r="C87">
        <v>25320.44</v>
      </c>
    </row>
    <row r="88" spans="2:3">
      <c r="B88" s="74">
        <v>42354</v>
      </c>
      <c r="C88">
        <v>25494.37</v>
      </c>
    </row>
    <row r="89" spans="2:3">
      <c r="B89" s="74">
        <v>42355</v>
      </c>
      <c r="C89">
        <v>25803.78</v>
      </c>
    </row>
    <row r="90" spans="2:3">
      <c r="B90" s="74">
        <v>42356</v>
      </c>
      <c r="C90">
        <v>25519.22</v>
      </c>
    </row>
    <row r="91" spans="2:3">
      <c r="B91" s="74">
        <v>42359</v>
      </c>
      <c r="C91">
        <v>25735.9</v>
      </c>
    </row>
    <row r="92" spans="2:3">
      <c r="B92" s="74">
        <v>42360</v>
      </c>
      <c r="C92">
        <v>25590.65</v>
      </c>
    </row>
    <row r="93" spans="2:3">
      <c r="B93" s="74">
        <v>42361</v>
      </c>
      <c r="C93">
        <v>25850.3</v>
      </c>
    </row>
    <row r="94" spans="2:3">
      <c r="B94" s="74">
        <v>42362</v>
      </c>
      <c r="C94">
        <v>25838.71</v>
      </c>
    </row>
    <row r="95" spans="2:3">
      <c r="B95" s="74">
        <v>42366</v>
      </c>
      <c r="C95">
        <v>26034.13</v>
      </c>
    </row>
    <row r="96" spans="2:3">
      <c r="B96" s="74">
        <v>42367</v>
      </c>
      <c r="C96">
        <v>26079.48</v>
      </c>
    </row>
    <row r="97" spans="2:3">
      <c r="B97" s="74">
        <v>42368</v>
      </c>
      <c r="C97">
        <v>25960.03</v>
      </c>
    </row>
    <row r="98" spans="2:3">
      <c r="B98" s="74">
        <v>42369</v>
      </c>
      <c r="C98">
        <v>26117.54</v>
      </c>
    </row>
    <row r="99" spans="2:3">
      <c r="B99" s="74">
        <v>42370</v>
      </c>
      <c r="C99">
        <v>26160.9</v>
      </c>
    </row>
    <row r="100" spans="2:3">
      <c r="B100" s="74">
        <v>42373</v>
      </c>
      <c r="C100">
        <v>25623.35</v>
      </c>
    </row>
    <row r="101" spans="2:3">
      <c r="B101" s="74">
        <v>42374</v>
      </c>
      <c r="C101">
        <v>25580.34</v>
      </c>
    </row>
    <row r="102" spans="2:3">
      <c r="B102" s="74">
        <v>42375</v>
      </c>
      <c r="C102">
        <v>25406.33</v>
      </c>
    </row>
    <row r="103" spans="2:3">
      <c r="B103" s="74">
        <v>42376</v>
      </c>
      <c r="C103">
        <v>24851.83</v>
      </c>
    </row>
    <row r="104" spans="2:3">
      <c r="B104" s="74">
        <v>42377</v>
      </c>
      <c r="C104">
        <v>24934.33</v>
      </c>
    </row>
    <row r="105" spans="2:3">
      <c r="B105" s="74">
        <v>42380</v>
      </c>
      <c r="C105">
        <v>24825.040000000001</v>
      </c>
    </row>
    <row r="106" spans="2:3">
      <c r="B106" s="74">
        <v>42381</v>
      </c>
      <c r="C106">
        <v>24682.03</v>
      </c>
    </row>
    <row r="107" spans="2:3">
      <c r="B107" s="74">
        <v>42382</v>
      </c>
      <c r="C107">
        <v>24854.11</v>
      </c>
    </row>
    <row r="108" spans="2:3">
      <c r="B108" s="74">
        <v>42383</v>
      </c>
      <c r="C108">
        <v>24772.97</v>
      </c>
    </row>
    <row r="109" spans="2:3">
      <c r="B109" s="74">
        <v>42384</v>
      </c>
      <c r="C109">
        <v>24455.040000000001</v>
      </c>
    </row>
    <row r="110" spans="2:3">
      <c r="B110" s="74">
        <v>42387</v>
      </c>
      <c r="C110">
        <v>24188.37</v>
      </c>
    </row>
    <row r="111" spans="2:3">
      <c r="B111" s="74">
        <v>42388</v>
      </c>
      <c r="C111">
        <v>24479.84</v>
      </c>
    </row>
    <row r="112" spans="2:3">
      <c r="B112" s="74">
        <v>42389</v>
      </c>
      <c r="C112">
        <v>24062.04</v>
      </c>
    </row>
    <row r="113" spans="2:3">
      <c r="B113" s="74">
        <v>42390</v>
      </c>
      <c r="C113">
        <v>23962.21</v>
      </c>
    </row>
    <row r="114" spans="2:3">
      <c r="B114" s="74">
        <v>42391</v>
      </c>
      <c r="C114">
        <v>24435.66</v>
      </c>
    </row>
    <row r="115" spans="2:3">
      <c r="B115" s="74">
        <v>42394</v>
      </c>
      <c r="C115">
        <v>24485.95</v>
      </c>
    </row>
    <row r="116" spans="2:3">
      <c r="B116" s="74">
        <v>42396</v>
      </c>
      <c r="C116">
        <v>24492.39</v>
      </c>
    </row>
    <row r="117" spans="2:3">
      <c r="B117" s="74">
        <v>42397</v>
      </c>
      <c r="C117">
        <v>24469.57</v>
      </c>
    </row>
    <row r="118" spans="2:3">
      <c r="B118" s="74">
        <v>42398</v>
      </c>
      <c r="C118">
        <v>24870.69</v>
      </c>
    </row>
    <row r="119" spans="2:3">
      <c r="B119" s="74">
        <v>42401</v>
      </c>
      <c r="C119">
        <v>24824.83</v>
      </c>
    </row>
    <row r="120" spans="2:3">
      <c r="B120" s="74">
        <v>42402</v>
      </c>
      <c r="C120">
        <v>24539</v>
      </c>
    </row>
    <row r="121" spans="2:3">
      <c r="B121" s="74">
        <v>42403</v>
      </c>
      <c r="C121">
        <v>24223.32</v>
      </c>
    </row>
    <row r="122" spans="2:3">
      <c r="B122" s="74">
        <v>42404</v>
      </c>
      <c r="C122">
        <v>24338.43</v>
      </c>
    </row>
    <row r="123" spans="2:3">
      <c r="B123" s="74">
        <v>42405</v>
      </c>
      <c r="C123">
        <v>24616.97</v>
      </c>
    </row>
    <row r="124" spans="2:3">
      <c r="B124" s="74">
        <v>42408</v>
      </c>
      <c r="C124">
        <v>24287.42</v>
      </c>
    </row>
    <row r="125" spans="2:3">
      <c r="B125" s="74">
        <v>42409</v>
      </c>
      <c r="C125">
        <v>24020.98</v>
      </c>
    </row>
    <row r="126" spans="2:3">
      <c r="B126" s="74">
        <v>42410</v>
      </c>
      <c r="C126">
        <v>23758.9</v>
      </c>
    </row>
    <row r="127" spans="2:3">
      <c r="B127" s="74">
        <v>42411</v>
      </c>
      <c r="C127">
        <v>22951.83</v>
      </c>
    </row>
    <row r="128" spans="2:3">
      <c r="B128" s="74">
        <v>42412</v>
      </c>
      <c r="C128">
        <v>22986.12</v>
      </c>
    </row>
    <row r="129" spans="2:3">
      <c r="B129" s="74">
        <v>42415</v>
      </c>
      <c r="C129">
        <v>23554.12</v>
      </c>
    </row>
    <row r="130" spans="2:3">
      <c r="B130" s="74">
        <v>42416</v>
      </c>
      <c r="C130">
        <v>23191.97</v>
      </c>
    </row>
    <row r="131" spans="2:3">
      <c r="B131" s="74">
        <v>42417</v>
      </c>
      <c r="C131">
        <v>23381.87</v>
      </c>
    </row>
    <row r="132" spans="2:3">
      <c r="B132" s="74">
        <v>42418</v>
      </c>
      <c r="C132">
        <v>23649.22</v>
      </c>
    </row>
    <row r="133" spans="2:3">
      <c r="B133" s="74">
        <v>42419</v>
      </c>
      <c r="C133">
        <v>23709.15</v>
      </c>
    </row>
    <row r="134" spans="2:3">
      <c r="B134" s="74">
        <v>42422</v>
      </c>
      <c r="C134">
        <v>23788.79</v>
      </c>
    </row>
    <row r="135" spans="2:3">
      <c r="B135" s="74">
        <v>42423</v>
      </c>
      <c r="C135">
        <v>23410.18</v>
      </c>
    </row>
    <row r="136" spans="2:3">
      <c r="B136" s="74">
        <v>42424</v>
      </c>
      <c r="C136">
        <v>23088.93</v>
      </c>
    </row>
    <row r="137" spans="2:3">
      <c r="B137" s="74">
        <v>42425</v>
      </c>
      <c r="C137">
        <v>22976</v>
      </c>
    </row>
    <row r="138" spans="2:3">
      <c r="B138" s="74">
        <v>42426</v>
      </c>
      <c r="C138">
        <v>23154.3</v>
      </c>
    </row>
    <row r="139" spans="2:3">
      <c r="B139" s="74">
        <v>42429</v>
      </c>
      <c r="C139">
        <v>23002</v>
      </c>
    </row>
    <row r="140" spans="2:3">
      <c r="B140" s="74">
        <v>42430</v>
      </c>
      <c r="C140">
        <v>23779.35</v>
      </c>
    </row>
    <row r="141" spans="2:3">
      <c r="B141" s="74">
        <v>42431</v>
      </c>
      <c r="C141">
        <v>24242.98</v>
      </c>
    </row>
    <row r="142" spans="2:3">
      <c r="B142" s="74">
        <v>42432</v>
      </c>
      <c r="C142">
        <v>24606.99</v>
      </c>
    </row>
    <row r="143" spans="2:3">
      <c r="B143" s="74">
        <v>42433</v>
      </c>
      <c r="C143">
        <v>24646.48</v>
      </c>
    </row>
    <row r="144" spans="2:3">
      <c r="B144" s="74">
        <v>42437</v>
      </c>
      <c r="C144">
        <v>24659.23</v>
      </c>
    </row>
    <row r="145" spans="2:3">
      <c r="B145" s="74">
        <v>42438</v>
      </c>
      <c r="C145">
        <v>24793.96</v>
      </c>
    </row>
    <row r="146" spans="2:3">
      <c r="B146" s="74">
        <v>42439</v>
      </c>
      <c r="C146">
        <v>24623.34</v>
      </c>
    </row>
    <row r="147" spans="2:3">
      <c r="B147" s="74">
        <v>42440</v>
      </c>
      <c r="C147">
        <v>24717.99</v>
      </c>
    </row>
    <row r="148" spans="2:3">
      <c r="B148" s="74">
        <v>42443</v>
      </c>
      <c r="C148">
        <v>24804.28</v>
      </c>
    </row>
    <row r="149" spans="2:3">
      <c r="B149" s="74">
        <v>42444</v>
      </c>
      <c r="C149">
        <v>24551.17</v>
      </c>
    </row>
    <row r="150" spans="2:3">
      <c r="B150" s="74">
        <v>42445</v>
      </c>
      <c r="C150">
        <v>24682.48</v>
      </c>
    </row>
    <row r="151" spans="2:3">
      <c r="B151" s="74">
        <v>42446</v>
      </c>
      <c r="C151">
        <v>24677.37</v>
      </c>
    </row>
    <row r="152" spans="2:3">
      <c r="B152" s="74">
        <v>42447</v>
      </c>
      <c r="C152">
        <v>24952.74</v>
      </c>
    </row>
    <row r="153" spans="2:3">
      <c r="B153" s="74">
        <v>42450</v>
      </c>
      <c r="C153">
        <v>25285.37</v>
      </c>
    </row>
    <row r="154" spans="2:3">
      <c r="B154" s="74">
        <v>42451</v>
      </c>
      <c r="C154">
        <v>25330.49</v>
      </c>
    </row>
    <row r="155" spans="2:3">
      <c r="B155" s="74">
        <v>42452</v>
      </c>
      <c r="C155">
        <v>25337.56</v>
      </c>
    </row>
    <row r="156" spans="2:3">
      <c r="B156" s="74">
        <v>42457</v>
      </c>
      <c r="C156">
        <v>24966.400000000001</v>
      </c>
    </row>
    <row r="157" spans="2:3">
      <c r="B157" s="74">
        <v>42458</v>
      </c>
      <c r="C157">
        <v>24900.46</v>
      </c>
    </row>
    <row r="158" spans="2:3">
      <c r="B158" s="74">
        <v>42459</v>
      </c>
      <c r="C158">
        <v>25338.58</v>
      </c>
    </row>
    <row r="159" spans="2:3">
      <c r="B159" s="74">
        <v>42460</v>
      </c>
      <c r="C159">
        <v>25341.86</v>
      </c>
    </row>
    <row r="160" spans="2:3">
      <c r="B160" s="74">
        <v>42461</v>
      </c>
      <c r="C160">
        <v>25269.64</v>
      </c>
    </row>
    <row r="161" spans="2:3">
      <c r="B161" s="74">
        <v>42464</v>
      </c>
      <c r="C161">
        <v>25399.65</v>
      </c>
    </row>
    <row r="162" spans="2:3">
      <c r="B162" s="74">
        <v>42465</v>
      </c>
      <c r="C162">
        <v>24883.59</v>
      </c>
    </row>
    <row r="163" spans="2:3">
      <c r="B163" s="74">
        <v>42466</v>
      </c>
      <c r="C163">
        <v>24900.63</v>
      </c>
    </row>
    <row r="164" spans="2:3">
      <c r="B164" s="74">
        <v>42467</v>
      </c>
      <c r="C164">
        <v>24685.42</v>
      </c>
    </row>
    <row r="165" spans="2:3">
      <c r="B165" s="74">
        <v>42468</v>
      </c>
      <c r="C165">
        <v>24673.84</v>
      </c>
    </row>
    <row r="166" spans="2:3">
      <c r="B166" s="74">
        <v>42471</v>
      </c>
      <c r="C166">
        <v>25022.16</v>
      </c>
    </row>
    <row r="167" spans="2:3">
      <c r="B167" s="74">
        <v>42472</v>
      </c>
      <c r="C167">
        <v>25145.59</v>
      </c>
    </row>
    <row r="168" spans="2:3">
      <c r="B168" s="74">
        <v>42473</v>
      </c>
      <c r="C168">
        <v>25626.75</v>
      </c>
    </row>
    <row r="169" spans="2:3">
      <c r="B169" s="74">
        <v>42478</v>
      </c>
      <c r="C169">
        <v>25816.36</v>
      </c>
    </row>
    <row r="170" spans="2:3">
      <c r="B170" s="74">
        <v>42480</v>
      </c>
      <c r="C170">
        <v>25844.18</v>
      </c>
    </row>
    <row r="171" spans="2:3">
      <c r="B171" s="74">
        <v>42481</v>
      </c>
      <c r="C171">
        <v>25880.38</v>
      </c>
    </row>
    <row r="172" spans="2:3">
      <c r="B172" s="74">
        <v>42482</v>
      </c>
      <c r="C172">
        <v>25838.14</v>
      </c>
    </row>
    <row r="173" spans="2:3">
      <c r="B173" s="74">
        <v>42485</v>
      </c>
      <c r="C173">
        <v>25678.93</v>
      </c>
    </row>
    <row r="174" spans="2:3">
      <c r="B174" s="74">
        <v>42486</v>
      </c>
      <c r="C174">
        <v>26007.3</v>
      </c>
    </row>
    <row r="175" spans="2:3">
      <c r="B175" s="74">
        <v>42487</v>
      </c>
      <c r="C175">
        <v>26064.12</v>
      </c>
    </row>
    <row r="176" spans="2:3">
      <c r="B176" s="74">
        <v>42488</v>
      </c>
      <c r="C176">
        <v>25603.1</v>
      </c>
    </row>
    <row r="177" spans="2:3">
      <c r="B177" s="74">
        <v>42489</v>
      </c>
      <c r="C177">
        <v>25606.62</v>
      </c>
    </row>
    <row r="178" spans="2:3">
      <c r="B178" s="74">
        <v>42492</v>
      </c>
      <c r="C178">
        <v>25436.97</v>
      </c>
    </row>
    <row r="179" spans="2:3">
      <c r="B179" s="74">
        <v>42493</v>
      </c>
      <c r="C179">
        <v>25229.7</v>
      </c>
    </row>
    <row r="180" spans="2:3">
      <c r="B180" s="74">
        <v>42494</v>
      </c>
      <c r="C180">
        <v>25101.73</v>
      </c>
    </row>
    <row r="181" spans="2:3">
      <c r="B181" s="74">
        <v>42495</v>
      </c>
      <c r="C181">
        <v>25262.21</v>
      </c>
    </row>
    <row r="182" spans="2:3">
      <c r="B182" s="74">
        <v>42496</v>
      </c>
      <c r="C182">
        <v>25228.5</v>
      </c>
    </row>
    <row r="183" spans="2:3">
      <c r="B183" s="74">
        <v>42499</v>
      </c>
      <c r="C183">
        <v>25688.86</v>
      </c>
    </row>
    <row r="184" spans="2:3">
      <c r="B184" s="74">
        <v>42500</v>
      </c>
      <c r="C184">
        <v>25772.53</v>
      </c>
    </row>
    <row r="185" spans="2:3">
      <c r="B185" s="74">
        <v>42501</v>
      </c>
      <c r="C185">
        <v>25597.02</v>
      </c>
    </row>
    <row r="186" spans="2:3">
      <c r="B186" s="74">
        <v>42502</v>
      </c>
      <c r="C186">
        <v>25790.22</v>
      </c>
    </row>
    <row r="187" spans="2:3">
      <c r="B187" s="74">
        <v>42503</v>
      </c>
      <c r="C187">
        <v>25489.57</v>
      </c>
    </row>
    <row r="188" spans="2:3">
      <c r="B188" s="74">
        <v>42506</v>
      </c>
      <c r="C188">
        <v>25653.23</v>
      </c>
    </row>
    <row r="189" spans="2:3">
      <c r="B189" s="74">
        <v>42507</v>
      </c>
      <c r="C189">
        <v>25773.61</v>
      </c>
    </row>
    <row r="190" spans="2:3">
      <c r="B190" s="74">
        <v>42508</v>
      </c>
      <c r="C190">
        <v>25704.61</v>
      </c>
    </row>
    <row r="191" spans="2:3">
      <c r="B191" s="74">
        <v>42509</v>
      </c>
      <c r="C191">
        <v>25399.72</v>
      </c>
    </row>
    <row r="192" spans="2:3">
      <c r="B192" s="74">
        <v>42510</v>
      </c>
      <c r="C192">
        <v>25301.9</v>
      </c>
    </row>
    <row r="193" spans="2:3">
      <c r="B193" s="74">
        <v>42513</v>
      </c>
      <c r="C193">
        <v>25230.36</v>
      </c>
    </row>
    <row r="194" spans="2:3">
      <c r="B194" s="74">
        <v>42514</v>
      </c>
      <c r="C194">
        <v>25305.47</v>
      </c>
    </row>
    <row r="195" spans="2:3">
      <c r="B195" s="74">
        <v>42515</v>
      </c>
      <c r="C195">
        <v>25881.17</v>
      </c>
    </row>
    <row r="196" spans="2:3">
      <c r="B196" s="74">
        <v>42516</v>
      </c>
      <c r="C196">
        <v>26366.68</v>
      </c>
    </row>
    <row r="197" spans="2:3">
      <c r="B197" s="74">
        <v>42517</v>
      </c>
      <c r="C197">
        <v>26653.599999999999</v>
      </c>
    </row>
    <row r="198" spans="2:3">
      <c r="B198" s="74">
        <v>42520</v>
      </c>
      <c r="C198">
        <v>26725.599999999999</v>
      </c>
    </row>
    <row r="199" spans="2:3">
      <c r="B199" s="74">
        <v>42521</v>
      </c>
      <c r="C199">
        <v>26667.96</v>
      </c>
    </row>
    <row r="200" spans="2:3">
      <c r="B200" s="74">
        <v>42522</v>
      </c>
      <c r="C200">
        <v>26713.93</v>
      </c>
    </row>
    <row r="201" spans="2:3">
      <c r="B201" s="74">
        <v>42523</v>
      </c>
      <c r="C201">
        <v>26843.14</v>
      </c>
    </row>
    <row r="202" spans="2:3">
      <c r="B202" s="74">
        <v>42524</v>
      </c>
      <c r="C202">
        <v>26843.03</v>
      </c>
    </row>
    <row r="203" spans="2:3">
      <c r="B203" s="74">
        <v>42527</v>
      </c>
      <c r="C203">
        <v>26777.45</v>
      </c>
    </row>
    <row r="204" spans="2:3">
      <c r="B204" s="74">
        <v>42528</v>
      </c>
      <c r="C204">
        <v>27009.67</v>
      </c>
    </row>
    <row r="205" spans="2:3">
      <c r="B205" s="74">
        <v>42529</v>
      </c>
      <c r="C205">
        <v>27020.66</v>
      </c>
    </row>
    <row r="206" spans="2:3">
      <c r="B206" s="74">
        <v>42530</v>
      </c>
      <c r="C206">
        <v>26763.46</v>
      </c>
    </row>
    <row r="207" spans="2:3">
      <c r="B207" s="74">
        <v>42531</v>
      </c>
      <c r="C207">
        <v>26635.75</v>
      </c>
    </row>
    <row r="208" spans="2:3">
      <c r="B208" s="74">
        <v>42534</v>
      </c>
      <c r="C208">
        <v>26396.77</v>
      </c>
    </row>
    <row r="209" spans="2:3">
      <c r="B209" s="74">
        <v>42535</v>
      </c>
      <c r="C209">
        <v>26395.71</v>
      </c>
    </row>
    <row r="210" spans="2:3">
      <c r="B210" s="74">
        <v>42536</v>
      </c>
      <c r="C210">
        <v>26726.34</v>
      </c>
    </row>
    <row r="211" spans="2:3">
      <c r="B211" s="74">
        <v>42537</v>
      </c>
      <c r="C211">
        <v>26525.46</v>
      </c>
    </row>
    <row r="212" spans="2:3">
      <c r="B212" s="74">
        <v>42538</v>
      </c>
      <c r="C212">
        <v>26625.91</v>
      </c>
    </row>
    <row r="213" spans="2:3">
      <c r="B213" s="74">
        <v>42541</v>
      </c>
      <c r="C213">
        <v>26866.92</v>
      </c>
    </row>
    <row r="214" spans="2:3">
      <c r="B214" s="74">
        <v>42542</v>
      </c>
      <c r="C214">
        <v>26812.78</v>
      </c>
    </row>
    <row r="215" spans="2:3">
      <c r="B215" s="74">
        <v>42543</v>
      </c>
      <c r="C215">
        <v>26765.65</v>
      </c>
    </row>
    <row r="216" spans="2:3">
      <c r="B216" s="74">
        <v>42544</v>
      </c>
      <c r="C216">
        <v>27002.22</v>
      </c>
    </row>
    <row r="217" spans="2:3">
      <c r="B217" s="74">
        <v>42545</v>
      </c>
      <c r="C217">
        <v>26397.71</v>
      </c>
    </row>
    <row r="218" spans="2:3">
      <c r="B218" s="74">
        <v>42548</v>
      </c>
      <c r="C218">
        <v>26402.959999999999</v>
      </c>
    </row>
    <row r="219" spans="2:3">
      <c r="B219" s="74">
        <v>42549</v>
      </c>
      <c r="C219">
        <v>26524.55</v>
      </c>
    </row>
    <row r="220" spans="2:3">
      <c r="B220" s="74">
        <v>42550</v>
      </c>
      <c r="C220">
        <v>26740.39</v>
      </c>
    </row>
    <row r="221" spans="2:3">
      <c r="B221" s="74">
        <v>42551</v>
      </c>
      <c r="C221">
        <v>26999.72</v>
      </c>
    </row>
    <row r="222" spans="2:3">
      <c r="B222" s="74">
        <v>42552</v>
      </c>
      <c r="C222">
        <v>27144.91</v>
      </c>
    </row>
    <row r="223" spans="2:3">
      <c r="B223" s="74">
        <v>42555</v>
      </c>
      <c r="C223">
        <v>27278.76</v>
      </c>
    </row>
    <row r="224" spans="2:3">
      <c r="B224" s="74">
        <v>42556</v>
      </c>
      <c r="C224">
        <v>27166.87</v>
      </c>
    </row>
    <row r="225" spans="2:3">
      <c r="B225" s="74">
        <v>42558</v>
      </c>
      <c r="C225">
        <v>27201.49</v>
      </c>
    </row>
    <row r="226" spans="2:3">
      <c r="B226" s="74">
        <v>42559</v>
      </c>
      <c r="C226">
        <v>27126.9</v>
      </c>
    </row>
    <row r="227" spans="2:3">
      <c r="B227" s="74">
        <v>42562</v>
      </c>
      <c r="C227">
        <v>27626.69</v>
      </c>
    </row>
    <row r="228" spans="2:3">
      <c r="B228" s="74">
        <v>42563</v>
      </c>
      <c r="C228">
        <v>27808.14</v>
      </c>
    </row>
    <row r="229" spans="2:3">
      <c r="B229" s="74">
        <v>42564</v>
      </c>
      <c r="C229">
        <v>27815.18</v>
      </c>
    </row>
    <row r="230" spans="2:3">
      <c r="B230" s="74">
        <v>42565</v>
      </c>
      <c r="C230">
        <v>27942.11</v>
      </c>
    </row>
    <row r="231" spans="2:3">
      <c r="B231" s="74">
        <v>42566</v>
      </c>
      <c r="C231">
        <v>27836.5</v>
      </c>
    </row>
    <row r="232" spans="2:3">
      <c r="B232" s="74">
        <v>42569</v>
      </c>
      <c r="C232">
        <v>27746.66</v>
      </c>
    </row>
    <row r="233" spans="2:3">
      <c r="B233" s="74">
        <v>42570</v>
      </c>
      <c r="C233">
        <v>27787.62</v>
      </c>
    </row>
    <row r="234" spans="2:3">
      <c r="B234" s="74">
        <v>42571</v>
      </c>
      <c r="C234">
        <v>27915.89</v>
      </c>
    </row>
    <row r="235" spans="2:3">
      <c r="B235" s="74">
        <v>42572</v>
      </c>
      <c r="C235">
        <v>27710.52</v>
      </c>
    </row>
    <row r="236" spans="2:3">
      <c r="B236" s="74">
        <v>42573</v>
      </c>
      <c r="C236">
        <v>27803.24</v>
      </c>
    </row>
    <row r="237" spans="2:3">
      <c r="B237" s="74">
        <v>42576</v>
      </c>
      <c r="C237">
        <v>28095.34</v>
      </c>
    </row>
    <row r="238" spans="2:3">
      <c r="B238" s="74">
        <v>42577</v>
      </c>
      <c r="C238">
        <v>27976.52</v>
      </c>
    </row>
    <row r="239" spans="2:3">
      <c r="B239" s="74">
        <v>42578</v>
      </c>
      <c r="C239">
        <v>28024.33</v>
      </c>
    </row>
    <row r="240" spans="2:3">
      <c r="B240" s="74">
        <v>42579</v>
      </c>
      <c r="C240">
        <v>28208.62</v>
      </c>
    </row>
    <row r="241" spans="2:3">
      <c r="B241" s="74">
        <v>42580</v>
      </c>
      <c r="C241">
        <v>28051.86</v>
      </c>
    </row>
    <row r="242" spans="2:3">
      <c r="B242" s="74">
        <v>42583</v>
      </c>
      <c r="C242">
        <v>28003.119999999999</v>
      </c>
    </row>
    <row r="243" spans="2:3">
      <c r="B243" s="74">
        <v>42584</v>
      </c>
      <c r="C243">
        <v>27981.71</v>
      </c>
    </row>
    <row r="244" spans="2:3">
      <c r="B244" s="74">
        <v>42585</v>
      </c>
      <c r="C244">
        <v>27697.51</v>
      </c>
    </row>
    <row r="245" spans="2:3">
      <c r="B245" s="74">
        <v>42586</v>
      </c>
      <c r="C245">
        <v>27714.37</v>
      </c>
    </row>
    <row r="246" spans="2:3">
      <c r="B246" s="74">
        <v>42587</v>
      </c>
      <c r="C246">
        <v>28078.35</v>
      </c>
    </row>
    <row r="247" spans="2:3">
      <c r="B247" s="74">
        <v>42590</v>
      </c>
      <c r="C247">
        <v>28182.57</v>
      </c>
    </row>
    <row r="248" spans="2:3">
      <c r="B248" s="74">
        <v>42591</v>
      </c>
      <c r="C248">
        <v>28085.16</v>
      </c>
    </row>
    <row r="249" spans="2:3">
      <c r="B249" s="74">
        <v>42592</v>
      </c>
      <c r="C249">
        <v>27774.880000000001</v>
      </c>
    </row>
    <row r="250" spans="2:3">
      <c r="B250" s="74">
        <v>42593</v>
      </c>
      <c r="C250">
        <v>27859.599999999999</v>
      </c>
    </row>
    <row r="251" spans="2:3">
      <c r="B251" s="74">
        <v>42594</v>
      </c>
      <c r="C251">
        <v>28152.400000000001</v>
      </c>
    </row>
    <row r="252" spans="2:3">
      <c r="B252" s="74">
        <v>42598</v>
      </c>
      <c r="C252">
        <v>28064.61</v>
      </c>
    </row>
    <row r="253" spans="2:3">
      <c r="B253" s="74">
        <v>42599</v>
      </c>
      <c r="C253">
        <v>28005.37</v>
      </c>
    </row>
    <row r="254" spans="2:3">
      <c r="B254" s="74">
        <v>42600</v>
      </c>
      <c r="C254">
        <v>28123.439999999999</v>
      </c>
    </row>
    <row r="255" spans="2:3">
      <c r="B255" s="74">
        <v>42601</v>
      </c>
      <c r="C255">
        <v>28077</v>
      </c>
    </row>
    <row r="256" spans="2:3">
      <c r="B256" s="74">
        <v>42604</v>
      </c>
      <c r="C256">
        <v>27985.54</v>
      </c>
    </row>
    <row r="257" spans="2:3">
      <c r="B257" s="74">
        <v>42605</v>
      </c>
      <c r="C257">
        <v>27990.21</v>
      </c>
    </row>
    <row r="258" spans="2:3">
      <c r="B258" s="74">
        <v>42606</v>
      </c>
      <c r="C258">
        <v>28059.94</v>
      </c>
    </row>
    <row r="259" spans="2:3">
      <c r="B259" s="74">
        <v>42607</v>
      </c>
      <c r="C259">
        <v>27835.91</v>
      </c>
    </row>
    <row r="260" spans="2:3">
      <c r="B260" s="74">
        <v>42608</v>
      </c>
      <c r="C260">
        <v>27782.25</v>
      </c>
    </row>
    <row r="261" spans="2:3">
      <c r="B261" s="74">
        <v>42611</v>
      </c>
      <c r="C261">
        <v>27902.66</v>
      </c>
    </row>
    <row r="262" spans="2:3">
      <c r="B262" s="74">
        <v>42612</v>
      </c>
      <c r="C262">
        <v>28343.01</v>
      </c>
    </row>
    <row r="263" spans="2:3">
      <c r="B263" s="74">
        <v>42613</v>
      </c>
      <c r="C263">
        <v>28452.17</v>
      </c>
    </row>
    <row r="264" spans="2:3">
      <c r="B264" s="74">
        <v>42614</v>
      </c>
      <c r="C264">
        <v>28423.48</v>
      </c>
    </row>
    <row r="265" spans="2:3">
      <c r="B265" s="74">
        <v>42615</v>
      </c>
      <c r="C265">
        <v>28532.11</v>
      </c>
    </row>
    <row r="266" spans="2:3">
      <c r="B266" s="74">
        <v>42619</v>
      </c>
      <c r="C266">
        <v>28978.02</v>
      </c>
    </row>
    <row r="267" spans="2:3">
      <c r="B267" s="74">
        <v>42620</v>
      </c>
      <c r="C267">
        <v>28926.36</v>
      </c>
    </row>
    <row r="268" spans="2:3">
      <c r="B268" s="74">
        <v>42621</v>
      </c>
      <c r="C268">
        <v>29045.279999999999</v>
      </c>
    </row>
    <row r="269" spans="2:3">
      <c r="B269" s="74">
        <v>42622</v>
      </c>
      <c r="C269">
        <v>28797.25</v>
      </c>
    </row>
    <row r="270" spans="2:3">
      <c r="B270" s="74">
        <v>42625</v>
      </c>
      <c r="C270">
        <v>28353.54</v>
      </c>
    </row>
    <row r="271" spans="2:3">
      <c r="B271" s="74">
        <v>42627</v>
      </c>
      <c r="C271">
        <v>28372.23</v>
      </c>
    </row>
    <row r="272" spans="2:3">
      <c r="B272" s="74">
        <v>42628</v>
      </c>
      <c r="C272">
        <v>28412.89</v>
      </c>
    </row>
    <row r="273" spans="2:3">
      <c r="B273" s="74">
        <v>42629</v>
      </c>
      <c r="C273">
        <v>28599.03</v>
      </c>
    </row>
    <row r="274" spans="2:3">
      <c r="B274" s="74">
        <v>42632</v>
      </c>
      <c r="C274">
        <v>28634.5</v>
      </c>
    </row>
    <row r="275" spans="2:3">
      <c r="B275" s="74">
        <v>42633</v>
      </c>
      <c r="C275">
        <v>28523.200000000001</v>
      </c>
    </row>
    <row r="276" spans="2:3">
      <c r="B276" s="74">
        <v>42634</v>
      </c>
      <c r="C276">
        <v>28507.42</v>
      </c>
    </row>
    <row r="277" spans="2:3">
      <c r="B277" s="74">
        <v>42635</v>
      </c>
      <c r="C277">
        <v>28773.13</v>
      </c>
    </row>
    <row r="278" spans="2:3">
      <c r="B278" s="74">
        <v>42636</v>
      </c>
      <c r="C278">
        <v>28668.22</v>
      </c>
    </row>
    <row r="279" spans="2:3">
      <c r="B279" s="74">
        <v>42639</v>
      </c>
      <c r="C279">
        <v>28294.28</v>
      </c>
    </row>
    <row r="280" spans="2:3">
      <c r="B280" s="74">
        <v>42640</v>
      </c>
      <c r="C280">
        <v>28223.7</v>
      </c>
    </row>
    <row r="281" spans="2:3">
      <c r="B281" s="74">
        <v>42641</v>
      </c>
      <c r="C281">
        <v>28292.81</v>
      </c>
    </row>
    <row r="282" spans="2:3">
      <c r="B282" s="74">
        <v>42642</v>
      </c>
      <c r="C282">
        <v>27827.53</v>
      </c>
    </row>
    <row r="283" spans="2:3">
      <c r="B283" s="74">
        <v>42643</v>
      </c>
      <c r="C283">
        <v>27865.96</v>
      </c>
    </row>
    <row r="284" spans="2:3">
      <c r="B284" s="74">
        <v>42646</v>
      </c>
      <c r="C284">
        <v>28243.29</v>
      </c>
    </row>
    <row r="285" spans="2:3">
      <c r="B285" s="74">
        <v>42647</v>
      </c>
      <c r="C285">
        <v>28334.55</v>
      </c>
    </row>
    <row r="286" spans="2:3">
      <c r="B286" s="74">
        <v>42648</v>
      </c>
      <c r="C286">
        <v>28220.98</v>
      </c>
    </row>
    <row r="287" spans="2:3">
      <c r="B287" s="74">
        <v>42649</v>
      </c>
      <c r="C287">
        <v>28106.21</v>
      </c>
    </row>
    <row r="288" spans="2:3">
      <c r="B288" s="74">
        <v>42650</v>
      </c>
      <c r="C288">
        <v>28061.14</v>
      </c>
    </row>
    <row r="289" spans="2:3">
      <c r="B289" s="74">
        <v>42653</v>
      </c>
      <c r="C289">
        <v>28082.34</v>
      </c>
    </row>
    <row r="290" spans="2:3">
      <c r="B290" s="74">
        <v>42656</v>
      </c>
      <c r="C290">
        <v>27643.11</v>
      </c>
    </row>
    <row r="291" spans="2:3">
      <c r="B291" s="74">
        <v>42657</v>
      </c>
      <c r="C291">
        <v>27673.599999999999</v>
      </c>
    </row>
    <row r="292" spans="2:3">
      <c r="B292" s="74">
        <v>42660</v>
      </c>
      <c r="C292">
        <v>27529.97</v>
      </c>
    </row>
    <row r="293" spans="2:3">
      <c r="B293" s="74">
        <v>42661</v>
      </c>
      <c r="C293">
        <v>28050.880000000001</v>
      </c>
    </row>
    <row r="294" spans="2:3">
      <c r="B294" s="74">
        <v>42662</v>
      </c>
      <c r="C294">
        <v>27984.37</v>
      </c>
    </row>
    <row r="295" spans="2:3">
      <c r="B295" s="74">
        <v>42663</v>
      </c>
      <c r="C295">
        <v>28129.84</v>
      </c>
    </row>
    <row r="296" spans="2:3">
      <c r="B296" s="74">
        <v>42664</v>
      </c>
      <c r="C296">
        <v>28077.18</v>
      </c>
    </row>
    <row r="297" spans="2:3">
      <c r="B297" s="74">
        <v>42667</v>
      </c>
      <c r="C297">
        <v>28179.08</v>
      </c>
    </row>
    <row r="298" spans="2:3">
      <c r="B298" s="74">
        <v>42668</v>
      </c>
      <c r="C298">
        <v>28091.42</v>
      </c>
    </row>
    <row r="299" spans="2:3">
      <c r="B299" s="74">
        <v>42669</v>
      </c>
      <c r="C299">
        <v>27836.51</v>
      </c>
    </row>
    <row r="300" spans="2:3">
      <c r="B300" s="74">
        <v>42670</v>
      </c>
      <c r="C300">
        <v>27915.9</v>
      </c>
    </row>
    <row r="301" spans="2:3">
      <c r="B301" s="74">
        <v>42671</v>
      </c>
      <c r="C301">
        <v>27941.51</v>
      </c>
    </row>
    <row r="302" spans="2:3">
      <c r="B302" s="74">
        <v>42673</v>
      </c>
      <c r="C302">
        <v>27930.21</v>
      </c>
    </row>
    <row r="303" spans="2:3">
      <c r="B303" s="74">
        <v>42675</v>
      </c>
      <c r="C303">
        <v>27876.61</v>
      </c>
    </row>
    <row r="304" spans="2:3">
      <c r="B304" s="74">
        <v>42676</v>
      </c>
      <c r="C304">
        <v>27527.22</v>
      </c>
    </row>
    <row r="305" spans="2:3">
      <c r="B305" s="74">
        <v>42677</v>
      </c>
      <c r="C305">
        <v>27430.28</v>
      </c>
    </row>
    <row r="306" spans="2:3">
      <c r="B306" s="74">
        <v>42678</v>
      </c>
      <c r="C306">
        <v>27274.15</v>
      </c>
    </row>
    <row r="307" spans="2:3">
      <c r="B307" s="74">
        <v>42681</v>
      </c>
      <c r="C307">
        <v>27458.99</v>
      </c>
    </row>
    <row r="308" spans="2:3">
      <c r="B308" s="74">
        <v>42682</v>
      </c>
      <c r="C308">
        <v>27591.14</v>
      </c>
    </row>
    <row r="309" spans="2:3">
      <c r="B309" s="74">
        <v>42683</v>
      </c>
      <c r="C309">
        <v>27252.53</v>
      </c>
    </row>
    <row r="310" spans="2:3">
      <c r="B310" s="74">
        <v>42684</v>
      </c>
      <c r="C310">
        <v>27517.68</v>
      </c>
    </row>
    <row r="311" spans="2:3">
      <c r="B311" s="74">
        <v>42685</v>
      </c>
      <c r="C311">
        <v>26818.82</v>
      </c>
    </row>
    <row r="312" spans="2:3">
      <c r="B312" s="74">
        <v>42689</v>
      </c>
      <c r="C312">
        <v>26304.63</v>
      </c>
    </row>
    <row r="313" spans="2:3">
      <c r="B313" s="74">
        <v>42690</v>
      </c>
      <c r="C313">
        <v>26298.69</v>
      </c>
    </row>
    <row r="314" spans="2:3">
      <c r="B314" s="74">
        <v>42691</v>
      </c>
      <c r="C314">
        <v>26227.62</v>
      </c>
    </row>
    <row r="315" spans="2:3">
      <c r="B315" s="74">
        <v>42692</v>
      </c>
      <c r="C315">
        <v>26150.240000000002</v>
      </c>
    </row>
    <row r="316" spans="2:3">
      <c r="B316" s="74">
        <v>42695</v>
      </c>
      <c r="C316">
        <v>25765.14</v>
      </c>
    </row>
    <row r="317" spans="2:3">
      <c r="B317" s="74">
        <v>42696</v>
      </c>
      <c r="C317">
        <v>25960.78</v>
      </c>
    </row>
    <row r="318" spans="2:3">
      <c r="B318" s="74">
        <v>42697</v>
      </c>
      <c r="C318">
        <v>26051.81</v>
      </c>
    </row>
    <row r="319" spans="2:3">
      <c r="B319" s="74">
        <v>42698</v>
      </c>
      <c r="C319">
        <v>25860.17</v>
      </c>
    </row>
    <row r="320" spans="2:3">
      <c r="B320" s="74">
        <v>42699</v>
      </c>
      <c r="C320">
        <v>26316.34</v>
      </c>
    </row>
    <row r="321" spans="2:3">
      <c r="B321" s="74">
        <v>42702</v>
      </c>
      <c r="C321">
        <v>26350.17</v>
      </c>
    </row>
    <row r="322" spans="2:3">
      <c r="B322" s="74">
        <v>42703</v>
      </c>
      <c r="C322">
        <v>26394.01</v>
      </c>
    </row>
    <row r="323" spans="2:3">
      <c r="B323" s="74">
        <v>42704</v>
      </c>
      <c r="C323">
        <v>26652.81</v>
      </c>
    </row>
    <row r="324" spans="2:3">
      <c r="B324" s="74">
        <v>42705</v>
      </c>
      <c r="C324">
        <v>26559.919999999998</v>
      </c>
    </row>
    <row r="325" spans="2:3">
      <c r="B325" s="74">
        <v>42706</v>
      </c>
      <c r="C325">
        <v>26230.66</v>
      </c>
    </row>
    <row r="326" spans="2:3">
      <c r="B326" s="74">
        <v>42709</v>
      </c>
      <c r="C326">
        <v>26349.1</v>
      </c>
    </row>
    <row r="327" spans="2:3">
      <c r="B327" s="74">
        <v>42710</v>
      </c>
      <c r="C327">
        <v>26392.76</v>
      </c>
    </row>
    <row r="328" spans="2:3">
      <c r="B328" s="74">
        <v>42711</v>
      </c>
      <c r="C328">
        <v>26236.87</v>
      </c>
    </row>
    <row r="329" spans="2:3">
      <c r="B329" s="74">
        <v>42712</v>
      </c>
      <c r="C329">
        <v>26694.28</v>
      </c>
    </row>
    <row r="330" spans="2:3">
      <c r="B330" s="74">
        <v>42713</v>
      </c>
      <c r="C330">
        <v>26747.18</v>
      </c>
    </row>
    <row r="331" spans="2:3">
      <c r="B331" s="74">
        <v>42716</v>
      </c>
      <c r="C331">
        <v>26515.24</v>
      </c>
    </row>
    <row r="332" spans="2:3">
      <c r="B332" s="74">
        <v>42717</v>
      </c>
      <c r="C332">
        <v>26697.82</v>
      </c>
    </row>
    <row r="333" spans="2:3">
      <c r="B333" s="74">
        <v>42718</v>
      </c>
      <c r="C333">
        <v>26602.84</v>
      </c>
    </row>
    <row r="334" spans="2:3">
      <c r="B334" s="74">
        <v>42719</v>
      </c>
      <c r="C334">
        <v>26519.07</v>
      </c>
    </row>
    <row r="335" spans="2:3">
      <c r="B335" s="74">
        <v>42720</v>
      </c>
      <c r="C335">
        <v>26489.56</v>
      </c>
    </row>
    <row r="336" spans="2:3">
      <c r="B336" s="74">
        <v>42723</v>
      </c>
      <c r="C336">
        <v>26374.7</v>
      </c>
    </row>
    <row r="337" spans="2:3">
      <c r="B337" s="74">
        <v>42724</v>
      </c>
      <c r="C337">
        <v>26307.98</v>
      </c>
    </row>
    <row r="338" spans="2:3">
      <c r="B338" s="74">
        <v>42725</v>
      </c>
      <c r="C338">
        <v>26242.38</v>
      </c>
    </row>
    <row r="339" spans="2:3">
      <c r="B339" s="74">
        <v>42726</v>
      </c>
      <c r="C339">
        <v>25979.599999999999</v>
      </c>
    </row>
    <row r="340" spans="2:3">
      <c r="B340" s="74">
        <v>42727</v>
      </c>
      <c r="C340">
        <v>26040.7</v>
      </c>
    </row>
    <row r="341" spans="2:3">
      <c r="B341" s="74">
        <v>42730</v>
      </c>
      <c r="C341">
        <v>25807.1</v>
      </c>
    </row>
    <row r="342" spans="2:3">
      <c r="B342" s="74">
        <v>42731</v>
      </c>
      <c r="C342">
        <v>26213.439999999999</v>
      </c>
    </row>
    <row r="343" spans="2:3">
      <c r="B343" s="74">
        <v>42732</v>
      </c>
      <c r="C343">
        <v>26210.68</v>
      </c>
    </row>
    <row r="344" spans="2:3">
      <c r="B344" s="74">
        <v>42733</v>
      </c>
      <c r="C344">
        <v>26366.15</v>
      </c>
    </row>
    <row r="345" spans="2:3">
      <c r="B345" s="74">
        <v>42734</v>
      </c>
      <c r="C345">
        <v>26626.46</v>
      </c>
    </row>
    <row r="346" spans="2:3">
      <c r="B346" s="74">
        <v>42737</v>
      </c>
      <c r="C346">
        <v>26595.45</v>
      </c>
    </row>
    <row r="347" spans="2:3">
      <c r="B347" s="74">
        <v>42738</v>
      </c>
      <c r="C347">
        <v>26643.24</v>
      </c>
    </row>
    <row r="348" spans="2:3">
      <c r="B348" s="74">
        <v>42739</v>
      </c>
      <c r="C348">
        <v>26633.13</v>
      </c>
    </row>
    <row r="349" spans="2:3">
      <c r="B349" s="74">
        <v>42740</v>
      </c>
      <c r="C349">
        <v>26878.240000000002</v>
      </c>
    </row>
    <row r="350" spans="2:3">
      <c r="B350" s="74">
        <v>42741</v>
      </c>
      <c r="C350">
        <v>26759.23</v>
      </c>
    </row>
    <row r="351" spans="2:3">
      <c r="B351" s="74">
        <v>42744</v>
      </c>
      <c r="C351">
        <v>26726.55</v>
      </c>
    </row>
    <row r="352" spans="2:3">
      <c r="B352" s="74">
        <v>42745</v>
      </c>
      <c r="C352">
        <v>26899.56</v>
      </c>
    </row>
    <row r="353" spans="2:3">
      <c r="B353" s="74">
        <v>42746</v>
      </c>
      <c r="C353">
        <v>27140.41</v>
      </c>
    </row>
    <row r="354" spans="2:3">
      <c r="B354" s="74">
        <v>42747</v>
      </c>
      <c r="C354">
        <v>27247.16</v>
      </c>
    </row>
    <row r="355" spans="2:3">
      <c r="B355" s="74">
        <v>42748</v>
      </c>
      <c r="C355">
        <v>27238.06</v>
      </c>
    </row>
    <row r="356" spans="2:3">
      <c r="B356" s="74">
        <v>42751</v>
      </c>
      <c r="C356">
        <v>27288.17</v>
      </c>
    </row>
    <row r="357" spans="2:3">
      <c r="B357" s="74">
        <v>42752</v>
      </c>
      <c r="C357">
        <v>27235.66</v>
      </c>
    </row>
    <row r="358" spans="2:3">
      <c r="B358" s="74">
        <v>42753</v>
      </c>
      <c r="C358">
        <v>27257.64</v>
      </c>
    </row>
    <row r="359" spans="2:3">
      <c r="B359" s="74">
        <v>42754</v>
      </c>
      <c r="C359">
        <v>27308.6</v>
      </c>
    </row>
    <row r="360" spans="2:3">
      <c r="B360" s="74">
        <v>42755</v>
      </c>
      <c r="C360">
        <v>27034.5</v>
      </c>
    </row>
    <row r="361" spans="2:3">
      <c r="B361" s="74">
        <v>42758</v>
      </c>
      <c r="C361">
        <v>27117.34</v>
      </c>
    </row>
    <row r="362" spans="2:3">
      <c r="B362" s="74">
        <v>42759</v>
      </c>
      <c r="C362">
        <v>27375.58</v>
      </c>
    </row>
    <row r="363" spans="2:3">
      <c r="B363" s="74">
        <v>42760</v>
      </c>
      <c r="C363">
        <v>27708.14</v>
      </c>
    </row>
    <row r="364" spans="2:3">
      <c r="B364" s="74">
        <v>42762</v>
      </c>
      <c r="C364">
        <v>27882.46</v>
      </c>
    </row>
    <row r="365" spans="2:3">
      <c r="B365" s="74">
        <v>42765</v>
      </c>
      <c r="C365">
        <v>27849.56</v>
      </c>
    </row>
    <row r="366" spans="2:3">
      <c r="B366" s="74">
        <v>42766</v>
      </c>
      <c r="C366">
        <v>27655.96</v>
      </c>
    </row>
    <row r="367" spans="2:3">
      <c r="B367" s="74">
        <v>42767</v>
      </c>
      <c r="C367">
        <v>28141.64</v>
      </c>
    </row>
    <row r="368" spans="2:3">
      <c r="B368" s="74">
        <v>42768</v>
      </c>
      <c r="C368">
        <v>28226.61</v>
      </c>
    </row>
    <row r="369" spans="2:3">
      <c r="B369" s="74">
        <v>42769</v>
      </c>
      <c r="C369">
        <v>28240.52</v>
      </c>
    </row>
    <row r="370" spans="2:3">
      <c r="B370" s="74">
        <v>42772</v>
      </c>
      <c r="C370">
        <v>28439.279999999999</v>
      </c>
    </row>
    <row r="371" spans="2:3">
      <c r="B371" s="74">
        <v>42773</v>
      </c>
      <c r="C371">
        <v>28335.16</v>
      </c>
    </row>
    <row r="372" spans="2:3">
      <c r="B372" s="74">
        <v>42774</v>
      </c>
      <c r="C372">
        <v>28289.919999999998</v>
      </c>
    </row>
    <row r="373" spans="2:3">
      <c r="B373" s="74">
        <v>42775</v>
      </c>
      <c r="C373">
        <v>28329.7</v>
      </c>
    </row>
    <row r="374" spans="2:3">
      <c r="B374" s="74">
        <v>42776</v>
      </c>
      <c r="C374">
        <v>28334.25</v>
      </c>
    </row>
    <row r="375" spans="2:3">
      <c r="B375" s="74">
        <v>42779</v>
      </c>
      <c r="C375">
        <v>28351.62</v>
      </c>
    </row>
    <row r="376" spans="2:3">
      <c r="B376" s="74">
        <v>42780</v>
      </c>
      <c r="C376">
        <v>28339.31</v>
      </c>
    </row>
    <row r="377" spans="2:3">
      <c r="B377" s="74">
        <v>42781</v>
      </c>
      <c r="C377">
        <v>28155.56</v>
      </c>
    </row>
    <row r="378" spans="2:3">
      <c r="B378" s="74">
        <v>42782</v>
      </c>
      <c r="C378">
        <v>28301.27</v>
      </c>
    </row>
    <row r="379" spans="2:3">
      <c r="B379" s="74">
        <v>42783</v>
      </c>
      <c r="C379">
        <v>28468.75</v>
      </c>
    </row>
    <row r="380" spans="2:3">
      <c r="B380" s="74">
        <v>42786</v>
      </c>
      <c r="C380">
        <v>28661.58</v>
      </c>
    </row>
    <row r="381" spans="2:3">
      <c r="B381" s="74">
        <v>42787</v>
      </c>
      <c r="C381">
        <v>28761.59</v>
      </c>
    </row>
    <row r="382" spans="2:3">
      <c r="B382" s="74">
        <v>42788</v>
      </c>
      <c r="C382">
        <v>28864.71</v>
      </c>
    </row>
    <row r="383" spans="2:3">
      <c r="B383" s="74">
        <v>42789</v>
      </c>
      <c r="C383">
        <v>28892.97</v>
      </c>
    </row>
    <row r="384" spans="2:3">
      <c r="B384" s="74">
        <v>42793</v>
      </c>
      <c r="C384">
        <v>28812.880000000001</v>
      </c>
    </row>
    <row r="385" spans="2:3">
      <c r="B385" s="74">
        <v>42794</v>
      </c>
      <c r="C385">
        <v>28743.32</v>
      </c>
    </row>
    <row r="386" spans="2:3">
      <c r="B386" s="74">
        <v>42795</v>
      </c>
      <c r="C386">
        <v>28984.49</v>
      </c>
    </row>
    <row r="387" spans="2:3">
      <c r="B387" s="74">
        <v>42796</v>
      </c>
      <c r="C387">
        <v>28839.79</v>
      </c>
    </row>
    <row r="388" spans="2:3">
      <c r="B388" s="74">
        <v>42797</v>
      </c>
      <c r="C388">
        <v>28832.45</v>
      </c>
    </row>
    <row r="389" spans="2:3">
      <c r="B389" s="74">
        <v>42800</v>
      </c>
      <c r="C389">
        <v>29048.19</v>
      </c>
    </row>
    <row r="390" spans="2:3">
      <c r="B390" s="74">
        <v>42801</v>
      </c>
      <c r="C390">
        <v>28999.56</v>
      </c>
    </row>
    <row r="391" spans="2:3">
      <c r="B391" s="74">
        <v>42802</v>
      </c>
      <c r="C391">
        <v>28901.94</v>
      </c>
    </row>
    <row r="392" spans="2:3">
      <c r="B392" s="74">
        <v>42803</v>
      </c>
      <c r="C392">
        <v>28929.13</v>
      </c>
    </row>
    <row r="393" spans="2:3">
      <c r="B393" s="74">
        <v>42804</v>
      </c>
      <c r="C393">
        <v>28946.23</v>
      </c>
    </row>
    <row r="394" spans="2:3">
      <c r="B394" s="74">
        <v>42808</v>
      </c>
      <c r="C394">
        <v>29442.63</v>
      </c>
    </row>
    <row r="395" spans="2:3">
      <c r="B395" s="74">
        <v>42809</v>
      </c>
      <c r="C395">
        <v>29398.11</v>
      </c>
    </row>
    <row r="396" spans="2:3">
      <c r="B396" s="74">
        <v>42810</v>
      </c>
      <c r="C396">
        <v>29585.85</v>
      </c>
    </row>
    <row r="397" spans="2:3">
      <c r="B397" s="74">
        <v>42811</v>
      </c>
      <c r="C397">
        <v>29648.99</v>
      </c>
    </row>
    <row r="398" spans="2:3">
      <c r="B398" s="74">
        <v>42814</v>
      </c>
      <c r="C398">
        <v>29518.74</v>
      </c>
    </row>
    <row r="399" spans="2:3">
      <c r="B399" s="74">
        <v>42815</v>
      </c>
      <c r="C399">
        <v>29485.45</v>
      </c>
    </row>
    <row r="400" spans="2:3">
      <c r="B400" s="74">
        <v>42816</v>
      </c>
      <c r="C400">
        <v>29167.68</v>
      </c>
    </row>
    <row r="401" spans="2:3">
      <c r="B401" s="74">
        <v>42817</v>
      </c>
      <c r="C401">
        <v>29332.16</v>
      </c>
    </row>
    <row r="402" spans="2:3">
      <c r="B402" s="74">
        <v>42818</v>
      </c>
      <c r="C402">
        <v>29421.4</v>
      </c>
    </row>
    <row r="403" spans="2:3">
      <c r="B403" s="74">
        <v>42821</v>
      </c>
      <c r="C403">
        <v>29237.15</v>
      </c>
    </row>
    <row r="404" spans="2:3">
      <c r="B404" s="74">
        <v>42822</v>
      </c>
      <c r="C404">
        <v>29409.52</v>
      </c>
    </row>
    <row r="405" spans="2:3">
      <c r="B405" s="74">
        <v>42823</v>
      </c>
      <c r="C405">
        <v>29531.43</v>
      </c>
    </row>
    <row r="406" spans="2:3">
      <c r="B406" s="74">
        <v>42824</v>
      </c>
      <c r="C406">
        <v>29647.42</v>
      </c>
    </row>
    <row r="407" spans="2:3">
      <c r="B407" s="74">
        <v>42825</v>
      </c>
      <c r="C407">
        <v>29620.5</v>
      </c>
    </row>
    <row r="408" spans="2:3">
      <c r="B408" s="74">
        <v>42828</v>
      </c>
      <c r="C408">
        <v>29910.22</v>
      </c>
    </row>
    <row r="409" spans="2:3">
      <c r="B409" s="74">
        <v>42830</v>
      </c>
      <c r="C409">
        <v>29974.240000000002</v>
      </c>
    </row>
    <row r="410" spans="2:3">
      <c r="B410" s="74">
        <v>42831</v>
      </c>
      <c r="C410">
        <v>29927.34</v>
      </c>
    </row>
    <row r="411" spans="2:3">
      <c r="B411" s="74">
        <v>42832</v>
      </c>
      <c r="C411">
        <v>29706.61</v>
      </c>
    </row>
    <row r="412" spans="2:3">
      <c r="B412" s="74">
        <v>42835</v>
      </c>
      <c r="C412">
        <v>29575.74</v>
      </c>
    </row>
    <row r="413" spans="2:3">
      <c r="B413" s="74">
        <v>42836</v>
      </c>
      <c r="C413">
        <v>29788.35</v>
      </c>
    </row>
    <row r="414" spans="2:3">
      <c r="B414" s="74">
        <v>42837</v>
      </c>
      <c r="C414">
        <v>29643.48</v>
      </c>
    </row>
    <row r="415" spans="2:3">
      <c r="B415" s="74">
        <v>42838</v>
      </c>
      <c r="C415">
        <v>29461.45</v>
      </c>
    </row>
    <row r="416" spans="2:3">
      <c r="B416" s="74">
        <v>42842</v>
      </c>
      <c r="C416">
        <v>29413.66</v>
      </c>
    </row>
    <row r="417" spans="2:3">
      <c r="B417" s="74">
        <v>42843</v>
      </c>
      <c r="C417">
        <v>29319.1</v>
      </c>
    </row>
    <row r="418" spans="2:3">
      <c r="B418" s="74">
        <v>42844</v>
      </c>
      <c r="C418">
        <v>29336.57</v>
      </c>
    </row>
    <row r="419" spans="2:3">
      <c r="B419" s="74">
        <v>42845</v>
      </c>
      <c r="C419">
        <v>29422.39</v>
      </c>
    </row>
    <row r="420" spans="2:3">
      <c r="B420" s="74">
        <v>42846</v>
      </c>
      <c r="C420">
        <v>29365.3</v>
      </c>
    </row>
    <row r="421" spans="2:3">
      <c r="B421" s="74">
        <v>42849</v>
      </c>
      <c r="C421">
        <v>29655.84</v>
      </c>
    </row>
    <row r="422" spans="2:3">
      <c r="B422" s="74">
        <v>42850</v>
      </c>
      <c r="C422">
        <v>29943.24</v>
      </c>
    </row>
    <row r="423" spans="2:3">
      <c r="B423" s="74">
        <v>42851</v>
      </c>
      <c r="C423">
        <v>30133.35</v>
      </c>
    </row>
    <row r="424" spans="2:3">
      <c r="B424" s="74">
        <v>42852</v>
      </c>
      <c r="C424">
        <v>30029.74</v>
      </c>
    </row>
    <row r="425" spans="2:3">
      <c r="B425" s="74">
        <v>42853</v>
      </c>
      <c r="C425">
        <v>29918.400000000001</v>
      </c>
    </row>
    <row r="426" spans="2:3">
      <c r="B426" s="74">
        <v>42857</v>
      </c>
      <c r="C426">
        <v>29921.18</v>
      </c>
    </row>
    <row r="427" spans="2:3">
      <c r="B427" s="74">
        <v>42858</v>
      </c>
      <c r="C427">
        <v>29894.799999999999</v>
      </c>
    </row>
    <row r="428" spans="2:3">
      <c r="B428" s="74">
        <v>42859</v>
      </c>
      <c r="C428">
        <v>30126.21</v>
      </c>
    </row>
    <row r="429" spans="2:3">
      <c r="B429" s="74">
        <v>42860</v>
      </c>
      <c r="C429">
        <v>29858.799999999999</v>
      </c>
    </row>
    <row r="430" spans="2:3">
      <c r="B430" s="74">
        <v>42863</v>
      </c>
      <c r="C430">
        <v>29926.15</v>
      </c>
    </row>
    <row r="431" spans="2:3">
      <c r="B431" s="74">
        <v>42864</v>
      </c>
      <c r="C431">
        <v>29933.25</v>
      </c>
    </row>
    <row r="432" spans="2:3">
      <c r="B432" s="74">
        <v>42865</v>
      </c>
      <c r="C432">
        <v>30248.17</v>
      </c>
    </row>
    <row r="433" spans="2:3">
      <c r="B433" s="74">
        <v>42866</v>
      </c>
      <c r="C433">
        <v>30250.98</v>
      </c>
    </row>
    <row r="434" spans="2:3">
      <c r="B434" s="74">
        <v>42867</v>
      </c>
      <c r="C434">
        <v>30188.15</v>
      </c>
    </row>
    <row r="435" spans="2:3">
      <c r="B435" s="74">
        <v>42870</v>
      </c>
      <c r="C435">
        <v>30322.12</v>
      </c>
    </row>
    <row r="436" spans="2:3">
      <c r="B436" s="74">
        <v>42871</v>
      </c>
      <c r="C436">
        <v>30582.6</v>
      </c>
    </row>
    <row r="437" spans="2:3">
      <c r="B437" s="74">
        <v>42872</v>
      </c>
      <c r="C437">
        <v>30658.77</v>
      </c>
    </row>
    <row r="438" spans="2:3">
      <c r="B438" s="74">
        <v>42873</v>
      </c>
      <c r="C438">
        <v>30434.79</v>
      </c>
    </row>
    <row r="439" spans="2:3">
      <c r="B439" s="74">
        <v>42874</v>
      </c>
      <c r="C439">
        <v>30464.92</v>
      </c>
    </row>
    <row r="440" spans="2:3">
      <c r="B440" s="74">
        <v>42877</v>
      </c>
      <c r="C440">
        <v>30570.97</v>
      </c>
    </row>
    <row r="441" spans="2:3">
      <c r="B441" s="74">
        <v>42878</v>
      </c>
      <c r="C441">
        <v>30365.25</v>
      </c>
    </row>
    <row r="442" spans="2:3">
      <c r="B442" s="74">
        <v>42879</v>
      </c>
      <c r="C442">
        <v>30301.64</v>
      </c>
    </row>
    <row r="443" spans="2:3">
      <c r="B443" s="74">
        <v>42880</v>
      </c>
      <c r="C443">
        <v>30750.03</v>
      </c>
    </row>
    <row r="444" spans="2:3">
      <c r="B444" s="74">
        <v>42881</v>
      </c>
      <c r="C444">
        <v>31028.21</v>
      </c>
    </row>
    <row r="445" spans="2:3">
      <c r="B445" s="74">
        <v>42884</v>
      </c>
      <c r="C445">
        <v>31109.279999999999</v>
      </c>
    </row>
    <row r="446" spans="2:3">
      <c r="B446" s="74">
        <v>42885</v>
      </c>
      <c r="C446">
        <v>31159.4</v>
      </c>
    </row>
    <row r="447" spans="2:3">
      <c r="B447" s="74">
        <v>42886</v>
      </c>
      <c r="C447">
        <v>31145.8</v>
      </c>
    </row>
    <row r="448" spans="2:3">
      <c r="B448" s="74">
        <v>42887</v>
      </c>
      <c r="C448">
        <v>31137.59</v>
      </c>
    </row>
    <row r="449" spans="2:3">
      <c r="B449" s="74">
        <v>42888</v>
      </c>
      <c r="C449">
        <v>31273.29</v>
      </c>
    </row>
    <row r="450" spans="2:3">
      <c r="B450" s="74">
        <v>42891</v>
      </c>
      <c r="C450">
        <v>31309.49</v>
      </c>
    </row>
    <row r="451" spans="2:3">
      <c r="B451" s="74">
        <v>42892</v>
      </c>
      <c r="C451">
        <v>31190.560000000001</v>
      </c>
    </row>
    <row r="452" spans="2:3">
      <c r="B452" s="74">
        <v>42893</v>
      </c>
      <c r="C452">
        <v>31271.279999999999</v>
      </c>
    </row>
    <row r="453" spans="2:3">
      <c r="B453" s="74">
        <v>42894</v>
      </c>
      <c r="C453">
        <v>31213.360000000001</v>
      </c>
    </row>
    <row r="454" spans="2:3">
      <c r="B454" s="74">
        <v>42895</v>
      </c>
      <c r="C454">
        <v>31262.06</v>
      </c>
    </row>
    <row r="455" spans="2:3">
      <c r="B455" s="74">
        <v>42898</v>
      </c>
      <c r="C455">
        <v>31095.7</v>
      </c>
    </row>
    <row r="456" spans="2:3">
      <c r="B456" s="74">
        <v>42899</v>
      </c>
      <c r="C456">
        <v>31103.49</v>
      </c>
    </row>
    <row r="457" spans="2:3">
      <c r="B457" s="74">
        <v>42900</v>
      </c>
      <c r="C457">
        <v>31155.91</v>
      </c>
    </row>
    <row r="458" spans="2:3">
      <c r="B458" s="74">
        <v>42901</v>
      </c>
      <c r="C458">
        <v>31075.73</v>
      </c>
    </row>
    <row r="459" spans="2:3">
      <c r="B459" s="74">
        <v>42902</v>
      </c>
      <c r="C459">
        <v>31056.400000000001</v>
      </c>
    </row>
    <row r="460" spans="2:3">
      <c r="B460" s="74">
        <v>42905</v>
      </c>
      <c r="C460">
        <v>31311.57</v>
      </c>
    </row>
    <row r="461" spans="2:3">
      <c r="B461" s="74">
        <v>42906</v>
      </c>
      <c r="C461">
        <v>31297.53</v>
      </c>
    </row>
    <row r="462" spans="2:3">
      <c r="B462" s="74">
        <v>42907</v>
      </c>
      <c r="C462">
        <v>31283.64</v>
      </c>
    </row>
    <row r="463" spans="2:3">
      <c r="B463" s="74">
        <v>42908</v>
      </c>
      <c r="C463">
        <v>31290.74</v>
      </c>
    </row>
    <row r="464" spans="2:3">
      <c r="B464" s="74">
        <v>42909</v>
      </c>
      <c r="C464">
        <v>31138.21</v>
      </c>
    </row>
    <row r="465" spans="2:3">
      <c r="B465" s="74">
        <v>42913</v>
      </c>
      <c r="C465">
        <v>30958.25</v>
      </c>
    </row>
    <row r="466" spans="2:3">
      <c r="B466" s="74">
        <v>42914</v>
      </c>
      <c r="C466">
        <v>30834.32</v>
      </c>
    </row>
    <row r="467" spans="2:3">
      <c r="B467" s="74">
        <v>42915</v>
      </c>
      <c r="C467">
        <v>30857.52</v>
      </c>
    </row>
    <row r="468" spans="2:3">
      <c r="B468" s="74">
        <v>42916</v>
      </c>
      <c r="C468">
        <v>30921.61</v>
      </c>
    </row>
    <row r="469" spans="2:3">
      <c r="B469" s="74">
        <v>42919</v>
      </c>
      <c r="C469">
        <v>31221.62</v>
      </c>
    </row>
    <row r="470" spans="2:3">
      <c r="B470" s="74">
        <v>42920</v>
      </c>
      <c r="C470">
        <v>31209.79</v>
      </c>
    </row>
    <row r="471" spans="2:3">
      <c r="B471" s="74">
        <v>42921</v>
      </c>
      <c r="C471">
        <v>31245.56</v>
      </c>
    </row>
    <row r="472" spans="2:3">
      <c r="B472" s="74">
        <v>42922</v>
      </c>
      <c r="C472">
        <v>31369.34</v>
      </c>
    </row>
    <row r="473" spans="2:3">
      <c r="B473" s="74">
        <v>42923</v>
      </c>
      <c r="C473">
        <v>31360.63</v>
      </c>
    </row>
    <row r="474" spans="2:3">
      <c r="B474" s="74">
        <v>42926</v>
      </c>
      <c r="C474">
        <v>31715.64</v>
      </c>
    </row>
    <row r="475" spans="2:3">
      <c r="B475" s="74">
        <v>42927</v>
      </c>
      <c r="C475">
        <v>31747.09</v>
      </c>
    </row>
    <row r="476" spans="2:3">
      <c r="B476" s="74">
        <v>42928</v>
      </c>
      <c r="C476">
        <v>31804.82</v>
      </c>
    </row>
    <row r="477" spans="2:3">
      <c r="B477" s="74">
        <v>42929</v>
      </c>
      <c r="C477">
        <v>32037.38</v>
      </c>
    </row>
    <row r="478" spans="2:3">
      <c r="B478" s="74">
        <v>42930</v>
      </c>
      <c r="C478">
        <v>32020.75</v>
      </c>
    </row>
    <row r="479" spans="2:3">
      <c r="B479" s="74">
        <v>42933</v>
      </c>
      <c r="C479">
        <v>32074.78</v>
      </c>
    </row>
    <row r="480" spans="2:3">
      <c r="B480" s="74">
        <v>42934</v>
      </c>
      <c r="C480">
        <v>31710.99</v>
      </c>
    </row>
    <row r="481" spans="2:3">
      <c r="B481" s="74">
        <v>42935</v>
      </c>
      <c r="C481">
        <v>31955.35</v>
      </c>
    </row>
    <row r="482" spans="2:3">
      <c r="B482" s="74">
        <v>42936</v>
      </c>
      <c r="C482">
        <v>31904.400000000001</v>
      </c>
    </row>
    <row r="483" spans="2:3">
      <c r="B483" s="74">
        <v>42937</v>
      </c>
      <c r="C483">
        <v>32028.89</v>
      </c>
    </row>
    <row r="484" spans="2:3">
      <c r="B484" s="74">
        <v>42940</v>
      </c>
      <c r="C484">
        <v>32245.87</v>
      </c>
    </row>
    <row r="485" spans="2:3">
      <c r="B485" s="74">
        <v>42941</v>
      </c>
      <c r="C485">
        <v>32228.27</v>
      </c>
    </row>
    <row r="486" spans="2:3">
      <c r="B486" s="74">
        <v>42942</v>
      </c>
      <c r="C486">
        <v>32382.46</v>
      </c>
    </row>
    <row r="487" spans="2:3">
      <c r="B487" s="74">
        <v>42943</v>
      </c>
      <c r="C487">
        <v>32383.3</v>
      </c>
    </row>
    <row r="488" spans="2:3">
      <c r="B488" s="74">
        <v>42944</v>
      </c>
      <c r="C488">
        <v>32309.88</v>
      </c>
    </row>
    <row r="489" spans="2:3">
      <c r="B489" s="74">
        <v>42947</v>
      </c>
      <c r="C489">
        <v>32514.94</v>
      </c>
    </row>
    <row r="490" spans="2:3">
      <c r="B490" s="74">
        <v>42948</v>
      </c>
      <c r="C490">
        <v>32575.17</v>
      </c>
    </row>
    <row r="491" spans="2:3">
      <c r="B491" s="74">
        <v>42949</v>
      </c>
      <c r="C491">
        <v>32476.74</v>
      </c>
    </row>
    <row r="492" spans="2:3">
      <c r="B492" s="74">
        <v>42950</v>
      </c>
      <c r="C492">
        <v>32237.88</v>
      </c>
    </row>
    <row r="493" spans="2:3">
      <c r="B493" s="74">
        <v>42951</v>
      </c>
      <c r="C493">
        <v>32325.41</v>
      </c>
    </row>
    <row r="494" spans="2:3">
      <c r="B494" s="74">
        <v>42954</v>
      </c>
      <c r="C494">
        <v>32273.67</v>
      </c>
    </row>
    <row r="495" spans="2:3">
      <c r="B495" s="74">
        <v>42955</v>
      </c>
      <c r="C495">
        <v>32014.19</v>
      </c>
    </row>
    <row r="496" spans="2:3">
      <c r="B496" s="74">
        <v>42956</v>
      </c>
      <c r="C496">
        <v>31797.84</v>
      </c>
    </row>
    <row r="497" spans="2:3">
      <c r="B497" s="74">
        <v>42957</v>
      </c>
      <c r="C497">
        <v>31531.33</v>
      </c>
    </row>
    <row r="498" spans="2:3">
      <c r="B498" s="74">
        <v>42958</v>
      </c>
      <c r="C498">
        <v>31213.59</v>
      </c>
    </row>
    <row r="499" spans="2:3">
      <c r="B499" s="74">
        <v>42961</v>
      </c>
      <c r="C499">
        <v>31449.03</v>
      </c>
    </row>
    <row r="500" spans="2:3">
      <c r="B500" s="74">
        <v>42963</v>
      </c>
      <c r="C500">
        <v>31770.89</v>
      </c>
    </row>
    <row r="501" spans="2:3">
      <c r="B501" s="74">
        <v>42964</v>
      </c>
      <c r="C501">
        <v>31795.46</v>
      </c>
    </row>
    <row r="502" spans="2:3">
      <c r="B502" s="74">
        <v>42965</v>
      </c>
      <c r="C502">
        <v>31524.68</v>
      </c>
    </row>
    <row r="503" spans="2:3">
      <c r="B503" s="74">
        <v>42968</v>
      </c>
      <c r="C503">
        <v>31258.85</v>
      </c>
    </row>
    <row r="504" spans="2:3">
      <c r="B504" s="74">
        <v>42969</v>
      </c>
      <c r="C504">
        <v>31291.85</v>
      </c>
    </row>
    <row r="505" spans="2:3">
      <c r="B505" s="74">
        <v>42970</v>
      </c>
      <c r="C505">
        <v>31568.01</v>
      </c>
    </row>
    <row r="506" spans="2:3">
      <c r="B506" s="74">
        <v>42971</v>
      </c>
      <c r="C506">
        <v>31596.06</v>
      </c>
    </row>
    <row r="507" spans="2:3">
      <c r="B507" s="74">
        <v>42975</v>
      </c>
      <c r="C507">
        <v>31750.82</v>
      </c>
    </row>
    <row r="508" spans="2:3">
      <c r="B508" s="74">
        <v>42976</v>
      </c>
      <c r="C508">
        <v>31388.39</v>
      </c>
    </row>
    <row r="509" spans="2:3">
      <c r="B509" s="74">
        <v>42977</v>
      </c>
      <c r="C509">
        <v>31646.46</v>
      </c>
    </row>
    <row r="510" spans="2:3">
      <c r="B510" s="74">
        <v>42978</v>
      </c>
      <c r="C510">
        <v>31730.49</v>
      </c>
    </row>
    <row r="511" spans="2:3">
      <c r="B511" s="74">
        <v>42979</v>
      </c>
      <c r="C511">
        <v>31892.23</v>
      </c>
    </row>
    <row r="512" spans="2:3">
      <c r="B512" s="74">
        <v>42982</v>
      </c>
      <c r="C512">
        <v>31702.25</v>
      </c>
    </row>
    <row r="513" spans="2:3">
      <c r="B513" s="74">
        <v>42983</v>
      </c>
      <c r="C513">
        <v>31809.55</v>
      </c>
    </row>
    <row r="514" spans="2:3">
      <c r="B514" s="74">
        <v>42984</v>
      </c>
      <c r="C514">
        <v>31661.97</v>
      </c>
    </row>
    <row r="515" spans="2:3">
      <c r="B515" s="74">
        <v>42985</v>
      </c>
      <c r="C515">
        <v>31662.74</v>
      </c>
    </row>
    <row r="516" spans="2:3">
      <c r="B516" s="74">
        <v>42986</v>
      </c>
      <c r="C516">
        <v>31687.52</v>
      </c>
    </row>
    <row r="517" spans="2:3">
      <c r="B517" s="74">
        <v>42989</v>
      </c>
      <c r="C517">
        <v>31882.16</v>
      </c>
    </row>
    <row r="518" spans="2:3">
      <c r="B518" s="74">
        <v>42990</v>
      </c>
      <c r="C518">
        <v>32158.66</v>
      </c>
    </row>
    <row r="519" spans="2:3">
      <c r="B519" s="74">
        <v>42991</v>
      </c>
      <c r="C519">
        <v>32186.41</v>
      </c>
    </row>
    <row r="520" spans="2:3">
      <c r="B520" s="74">
        <v>42992</v>
      </c>
      <c r="C520">
        <v>32241.93</v>
      </c>
    </row>
    <row r="521" spans="2:3">
      <c r="B521" s="74">
        <v>42993</v>
      </c>
      <c r="C521">
        <v>32272.61</v>
      </c>
    </row>
    <row r="522" spans="2:3">
      <c r="B522" s="74">
        <v>42996</v>
      </c>
      <c r="C522">
        <v>32423.759999999998</v>
      </c>
    </row>
    <row r="523" spans="2:3">
      <c r="B523" s="74">
        <v>42997</v>
      </c>
      <c r="C523">
        <v>32402.37</v>
      </c>
    </row>
    <row r="524" spans="2:3">
      <c r="B524" s="74">
        <v>42998</v>
      </c>
      <c r="C524">
        <v>32400.51</v>
      </c>
    </row>
    <row r="525" spans="2:3">
      <c r="B525" s="74">
        <v>42999</v>
      </c>
      <c r="C525">
        <v>32370.04</v>
      </c>
    </row>
    <row r="526" spans="2:3">
      <c r="B526" s="74">
        <v>43000</v>
      </c>
      <c r="C526">
        <v>31922.44</v>
      </c>
    </row>
    <row r="527" spans="2:3">
      <c r="B527" s="74">
        <v>43003</v>
      </c>
      <c r="C527">
        <v>31626.63</v>
      </c>
    </row>
    <row r="528" spans="2:3">
      <c r="B528" s="74">
        <v>43004</v>
      </c>
      <c r="C528">
        <v>31599.759999999998</v>
      </c>
    </row>
    <row r="529" spans="2:3">
      <c r="B529" s="74">
        <v>43005</v>
      </c>
      <c r="C529">
        <v>31159.81</v>
      </c>
    </row>
    <row r="530" spans="2:3">
      <c r="B530" s="74">
        <v>43006</v>
      </c>
      <c r="C530">
        <v>31282.48</v>
      </c>
    </row>
    <row r="531" spans="2:3">
      <c r="B531" s="74">
        <v>43007</v>
      </c>
      <c r="C531">
        <v>31283.72</v>
      </c>
    </row>
    <row r="532" spans="2:3">
      <c r="B532" s="74">
        <v>43011</v>
      </c>
      <c r="C532">
        <v>31497.38</v>
      </c>
    </row>
    <row r="533" spans="2:3">
      <c r="B533" s="74">
        <v>43012</v>
      </c>
      <c r="C533">
        <v>31671.71</v>
      </c>
    </row>
    <row r="534" spans="2:3">
      <c r="B534" s="74">
        <v>43013</v>
      </c>
      <c r="C534">
        <v>31592.03</v>
      </c>
    </row>
    <row r="535" spans="2:3">
      <c r="B535" s="74">
        <v>43014</v>
      </c>
      <c r="C535">
        <v>31814.22</v>
      </c>
    </row>
    <row r="536" spans="2:3">
      <c r="B536" s="74">
        <v>43017</v>
      </c>
      <c r="C536">
        <v>31846.89</v>
      </c>
    </row>
    <row r="537" spans="2:3">
      <c r="B537" s="74">
        <v>43018</v>
      </c>
      <c r="C537">
        <v>31924.41</v>
      </c>
    </row>
    <row r="538" spans="2:3">
      <c r="B538" s="74">
        <v>43019</v>
      </c>
      <c r="C538">
        <v>31833.99</v>
      </c>
    </row>
    <row r="539" spans="2:3">
      <c r="B539" s="74">
        <v>43020</v>
      </c>
      <c r="C539">
        <v>32182.22</v>
      </c>
    </row>
    <row r="540" spans="2:3">
      <c r="B540" s="74">
        <v>43021</v>
      </c>
      <c r="C540">
        <v>32432.69</v>
      </c>
    </row>
    <row r="541" spans="2:3">
      <c r="B541" s="74">
        <v>43024</v>
      </c>
      <c r="C541">
        <v>32633.64</v>
      </c>
    </row>
    <row r="542" spans="2:3">
      <c r="B542" s="74">
        <v>43025</v>
      </c>
      <c r="C542">
        <v>32609.16</v>
      </c>
    </row>
    <row r="543" spans="2:3">
      <c r="B543" s="74">
        <v>43026</v>
      </c>
      <c r="C543">
        <v>32584.35</v>
      </c>
    </row>
    <row r="544" spans="2:3">
      <c r="B544" s="74">
        <v>43027</v>
      </c>
      <c r="C544">
        <v>32389.96</v>
      </c>
    </row>
    <row r="545" spans="2:3">
      <c r="B545" s="74">
        <v>43031</v>
      </c>
      <c r="C545">
        <v>32506.720000000001</v>
      </c>
    </row>
    <row r="546" spans="2:3">
      <c r="B546" s="74">
        <v>43032</v>
      </c>
      <c r="C546">
        <v>32607.34</v>
      </c>
    </row>
    <row r="547" spans="2:3">
      <c r="B547" s="74">
        <v>43033</v>
      </c>
      <c r="C547">
        <v>33042.5</v>
      </c>
    </row>
    <row r="548" spans="2:3">
      <c r="B548" s="74">
        <v>43034</v>
      </c>
      <c r="C548">
        <v>33147.129999999997</v>
      </c>
    </row>
    <row r="549" spans="2:3">
      <c r="B549" s="74">
        <v>43035</v>
      </c>
      <c r="C549">
        <v>33157.22</v>
      </c>
    </row>
    <row r="550" spans="2:3">
      <c r="B550" s="74">
        <v>43038</v>
      </c>
      <c r="C550">
        <v>33266.160000000003</v>
      </c>
    </row>
    <row r="551" spans="2:3">
      <c r="B551" s="74">
        <v>43039</v>
      </c>
      <c r="C551">
        <v>33213.129999999997</v>
      </c>
    </row>
    <row r="552" spans="2:3">
      <c r="B552" s="74">
        <v>43040</v>
      </c>
      <c r="C552">
        <v>33600.269999999997</v>
      </c>
    </row>
    <row r="553" spans="2:3">
      <c r="B553" s="74">
        <v>43041</v>
      </c>
      <c r="C553">
        <v>33573.22</v>
      </c>
    </row>
    <row r="554" spans="2:3">
      <c r="B554" s="74">
        <v>43042</v>
      </c>
      <c r="C554">
        <v>33685.56</v>
      </c>
    </row>
    <row r="555" spans="2:3">
      <c r="B555" s="74">
        <v>43045</v>
      </c>
      <c r="C555">
        <v>33731.19</v>
      </c>
    </row>
    <row r="556" spans="2:3">
      <c r="B556" s="74">
        <v>43046</v>
      </c>
      <c r="C556">
        <v>33370.76</v>
      </c>
    </row>
    <row r="557" spans="2:3">
      <c r="B557" s="74">
        <v>43047</v>
      </c>
      <c r="C557">
        <v>33218.81</v>
      </c>
    </row>
    <row r="558" spans="2:3">
      <c r="B558" s="74">
        <v>43048</v>
      </c>
      <c r="C558">
        <v>33250.93</v>
      </c>
    </row>
    <row r="559" spans="2:3">
      <c r="B559" s="74">
        <v>43049</v>
      </c>
      <c r="C559">
        <v>33314.559999999998</v>
      </c>
    </row>
    <row r="560" spans="2:3">
      <c r="B560" s="74">
        <v>43052</v>
      </c>
      <c r="C560">
        <v>33033.56</v>
      </c>
    </row>
    <row r="561" spans="2:3">
      <c r="B561" s="74">
        <v>43053</v>
      </c>
      <c r="C561">
        <v>32941.870000000003</v>
      </c>
    </row>
    <row r="562" spans="2:3">
      <c r="B562" s="74">
        <v>43054</v>
      </c>
      <c r="C562">
        <v>32760.44</v>
      </c>
    </row>
    <row r="563" spans="2:3">
      <c r="B563" s="74">
        <v>43055</v>
      </c>
      <c r="C563">
        <v>33106.82</v>
      </c>
    </row>
    <row r="564" spans="2:3">
      <c r="B564" s="74">
        <v>43056</v>
      </c>
      <c r="C564">
        <v>33342.800000000003</v>
      </c>
    </row>
    <row r="565" spans="2:3">
      <c r="B565" s="74">
        <v>43059</v>
      </c>
      <c r="C565">
        <v>33359.9</v>
      </c>
    </row>
    <row r="566" spans="2:3">
      <c r="B566" s="74">
        <v>43060</v>
      </c>
      <c r="C566">
        <v>33478.35</v>
      </c>
    </row>
    <row r="567" spans="2:3">
      <c r="B567" s="74">
        <v>43061</v>
      </c>
      <c r="C567">
        <v>33561.550000000003</v>
      </c>
    </row>
    <row r="568" spans="2:3">
      <c r="B568" s="74">
        <v>43062</v>
      </c>
      <c r="C568">
        <v>33588.080000000002</v>
      </c>
    </row>
    <row r="569" spans="2:3">
      <c r="B569" s="74">
        <v>43063</v>
      </c>
      <c r="C569">
        <v>33679.24</v>
      </c>
    </row>
    <row r="570" spans="2:3">
      <c r="B570" s="74">
        <v>43066</v>
      </c>
      <c r="C570">
        <v>33724.44</v>
      </c>
    </row>
    <row r="571" spans="2:3">
      <c r="B571" s="74">
        <v>43067</v>
      </c>
      <c r="C571">
        <v>33618.589999999997</v>
      </c>
    </row>
    <row r="572" spans="2:3">
      <c r="B572" s="74">
        <v>43068</v>
      </c>
      <c r="C572">
        <v>33602.76</v>
      </c>
    </row>
    <row r="573" spans="2:3">
      <c r="B573" s="74">
        <v>43069</v>
      </c>
      <c r="C573">
        <v>33149.35</v>
      </c>
    </row>
    <row r="574" spans="2:3">
      <c r="B574" s="74">
        <v>43070</v>
      </c>
      <c r="C574">
        <v>32832.94</v>
      </c>
    </row>
    <row r="575" spans="2:3">
      <c r="B575" s="74">
        <v>43073</v>
      </c>
      <c r="C575">
        <v>32869.72</v>
      </c>
    </row>
    <row r="576" spans="2:3">
      <c r="B576" s="74">
        <v>43074</v>
      </c>
      <c r="C576">
        <v>32802.44</v>
      </c>
    </row>
    <row r="577" spans="2:3">
      <c r="B577" s="74">
        <v>43075</v>
      </c>
      <c r="C577">
        <v>32597.18</v>
      </c>
    </row>
    <row r="578" spans="2:3">
      <c r="B578" s="74">
        <v>43076</v>
      </c>
      <c r="C578">
        <v>32949.21</v>
      </c>
    </row>
    <row r="579" spans="2:3">
      <c r="B579" s="74">
        <v>43077</v>
      </c>
      <c r="C579">
        <v>33250.300000000003</v>
      </c>
    </row>
    <row r="580" spans="2:3">
      <c r="B580" s="74">
        <v>43080</v>
      </c>
      <c r="C580">
        <v>33455.79</v>
      </c>
    </row>
    <row r="581" spans="2:3">
      <c r="B581" s="74">
        <v>43081</v>
      </c>
      <c r="C581">
        <v>33227.99</v>
      </c>
    </row>
    <row r="582" spans="2:3">
      <c r="B582" s="74">
        <v>43082</v>
      </c>
      <c r="C582">
        <v>33053.040000000001</v>
      </c>
    </row>
    <row r="583" spans="2:3">
      <c r="B583" s="74">
        <v>43083</v>
      </c>
      <c r="C583">
        <v>33246.699999999997</v>
      </c>
    </row>
    <row r="584" spans="2:3">
      <c r="B584" s="74">
        <v>43084</v>
      </c>
      <c r="C584">
        <v>33462.97</v>
      </c>
    </row>
    <row r="585" spans="2:3">
      <c r="B585" s="74">
        <v>43087</v>
      </c>
      <c r="C585">
        <v>33601.68</v>
      </c>
    </row>
    <row r="586" spans="2:3">
      <c r="B586" s="74">
        <v>43088</v>
      </c>
      <c r="C586">
        <v>33836.74</v>
      </c>
    </row>
    <row r="587" spans="2:3">
      <c r="B587" s="74">
        <v>43089</v>
      </c>
      <c r="C587">
        <v>33777.379999999997</v>
      </c>
    </row>
    <row r="588" spans="2:3">
      <c r="B588" s="74">
        <v>43090</v>
      </c>
      <c r="C588">
        <v>33756.28</v>
      </c>
    </row>
    <row r="589" spans="2:3">
      <c r="B589" s="74">
        <v>43091</v>
      </c>
      <c r="C589">
        <v>33940.300000000003</v>
      </c>
    </row>
    <row r="590" spans="2:3">
      <c r="B590" s="74">
        <v>43095</v>
      </c>
      <c r="C590">
        <v>34010.61</v>
      </c>
    </row>
    <row r="591" spans="2:3">
      <c r="B591" s="74">
        <v>43096</v>
      </c>
      <c r="C591">
        <v>33911.81</v>
      </c>
    </row>
    <row r="592" spans="2:3">
      <c r="B592" s="74">
        <v>43097</v>
      </c>
      <c r="C592">
        <v>33848.03</v>
      </c>
    </row>
    <row r="593" spans="2:3">
      <c r="B593" s="74">
        <v>43098</v>
      </c>
      <c r="C593">
        <v>34056.83</v>
      </c>
    </row>
    <row r="594" spans="2:3">
      <c r="B594" s="74">
        <v>43101</v>
      </c>
      <c r="C594">
        <v>33812.75</v>
      </c>
    </row>
    <row r="595" spans="2:3">
      <c r="B595" s="74">
        <v>43102</v>
      </c>
      <c r="C595">
        <v>33812.26</v>
      </c>
    </row>
    <row r="596" spans="2:3">
      <c r="B596" s="74">
        <v>43103</v>
      </c>
      <c r="C596">
        <v>33793.379999999997</v>
      </c>
    </row>
    <row r="597" spans="2:3">
      <c r="B597" s="74">
        <v>43104</v>
      </c>
      <c r="C597">
        <v>33969.64</v>
      </c>
    </row>
    <row r="598" spans="2:3">
      <c r="B598" s="74">
        <v>43105</v>
      </c>
      <c r="C598">
        <v>34153.85</v>
      </c>
    </row>
    <row r="599" spans="2:3">
      <c r="B599" s="74">
        <v>43108</v>
      </c>
      <c r="C599">
        <v>34352.79</v>
      </c>
    </row>
    <row r="600" spans="2:3">
      <c r="B600" s="74">
        <v>43109</v>
      </c>
      <c r="C600">
        <v>34443.19</v>
      </c>
    </row>
    <row r="601" spans="2:3">
      <c r="B601" s="74">
        <v>43110</v>
      </c>
      <c r="C601">
        <v>34433.07</v>
      </c>
    </row>
    <row r="602" spans="2:3">
      <c r="B602" s="74">
        <v>43111</v>
      </c>
      <c r="C602">
        <v>34503.49</v>
      </c>
    </row>
    <row r="603" spans="2:3">
      <c r="B603" s="74">
        <v>43112</v>
      </c>
      <c r="C603">
        <v>34592.39</v>
      </c>
    </row>
    <row r="604" spans="2:3">
      <c r="B604" s="74">
        <v>43115</v>
      </c>
      <c r="C604">
        <v>34843.51</v>
      </c>
    </row>
    <row r="605" spans="2:3">
      <c r="B605" s="74">
        <v>43116</v>
      </c>
      <c r="C605">
        <v>34771.050000000003</v>
      </c>
    </row>
    <row r="606" spans="2:3">
      <c r="B606" s="74">
        <v>43117</v>
      </c>
      <c r="C606">
        <v>35081.82</v>
      </c>
    </row>
    <row r="607" spans="2:3">
      <c r="B607" s="74">
        <v>43118</v>
      </c>
      <c r="C607">
        <v>35260.29</v>
      </c>
    </row>
    <row r="608" spans="2:3">
      <c r="B608" s="74">
        <v>43119</v>
      </c>
      <c r="C608">
        <v>35511.58</v>
      </c>
    </row>
    <row r="609" spans="2:3">
      <c r="B609" s="74">
        <v>43122</v>
      </c>
      <c r="C609">
        <v>35798.01</v>
      </c>
    </row>
    <row r="610" spans="2:3">
      <c r="B610" s="74">
        <v>43123</v>
      </c>
      <c r="C610">
        <v>36139.980000000003</v>
      </c>
    </row>
    <row r="611" spans="2:3">
      <c r="B611" s="74">
        <v>43124</v>
      </c>
      <c r="C611">
        <v>36161.64</v>
      </c>
    </row>
    <row r="612" spans="2:3">
      <c r="B612" s="74">
        <v>43125</v>
      </c>
      <c r="C612">
        <v>36050.44</v>
      </c>
    </row>
    <row r="613" spans="2:3">
      <c r="B613" s="74">
        <v>43129</v>
      </c>
      <c r="C613">
        <v>36283.25</v>
      </c>
    </row>
    <row r="614" spans="2:3">
      <c r="B614" s="74">
        <v>43130</v>
      </c>
      <c r="C614">
        <v>36033.730000000003</v>
      </c>
    </row>
    <row r="615" spans="2:3">
      <c r="B615" s="74">
        <v>43131</v>
      </c>
      <c r="C615">
        <v>35965.019999999997</v>
      </c>
    </row>
    <row r="616" spans="2:3">
      <c r="B616" s="74">
        <v>43132</v>
      </c>
      <c r="C616">
        <v>35906.660000000003</v>
      </c>
    </row>
    <row r="617" spans="2:3">
      <c r="B617" s="74">
        <v>43133</v>
      </c>
      <c r="C617">
        <v>35066.75</v>
      </c>
    </row>
    <row r="618" spans="2:3">
      <c r="B618" s="74">
        <v>43136</v>
      </c>
      <c r="C618">
        <v>34757.160000000003</v>
      </c>
    </row>
    <row r="619" spans="2:3">
      <c r="B619" s="74">
        <v>43137</v>
      </c>
      <c r="C619">
        <v>34195.94</v>
      </c>
    </row>
    <row r="620" spans="2:3">
      <c r="B620" s="74">
        <v>43138</v>
      </c>
      <c r="C620">
        <v>34082.71</v>
      </c>
    </row>
    <row r="621" spans="2:3">
      <c r="B621" s="74">
        <v>43139</v>
      </c>
      <c r="C621">
        <v>34413.160000000003</v>
      </c>
    </row>
    <row r="622" spans="2:3">
      <c r="B622" s="74">
        <v>43140</v>
      </c>
      <c r="C622">
        <v>34005.760000000002</v>
      </c>
    </row>
    <row r="623" spans="2:3">
      <c r="B623" s="74">
        <v>43143</v>
      </c>
      <c r="C623">
        <v>34300.47</v>
      </c>
    </row>
    <row r="624" spans="2:3">
      <c r="B624" s="74">
        <v>43145</v>
      </c>
      <c r="C624">
        <v>34155.949999999997</v>
      </c>
    </row>
    <row r="625" spans="2:3">
      <c r="B625" s="74">
        <v>43146</v>
      </c>
      <c r="C625">
        <v>34297.47</v>
      </c>
    </row>
    <row r="626" spans="2:3">
      <c r="B626" s="74">
        <v>43147</v>
      </c>
      <c r="C626">
        <v>34010.76</v>
      </c>
    </row>
    <row r="627" spans="2:3">
      <c r="B627" s="74">
        <v>43150</v>
      </c>
      <c r="C627">
        <v>33774.660000000003</v>
      </c>
    </row>
    <row r="628" spans="2:3">
      <c r="B628" s="74">
        <v>43151</v>
      </c>
      <c r="C628">
        <v>33703.589999999997</v>
      </c>
    </row>
    <row r="629" spans="2:3">
      <c r="B629" s="74">
        <v>43152</v>
      </c>
      <c r="C629">
        <v>33844.86</v>
      </c>
    </row>
    <row r="630" spans="2:3">
      <c r="B630" s="74">
        <v>43153</v>
      </c>
      <c r="C630">
        <v>33819.5</v>
      </c>
    </row>
    <row r="631" spans="2:3">
      <c r="B631" s="74">
        <v>43154</v>
      </c>
      <c r="C631">
        <v>34142.15</v>
      </c>
    </row>
    <row r="632" spans="2:3">
      <c r="B632" s="74">
        <v>43157</v>
      </c>
      <c r="C632">
        <v>34445.75</v>
      </c>
    </row>
    <row r="633" spans="2:3">
      <c r="B633" s="74">
        <v>43158</v>
      </c>
      <c r="C633">
        <v>34346.39</v>
      </c>
    </row>
    <row r="634" spans="2:3">
      <c r="B634" s="74">
        <v>43159</v>
      </c>
      <c r="C634">
        <v>34184.04</v>
      </c>
    </row>
    <row r="635" spans="2:3">
      <c r="B635" s="74">
        <v>43160</v>
      </c>
      <c r="C635">
        <v>34046.94</v>
      </c>
    </row>
    <row r="636" spans="2:3">
      <c r="B636" s="74">
        <v>43164</v>
      </c>
      <c r="C636">
        <v>33746.78</v>
      </c>
    </row>
    <row r="637" spans="2:3">
      <c r="B637" s="74">
        <v>43165</v>
      </c>
      <c r="C637">
        <v>33317.199999999997</v>
      </c>
    </row>
    <row r="638" spans="2:3">
      <c r="B638" s="74">
        <v>43166</v>
      </c>
      <c r="C638">
        <v>33033.089999999997</v>
      </c>
    </row>
    <row r="639" spans="2:3">
      <c r="B639" s="74">
        <v>43167</v>
      </c>
      <c r="C639">
        <v>33351.57</v>
      </c>
    </row>
    <row r="640" spans="2:3">
      <c r="B640" s="74">
        <v>43168</v>
      </c>
      <c r="C640">
        <v>33307.14</v>
      </c>
    </row>
    <row r="641" spans="2:3">
      <c r="B641" s="74">
        <v>43171</v>
      </c>
      <c r="C641">
        <v>33917.94</v>
      </c>
    </row>
    <row r="642" spans="2:3">
      <c r="B642" s="74">
        <v>43172</v>
      </c>
      <c r="C642">
        <v>33856.78</v>
      </c>
    </row>
    <row r="643" spans="2:3">
      <c r="B643" s="74">
        <v>43173</v>
      </c>
      <c r="C643">
        <v>33835.74</v>
      </c>
    </row>
    <row r="644" spans="2:3">
      <c r="B644" s="74">
        <v>43174</v>
      </c>
      <c r="C644">
        <v>33685.54</v>
      </c>
    </row>
    <row r="645" spans="2:3">
      <c r="B645" s="74">
        <v>43175</v>
      </c>
      <c r="C645">
        <v>33176</v>
      </c>
    </row>
    <row r="646" spans="2:3">
      <c r="B646" s="74">
        <v>43178</v>
      </c>
      <c r="C646">
        <v>32923.120000000003</v>
      </c>
    </row>
    <row r="647" spans="2:3">
      <c r="B647" s="74">
        <v>43179</v>
      </c>
      <c r="C647">
        <v>32996.76</v>
      </c>
    </row>
    <row r="648" spans="2:3">
      <c r="B648" s="74">
        <v>43180</v>
      </c>
      <c r="C648">
        <v>33136.18</v>
      </c>
    </row>
    <row r="649" spans="2:3">
      <c r="B649" s="74">
        <v>43181</v>
      </c>
      <c r="C649">
        <v>33006.269999999997</v>
      </c>
    </row>
    <row r="650" spans="2:3">
      <c r="B650" s="74">
        <v>43182</v>
      </c>
      <c r="C650">
        <v>32596.54</v>
      </c>
    </row>
    <row r="651" spans="2:3">
      <c r="B651" s="74">
        <v>43185</v>
      </c>
      <c r="C651">
        <v>33066.410000000003</v>
      </c>
    </row>
    <row r="652" spans="2:3">
      <c r="B652" s="74">
        <v>43186</v>
      </c>
      <c r="C652">
        <v>33174.39</v>
      </c>
    </row>
    <row r="653" spans="2:3">
      <c r="B653" s="74">
        <v>43187</v>
      </c>
      <c r="C653">
        <v>32968.68</v>
      </c>
    </row>
    <row r="654" spans="2:3">
      <c r="B654" s="74">
        <v>43192</v>
      </c>
      <c r="C654">
        <v>33255.360000000001</v>
      </c>
    </row>
    <row r="655" spans="2:3">
      <c r="B655" s="74">
        <v>43193</v>
      </c>
      <c r="C655">
        <v>33370.629999999997</v>
      </c>
    </row>
    <row r="656" spans="2:3">
      <c r="B656" s="74">
        <v>43194</v>
      </c>
      <c r="C656">
        <v>33019.07</v>
      </c>
    </row>
    <row r="657" spans="2:3">
      <c r="B657" s="74">
        <v>43195</v>
      </c>
      <c r="C657">
        <v>33596.800000000003</v>
      </c>
    </row>
    <row r="658" spans="2:3">
      <c r="B658" s="74">
        <v>43196</v>
      </c>
      <c r="C658">
        <v>33626.97</v>
      </c>
    </row>
    <row r="659" spans="2:3">
      <c r="B659" s="74">
        <v>43199</v>
      </c>
      <c r="C659">
        <v>33788.54</v>
      </c>
    </row>
    <row r="660" spans="2:3">
      <c r="B660" s="74">
        <v>43200</v>
      </c>
      <c r="C660">
        <v>33880.25</v>
      </c>
    </row>
    <row r="661" spans="2:3">
      <c r="B661" s="74">
        <v>43201</v>
      </c>
      <c r="C661">
        <v>33940.44</v>
      </c>
    </row>
    <row r="662" spans="2:3">
      <c r="B662" s="74">
        <v>43202</v>
      </c>
      <c r="C662">
        <v>34101.129999999997</v>
      </c>
    </row>
    <row r="663" spans="2:3">
      <c r="B663" s="74">
        <v>43203</v>
      </c>
      <c r="C663">
        <v>34192.65</v>
      </c>
    </row>
    <row r="664" spans="2:3">
      <c r="B664" s="74">
        <v>43206</v>
      </c>
      <c r="C664">
        <v>34305.43</v>
      </c>
    </row>
    <row r="665" spans="2:3">
      <c r="B665" s="74">
        <v>43207</v>
      </c>
      <c r="C665">
        <v>34395.06</v>
      </c>
    </row>
    <row r="666" spans="2:3">
      <c r="B666" s="74">
        <v>43208</v>
      </c>
      <c r="C666">
        <v>34331.68</v>
      </c>
    </row>
    <row r="667" spans="2:3">
      <c r="B667" s="74">
        <v>43209</v>
      </c>
      <c r="C667">
        <v>34427.29</v>
      </c>
    </row>
    <row r="668" spans="2:3">
      <c r="B668" s="74">
        <v>43210</v>
      </c>
      <c r="C668">
        <v>34415.58</v>
      </c>
    </row>
    <row r="669" spans="2:3">
      <c r="B669" s="74">
        <v>43213</v>
      </c>
      <c r="C669">
        <v>34450.769999999997</v>
      </c>
    </row>
    <row r="670" spans="2:3">
      <c r="B670" s="74">
        <v>43214</v>
      </c>
      <c r="C670">
        <v>34616.639999999999</v>
      </c>
    </row>
    <row r="671" spans="2:3">
      <c r="B671" s="74">
        <v>43215</v>
      </c>
      <c r="C671">
        <v>34501.269999999997</v>
      </c>
    </row>
    <row r="672" spans="2:3">
      <c r="B672" s="74">
        <v>43216</v>
      </c>
      <c r="C672">
        <v>34713.599999999999</v>
      </c>
    </row>
    <row r="673" spans="2:3">
      <c r="B673" s="74">
        <v>43217</v>
      </c>
      <c r="C673">
        <v>34969.699999999997</v>
      </c>
    </row>
    <row r="674" spans="2:3">
      <c r="B674" s="74">
        <v>43220</v>
      </c>
      <c r="C674">
        <v>35160.36</v>
      </c>
    </row>
    <row r="675" spans="2:3">
      <c r="B675" s="74">
        <v>43222</v>
      </c>
      <c r="C675">
        <v>35176.42</v>
      </c>
    </row>
    <row r="676" spans="2:3">
      <c r="B676" s="74">
        <v>43223</v>
      </c>
      <c r="C676">
        <v>35103.14</v>
      </c>
    </row>
    <row r="677" spans="2:3">
      <c r="B677" s="74">
        <v>43224</v>
      </c>
      <c r="C677">
        <v>34915.379999999997</v>
      </c>
    </row>
    <row r="678" spans="2:3">
      <c r="B678" s="74">
        <v>43227</v>
      </c>
      <c r="C678">
        <v>35208.14</v>
      </c>
    </row>
    <row r="679" spans="2:3">
      <c r="B679" s="74">
        <v>43228</v>
      </c>
      <c r="C679">
        <v>35216.32</v>
      </c>
    </row>
    <row r="680" spans="2:3">
      <c r="B680" s="74">
        <v>43229</v>
      </c>
      <c r="C680">
        <v>35319.35</v>
      </c>
    </row>
    <row r="681" spans="2:3">
      <c r="B681" s="74">
        <v>43230</v>
      </c>
      <c r="C681">
        <v>35246.269999999997</v>
      </c>
    </row>
    <row r="682" spans="2:3">
      <c r="B682" s="74">
        <v>43231</v>
      </c>
      <c r="C682">
        <v>35535.79</v>
      </c>
    </row>
    <row r="683" spans="2:3">
      <c r="B683" s="74">
        <v>43234</v>
      </c>
      <c r="C683">
        <v>35556.71</v>
      </c>
    </row>
    <row r="684" spans="2:3">
      <c r="B684" s="74">
        <v>43235</v>
      </c>
      <c r="C684">
        <v>35543.94</v>
      </c>
    </row>
    <row r="685" spans="2:3">
      <c r="B685" s="74">
        <v>43236</v>
      </c>
      <c r="C685">
        <v>35387.879999999997</v>
      </c>
    </row>
    <row r="686" spans="2:3">
      <c r="B686" s="74">
        <v>43237</v>
      </c>
      <c r="C686">
        <v>35149.120000000003</v>
      </c>
    </row>
    <row r="687" spans="2:3">
      <c r="B687" s="74">
        <v>43238</v>
      </c>
      <c r="C687">
        <v>34848.300000000003</v>
      </c>
    </row>
    <row r="688" spans="2:3">
      <c r="B688" s="74">
        <v>43241</v>
      </c>
      <c r="C688">
        <v>34616.129999999997</v>
      </c>
    </row>
    <row r="689" spans="2:3">
      <c r="B689" s="74">
        <v>43242</v>
      </c>
      <c r="C689">
        <v>34651.24</v>
      </c>
    </row>
    <row r="690" spans="2:3">
      <c r="B690" s="74">
        <v>43243</v>
      </c>
      <c r="C690">
        <v>34344.910000000003</v>
      </c>
    </row>
    <row r="691" spans="2:3">
      <c r="B691" s="74">
        <v>43244</v>
      </c>
      <c r="C691">
        <v>34663.11</v>
      </c>
    </row>
    <row r="692" spans="2:3">
      <c r="B692" s="74">
        <v>43245</v>
      </c>
      <c r="C692">
        <v>34924.870000000003</v>
      </c>
    </row>
    <row r="693" spans="2:3">
      <c r="B693" s="74">
        <v>43248</v>
      </c>
      <c r="C693">
        <v>35165.480000000003</v>
      </c>
    </row>
    <row r="694" spans="2:3">
      <c r="B694" s="74">
        <v>43249</v>
      </c>
      <c r="C694">
        <v>34949.24</v>
      </c>
    </row>
    <row r="695" spans="2:3">
      <c r="B695" s="74">
        <v>43250</v>
      </c>
      <c r="C695">
        <v>34906.11</v>
      </c>
    </row>
    <row r="696" spans="2:3">
      <c r="B696" s="74">
        <v>43251</v>
      </c>
      <c r="C696">
        <v>35322.379999999997</v>
      </c>
    </row>
    <row r="697" spans="2:3">
      <c r="B697" s="74">
        <v>43252</v>
      </c>
      <c r="C697">
        <v>35227.26</v>
      </c>
    </row>
    <row r="698" spans="2:3">
      <c r="B698" s="74">
        <v>43255</v>
      </c>
      <c r="C698">
        <v>35011.89</v>
      </c>
    </row>
    <row r="699" spans="2:3">
      <c r="B699" s="74">
        <v>43256</v>
      </c>
      <c r="C699">
        <v>34903.21</v>
      </c>
    </row>
    <row r="700" spans="2:3">
      <c r="B700" s="74">
        <v>43257</v>
      </c>
      <c r="C700">
        <v>35178.879999999997</v>
      </c>
    </row>
    <row r="701" spans="2:3">
      <c r="B701" s="74">
        <v>43258</v>
      </c>
      <c r="C701">
        <v>35463.08</v>
      </c>
    </row>
    <row r="702" spans="2:3">
      <c r="B702" s="74">
        <v>43259</v>
      </c>
      <c r="C702">
        <v>35443.67</v>
      </c>
    </row>
    <row r="703" spans="2:3">
      <c r="B703" s="74">
        <v>43262</v>
      </c>
      <c r="C703">
        <v>35483.47</v>
      </c>
    </row>
    <row r="704" spans="2:3">
      <c r="B704" s="74">
        <v>43263</v>
      </c>
      <c r="C704">
        <v>35692.519999999997</v>
      </c>
    </row>
    <row r="705" spans="2:3">
      <c r="B705" s="74">
        <v>43264</v>
      </c>
      <c r="C705">
        <v>35739.160000000003</v>
      </c>
    </row>
    <row r="706" spans="2:3">
      <c r="B706" s="74">
        <v>43265</v>
      </c>
      <c r="C706">
        <v>35599.82</v>
      </c>
    </row>
    <row r="707" spans="2:3">
      <c r="B707" s="74">
        <v>43266</v>
      </c>
      <c r="C707">
        <v>35622.14</v>
      </c>
    </row>
    <row r="708" spans="2:3">
      <c r="B708" s="74">
        <v>43269</v>
      </c>
      <c r="C708">
        <v>35548.26</v>
      </c>
    </row>
    <row r="709" spans="2:3">
      <c r="B709" s="74">
        <v>43270</v>
      </c>
      <c r="C709">
        <v>35286.74</v>
      </c>
    </row>
    <row r="710" spans="2:3">
      <c r="B710" s="74">
        <v>43271</v>
      </c>
      <c r="C710">
        <v>35547.33</v>
      </c>
    </row>
    <row r="711" spans="2:3">
      <c r="B711" s="74">
        <v>43272</v>
      </c>
      <c r="C711">
        <v>35432.39</v>
      </c>
    </row>
    <row r="712" spans="2:3">
      <c r="B712" s="74">
        <v>43273</v>
      </c>
      <c r="C712">
        <v>35689.599999999999</v>
      </c>
    </row>
    <row r="713" spans="2:3">
      <c r="B713" s="74">
        <v>43276</v>
      </c>
      <c r="C713">
        <v>35470.35</v>
      </c>
    </row>
    <row r="714" spans="2:3">
      <c r="B714" s="74">
        <v>43277</v>
      </c>
      <c r="C714">
        <v>35490.04</v>
      </c>
    </row>
    <row r="715" spans="2:3">
      <c r="B715" s="74">
        <v>43278</v>
      </c>
      <c r="C715">
        <v>35217.11</v>
      </c>
    </row>
    <row r="716" spans="2:3">
      <c r="B716" s="74">
        <v>43279</v>
      </c>
      <c r="C716">
        <v>35037.64</v>
      </c>
    </row>
    <row r="717" spans="2:3">
      <c r="B717" s="74">
        <v>43280</v>
      </c>
      <c r="C717">
        <v>35423.480000000003</v>
      </c>
    </row>
    <row r="718" spans="2:3">
      <c r="B718" s="74">
        <v>43283</v>
      </c>
      <c r="C718">
        <v>35264.410000000003</v>
      </c>
    </row>
    <row r="719" spans="2:3">
      <c r="B719" s="74">
        <v>43284</v>
      </c>
      <c r="C719">
        <v>35378.6</v>
      </c>
    </row>
    <row r="720" spans="2:3">
      <c r="B720" s="74">
        <v>43285</v>
      </c>
      <c r="C720">
        <v>35645.4</v>
      </c>
    </row>
    <row r="721" spans="2:3">
      <c r="B721" s="74">
        <v>43286</v>
      </c>
      <c r="C721">
        <v>35574.550000000003</v>
      </c>
    </row>
    <row r="722" spans="2:3">
      <c r="B722" s="74">
        <v>43287</v>
      </c>
      <c r="C722">
        <v>35657.86</v>
      </c>
    </row>
    <row r="723" spans="2:3">
      <c r="B723" s="74">
        <v>43290</v>
      </c>
      <c r="C723">
        <v>35934.720000000001</v>
      </c>
    </row>
    <row r="724" spans="2:3">
      <c r="B724" s="74">
        <v>43291</v>
      </c>
      <c r="C724">
        <v>36239.620000000003</v>
      </c>
    </row>
    <row r="725" spans="2:3">
      <c r="B725" s="74">
        <v>43292</v>
      </c>
      <c r="C725">
        <v>36265.93</v>
      </c>
    </row>
    <row r="726" spans="2:3">
      <c r="B726" s="74">
        <v>43293</v>
      </c>
      <c r="C726">
        <v>36548.410000000003</v>
      </c>
    </row>
    <row r="727" spans="2:3">
      <c r="B727" s="74">
        <v>43294</v>
      </c>
      <c r="C727">
        <v>36541.629999999997</v>
      </c>
    </row>
    <row r="728" spans="2:3">
      <c r="B728" s="74">
        <v>43297</v>
      </c>
      <c r="C728">
        <v>36323.769999999997</v>
      </c>
    </row>
    <row r="729" spans="2:3">
      <c r="B729" s="74">
        <v>43298</v>
      </c>
      <c r="C729">
        <v>36519.96</v>
      </c>
    </row>
    <row r="730" spans="2:3">
      <c r="B730" s="74">
        <v>43299</v>
      </c>
      <c r="C730">
        <v>36373.440000000002</v>
      </c>
    </row>
    <row r="731" spans="2:3">
      <c r="B731" s="74">
        <v>43300</v>
      </c>
      <c r="C731">
        <v>36351.230000000003</v>
      </c>
    </row>
    <row r="732" spans="2:3">
      <c r="B732" s="74">
        <v>43301</v>
      </c>
      <c r="C732">
        <v>36496.370000000003</v>
      </c>
    </row>
    <row r="733" spans="2:3">
      <c r="B733" s="74">
        <v>43304</v>
      </c>
      <c r="C733">
        <v>36718.6</v>
      </c>
    </row>
    <row r="734" spans="2:3">
      <c r="B734" s="74">
        <v>43305</v>
      </c>
      <c r="C734">
        <v>36825.1</v>
      </c>
    </row>
    <row r="735" spans="2:3">
      <c r="B735" s="74">
        <v>43306</v>
      </c>
      <c r="C735">
        <v>36858.230000000003</v>
      </c>
    </row>
    <row r="736" spans="2:3">
      <c r="B736" s="74">
        <v>43307</v>
      </c>
      <c r="C736">
        <v>36984.639999999999</v>
      </c>
    </row>
    <row r="737" spans="2:3">
      <c r="B737" s="74">
        <v>43308</v>
      </c>
      <c r="C737">
        <v>37336.85</v>
      </c>
    </row>
    <row r="738" spans="2:3">
      <c r="B738" s="74">
        <v>43311</v>
      </c>
      <c r="C738">
        <v>37494.400000000001</v>
      </c>
    </row>
    <row r="739" spans="2:3">
      <c r="B739" s="74">
        <v>43312</v>
      </c>
      <c r="C739">
        <v>37606.58</v>
      </c>
    </row>
    <row r="740" spans="2:3">
      <c r="B740" s="74">
        <v>43313</v>
      </c>
      <c r="C740">
        <v>37521.620000000003</v>
      </c>
    </row>
    <row r="741" spans="2:3">
      <c r="B741" s="74">
        <v>43314</v>
      </c>
      <c r="C741">
        <v>37165.160000000003</v>
      </c>
    </row>
    <row r="742" spans="2:3">
      <c r="B742" s="74">
        <v>43315</v>
      </c>
      <c r="C742">
        <v>37556.160000000003</v>
      </c>
    </row>
    <row r="743" spans="2:3">
      <c r="B743" s="74">
        <v>43318</v>
      </c>
      <c r="C743">
        <v>37691.89</v>
      </c>
    </row>
    <row r="744" spans="2:3">
      <c r="B744" s="74">
        <v>43319</v>
      </c>
      <c r="C744">
        <v>37665.800000000003</v>
      </c>
    </row>
    <row r="745" spans="2:3">
      <c r="B745" s="74">
        <v>43320</v>
      </c>
      <c r="C745">
        <v>37887.56</v>
      </c>
    </row>
    <row r="746" spans="2:3">
      <c r="B746" s="74">
        <v>43321</v>
      </c>
      <c r="C746">
        <v>38024.370000000003</v>
      </c>
    </row>
    <row r="747" spans="2:3">
      <c r="B747" s="74">
        <v>43322</v>
      </c>
      <c r="C747">
        <v>37869.230000000003</v>
      </c>
    </row>
    <row r="748" spans="2:3">
      <c r="B748" s="74">
        <v>43325</v>
      </c>
      <c r="C748">
        <v>37644.9</v>
      </c>
    </row>
    <row r="749" spans="2:3">
      <c r="B749" s="74">
        <v>43326</v>
      </c>
      <c r="C749">
        <v>37852</v>
      </c>
    </row>
    <row r="750" spans="2:3">
      <c r="B750" s="74">
        <v>43328</v>
      </c>
      <c r="C750">
        <v>37663.56</v>
      </c>
    </row>
    <row r="751" spans="2:3">
      <c r="B751" s="74">
        <v>43329</v>
      </c>
      <c r="C751">
        <v>37947.879999999997</v>
      </c>
    </row>
    <row r="752" spans="2:3">
      <c r="B752" s="74">
        <v>43332</v>
      </c>
      <c r="C752">
        <v>38278.75</v>
      </c>
    </row>
    <row r="753" spans="2:3">
      <c r="B753" s="74">
        <v>43333</v>
      </c>
      <c r="C753">
        <v>38285.75</v>
      </c>
    </row>
    <row r="754" spans="2:3">
      <c r="B754" s="74">
        <v>43335</v>
      </c>
      <c r="C754">
        <v>38336.76</v>
      </c>
    </row>
    <row r="755" spans="2:3">
      <c r="B755" s="74">
        <v>43336</v>
      </c>
      <c r="C755">
        <v>38251.800000000003</v>
      </c>
    </row>
    <row r="756" spans="2:3">
      <c r="B756" s="74">
        <v>43339</v>
      </c>
      <c r="C756">
        <v>38694.11</v>
      </c>
    </row>
    <row r="757" spans="2:3">
      <c r="B757" s="74">
        <v>43340</v>
      </c>
      <c r="C757">
        <v>38896.629999999997</v>
      </c>
    </row>
    <row r="758" spans="2:3">
      <c r="B758" s="74">
        <v>43341</v>
      </c>
      <c r="C758">
        <v>38722.93</v>
      </c>
    </row>
    <row r="759" spans="2:3">
      <c r="B759" s="74">
        <v>43342</v>
      </c>
      <c r="C759">
        <v>38690.1</v>
      </c>
    </row>
    <row r="760" spans="2:3">
      <c r="B760" s="74">
        <v>43343</v>
      </c>
      <c r="C760">
        <v>38645.07</v>
      </c>
    </row>
    <row r="761" spans="2:3">
      <c r="B761" s="74">
        <v>43346</v>
      </c>
      <c r="C761">
        <v>38312.519999999997</v>
      </c>
    </row>
    <row r="762" spans="2:3">
      <c r="B762" s="74">
        <v>43347</v>
      </c>
      <c r="C762">
        <v>38157.919999999998</v>
      </c>
    </row>
    <row r="763" spans="2:3">
      <c r="B763" s="74">
        <v>43348</v>
      </c>
      <c r="C763">
        <v>38018.31</v>
      </c>
    </row>
    <row r="764" spans="2:3">
      <c r="B764" s="74">
        <v>43349</v>
      </c>
      <c r="C764">
        <v>38242.81</v>
      </c>
    </row>
    <row r="765" spans="2:3">
      <c r="B765" s="74">
        <v>43350</v>
      </c>
      <c r="C765">
        <v>38389.82</v>
      </c>
    </row>
    <row r="766" spans="2:3">
      <c r="B766" s="74">
        <v>43353</v>
      </c>
      <c r="C766">
        <v>37922.17</v>
      </c>
    </row>
    <row r="767" spans="2:3">
      <c r="B767" s="74">
        <v>43354</v>
      </c>
      <c r="C767">
        <v>37413.129999999997</v>
      </c>
    </row>
    <row r="768" spans="2:3">
      <c r="B768" s="74">
        <v>43355</v>
      </c>
      <c r="C768">
        <v>37717.96</v>
      </c>
    </row>
    <row r="769" spans="2:3">
      <c r="B769" s="74">
        <v>43357</v>
      </c>
      <c r="C769">
        <v>38090.639999999999</v>
      </c>
    </row>
    <row r="770" spans="2:3">
      <c r="B770" s="74">
        <v>43360</v>
      </c>
      <c r="C770">
        <v>37585.51</v>
      </c>
    </row>
    <row r="771" spans="2:3">
      <c r="B771" s="74">
        <v>43361</v>
      </c>
      <c r="C771">
        <v>37290.67</v>
      </c>
    </row>
    <row r="772" spans="2:3">
      <c r="B772" s="74">
        <v>43362</v>
      </c>
      <c r="C772">
        <v>37121.22</v>
      </c>
    </row>
    <row r="773" spans="2:3">
      <c r="B773" s="74">
        <v>43364</v>
      </c>
      <c r="C773">
        <v>36841.599999999999</v>
      </c>
    </row>
    <row r="774" spans="2:3">
      <c r="B774" s="74">
        <v>43367</v>
      </c>
      <c r="C774">
        <v>36305.019999999997</v>
      </c>
    </row>
    <row r="775" spans="2:3">
      <c r="B775" s="74">
        <v>43368</v>
      </c>
      <c r="C775">
        <v>36652.06</v>
      </c>
    </row>
    <row r="776" spans="2:3">
      <c r="B776" s="74">
        <v>43369</v>
      </c>
      <c r="C776">
        <v>36542.269999999997</v>
      </c>
    </row>
    <row r="777" spans="2:3">
      <c r="B777" s="74">
        <v>43370</v>
      </c>
      <c r="C777">
        <v>36324.17</v>
      </c>
    </row>
    <row r="778" spans="2:3">
      <c r="B778" s="74">
        <v>43371</v>
      </c>
      <c r="C778">
        <v>36227.14</v>
      </c>
    </row>
    <row r="779" spans="2:3">
      <c r="B779" s="74">
        <v>43374</v>
      </c>
      <c r="C779">
        <v>36526.14</v>
      </c>
    </row>
    <row r="780" spans="2:3">
      <c r="B780" s="74">
        <v>43376</v>
      </c>
      <c r="C780">
        <v>35975.629999999997</v>
      </c>
    </row>
    <row r="781" spans="2:3">
      <c r="B781" s="74">
        <v>43377</v>
      </c>
      <c r="C781">
        <v>35169.160000000003</v>
      </c>
    </row>
    <row r="782" spans="2:3">
      <c r="B782" s="74">
        <v>43378</v>
      </c>
      <c r="C782">
        <v>34376.99</v>
      </c>
    </row>
    <row r="783" spans="2:3">
      <c r="B783" s="74">
        <v>43381</v>
      </c>
      <c r="C783">
        <v>34474.379999999997</v>
      </c>
    </row>
    <row r="784" spans="2:3">
      <c r="B784" s="74">
        <v>43382</v>
      </c>
      <c r="C784">
        <v>34299.47</v>
      </c>
    </row>
    <row r="785" spans="2:3">
      <c r="B785" s="74">
        <v>43383</v>
      </c>
      <c r="C785">
        <v>34760.89</v>
      </c>
    </row>
    <row r="786" spans="2:3">
      <c r="B786" s="74">
        <v>43384</v>
      </c>
      <c r="C786">
        <v>34001.15</v>
      </c>
    </row>
    <row r="787" spans="2:3">
      <c r="B787" s="74">
        <v>43385</v>
      </c>
      <c r="C787">
        <v>34733.58</v>
      </c>
    </row>
    <row r="788" spans="2:3">
      <c r="B788" s="74">
        <v>43388</v>
      </c>
      <c r="C788">
        <v>34865.1</v>
      </c>
    </row>
    <row r="789" spans="2:3">
      <c r="B789" s="74">
        <v>43389</v>
      </c>
      <c r="C789">
        <v>35162.480000000003</v>
      </c>
    </row>
    <row r="790" spans="2:3">
      <c r="B790" s="74">
        <v>43390</v>
      </c>
      <c r="C790">
        <v>34779.58</v>
      </c>
    </row>
    <row r="791" spans="2:3">
      <c r="B791" s="74">
        <v>43392</v>
      </c>
      <c r="C791">
        <v>34315.629999999997</v>
      </c>
    </row>
    <row r="792" spans="2:3">
      <c r="B792" s="74">
        <v>43395</v>
      </c>
      <c r="C792">
        <v>34134.379999999997</v>
      </c>
    </row>
    <row r="793" spans="2:3">
      <c r="B793" s="74">
        <v>43396</v>
      </c>
      <c r="C793">
        <v>33847.230000000003</v>
      </c>
    </row>
    <row r="794" spans="2:3">
      <c r="B794" s="74">
        <v>43397</v>
      </c>
      <c r="C794">
        <v>34033.96</v>
      </c>
    </row>
    <row r="795" spans="2:3">
      <c r="B795" s="74">
        <v>43398</v>
      </c>
      <c r="C795">
        <v>33690.089999999997</v>
      </c>
    </row>
    <row r="796" spans="2:3">
      <c r="B796" s="74">
        <v>43399</v>
      </c>
      <c r="C796">
        <v>33349.31</v>
      </c>
    </row>
    <row r="797" spans="2:3">
      <c r="B797" s="74">
        <v>43402</v>
      </c>
      <c r="C797">
        <v>34067.4</v>
      </c>
    </row>
    <row r="798" spans="2:3">
      <c r="B798" s="74">
        <v>43403</v>
      </c>
      <c r="C798">
        <v>33891.129999999997</v>
      </c>
    </row>
    <row r="799" spans="2:3">
      <c r="B799" s="74">
        <v>43404</v>
      </c>
      <c r="C799">
        <v>34442.050000000003</v>
      </c>
    </row>
    <row r="800" spans="2:3">
      <c r="B800" s="74">
        <v>43405</v>
      </c>
      <c r="C800">
        <v>34431.97</v>
      </c>
    </row>
    <row r="801" spans="2:3">
      <c r="B801" s="74">
        <v>43406</v>
      </c>
      <c r="C801">
        <v>35011.65</v>
      </c>
    </row>
    <row r="802" spans="2:3">
      <c r="B802" s="74">
        <v>43409</v>
      </c>
      <c r="C802">
        <v>34950.92</v>
      </c>
    </row>
    <row r="803" spans="2:3">
      <c r="B803" s="74">
        <v>43410</v>
      </c>
      <c r="C803">
        <v>34991.910000000003</v>
      </c>
    </row>
    <row r="804" spans="2:3">
      <c r="B804" s="74">
        <v>43411</v>
      </c>
      <c r="C804">
        <v>35237.68</v>
      </c>
    </row>
    <row r="805" spans="2:3">
      <c r="B805" s="74">
        <v>43413</v>
      </c>
      <c r="C805">
        <v>35158.550000000003</v>
      </c>
    </row>
    <row r="806" spans="2:3">
      <c r="B806" s="74">
        <v>43416</v>
      </c>
      <c r="C806">
        <v>34812.99</v>
      </c>
    </row>
    <row r="807" spans="2:3">
      <c r="B807" s="74">
        <v>43417</v>
      </c>
      <c r="C807">
        <v>35144.49</v>
      </c>
    </row>
    <row r="808" spans="2:3">
      <c r="B808" s="74">
        <v>43418</v>
      </c>
      <c r="C808">
        <v>35141.99</v>
      </c>
    </row>
    <row r="809" spans="2:3">
      <c r="B809" s="74">
        <v>43419</v>
      </c>
      <c r="C809">
        <v>35260.54</v>
      </c>
    </row>
    <row r="810" spans="2:3">
      <c r="B810" s="74">
        <v>43420</v>
      </c>
      <c r="C810">
        <v>35457.160000000003</v>
      </c>
    </row>
    <row r="811" spans="2:3">
      <c r="B811" s="74">
        <v>43423</v>
      </c>
      <c r="C811">
        <v>35774.879999999997</v>
      </c>
    </row>
    <row r="812" spans="2:3">
      <c r="B812" s="74">
        <v>43424</v>
      </c>
      <c r="C812">
        <v>35474.51</v>
      </c>
    </row>
    <row r="813" spans="2:3">
      <c r="B813" s="74">
        <v>43425</v>
      </c>
      <c r="C813">
        <v>35199.800000000003</v>
      </c>
    </row>
    <row r="814" spans="2:3">
      <c r="B814" s="74">
        <v>43426</v>
      </c>
      <c r="C814">
        <v>34981.019999999997</v>
      </c>
    </row>
    <row r="815" spans="2:3">
      <c r="B815" s="74">
        <v>43430</v>
      </c>
      <c r="C815">
        <v>35354.080000000002</v>
      </c>
    </row>
    <row r="816" spans="2:3">
      <c r="B816" s="74">
        <v>43431</v>
      </c>
      <c r="C816">
        <v>35513.14</v>
      </c>
    </row>
    <row r="817" spans="2:3">
      <c r="B817" s="74">
        <v>43432</v>
      </c>
      <c r="C817">
        <v>35716.949999999997</v>
      </c>
    </row>
    <row r="818" spans="2:3">
      <c r="B818" s="74">
        <v>43433</v>
      </c>
      <c r="C818">
        <v>36170.410000000003</v>
      </c>
    </row>
    <row r="819" spans="2:3">
      <c r="B819" s="74">
        <v>43434</v>
      </c>
      <c r="C819">
        <v>36194.300000000003</v>
      </c>
    </row>
    <row r="820" spans="2:3">
      <c r="B820" s="74">
        <v>43437</v>
      </c>
      <c r="C820">
        <v>36241</v>
      </c>
    </row>
    <row r="821" spans="2:3">
      <c r="B821" s="74">
        <v>43438</v>
      </c>
      <c r="C821">
        <v>36134.31</v>
      </c>
    </row>
    <row r="822" spans="2:3">
      <c r="B822" s="74">
        <v>43439</v>
      </c>
      <c r="C822">
        <v>35884.410000000003</v>
      </c>
    </row>
    <row r="823" spans="2:3">
      <c r="B823" s="74">
        <v>43440</v>
      </c>
      <c r="C823">
        <v>35312.129999999997</v>
      </c>
    </row>
    <row r="824" spans="2:3">
      <c r="B824" s="74">
        <v>43441</v>
      </c>
      <c r="C824">
        <v>35673.25</v>
      </c>
    </row>
    <row r="825" spans="2:3">
      <c r="B825" s="74">
        <v>43444</v>
      </c>
      <c r="C825">
        <v>34959.72</v>
      </c>
    </row>
    <row r="826" spans="2:3">
      <c r="B826" s="74">
        <v>43445</v>
      </c>
      <c r="C826">
        <v>35150.01</v>
      </c>
    </row>
    <row r="827" spans="2:3">
      <c r="B827" s="74">
        <v>43446</v>
      </c>
      <c r="C827">
        <v>35779.07</v>
      </c>
    </row>
    <row r="828" spans="2:3">
      <c r="B828" s="74">
        <v>43447</v>
      </c>
      <c r="C828">
        <v>35929.64</v>
      </c>
    </row>
    <row r="829" spans="2:3">
      <c r="B829" s="74">
        <v>43448</v>
      </c>
      <c r="C829">
        <v>35962.93</v>
      </c>
    </row>
    <row r="830" spans="2:3">
      <c r="B830" s="74">
        <v>43451</v>
      </c>
      <c r="C830">
        <v>36270.07</v>
      </c>
    </row>
    <row r="831" spans="2:3">
      <c r="B831" s="74">
        <v>43452</v>
      </c>
      <c r="C831">
        <v>36347.08</v>
      </c>
    </row>
    <row r="832" spans="2:3">
      <c r="B832" s="74">
        <v>43453</v>
      </c>
      <c r="C832">
        <v>36484.33</v>
      </c>
    </row>
    <row r="833" spans="2:3">
      <c r="B833" s="74">
        <v>43454</v>
      </c>
      <c r="C833">
        <v>36431.67</v>
      </c>
    </row>
    <row r="834" spans="2:3">
      <c r="B834" s="74">
        <v>43455</v>
      </c>
      <c r="C834">
        <v>35742.07</v>
      </c>
    </row>
    <row r="835" spans="2:3">
      <c r="B835" s="74">
        <v>43458</v>
      </c>
      <c r="C835">
        <v>35470.15</v>
      </c>
    </row>
    <row r="836" spans="2:3">
      <c r="B836" s="74">
        <v>43460</v>
      </c>
      <c r="C836">
        <v>35649.94</v>
      </c>
    </row>
    <row r="837" spans="2:3">
      <c r="B837" s="74">
        <v>43461</v>
      </c>
      <c r="C837">
        <v>35807.279999999999</v>
      </c>
    </row>
    <row r="838" spans="2:3">
      <c r="B838" s="74">
        <v>43462</v>
      </c>
      <c r="C838">
        <v>36076.720000000001</v>
      </c>
    </row>
    <row r="839" spans="2:3">
      <c r="B839" s="74">
        <v>43465</v>
      </c>
      <c r="C839">
        <v>36068.33</v>
      </c>
    </row>
    <row r="840" spans="2:3">
      <c r="B840" s="74">
        <v>43466</v>
      </c>
      <c r="C840">
        <v>36254.57</v>
      </c>
    </row>
    <row r="841" spans="2:3">
      <c r="B841" s="74">
        <v>43467</v>
      </c>
      <c r="C841">
        <v>35891.519999999997</v>
      </c>
    </row>
    <row r="842" spans="2:3">
      <c r="B842" s="74">
        <v>43468</v>
      </c>
      <c r="C842">
        <v>35513.71</v>
      </c>
    </row>
    <row r="843" spans="2:3">
      <c r="B843" s="74">
        <v>43469</v>
      </c>
      <c r="C843">
        <v>35695.1</v>
      </c>
    </row>
    <row r="844" spans="2:3">
      <c r="B844" s="74">
        <v>43472</v>
      </c>
      <c r="C844">
        <v>35850.160000000003</v>
      </c>
    </row>
    <row r="845" spans="2:3">
      <c r="B845" s="74">
        <v>43473</v>
      </c>
      <c r="C845">
        <v>35980.93</v>
      </c>
    </row>
    <row r="846" spans="2:3">
      <c r="B846" s="74">
        <v>43474</v>
      </c>
      <c r="C846">
        <v>36212.910000000003</v>
      </c>
    </row>
    <row r="847" spans="2:3">
      <c r="B847" s="74">
        <v>43475</v>
      </c>
      <c r="C847">
        <v>36106.5</v>
      </c>
    </row>
    <row r="848" spans="2:3">
      <c r="B848" s="74">
        <v>43476</v>
      </c>
      <c r="C848">
        <v>36009.839999999997</v>
      </c>
    </row>
    <row r="849" spans="2:3">
      <c r="B849" s="74">
        <v>43479</v>
      </c>
      <c r="C849">
        <v>35853.56</v>
      </c>
    </row>
    <row r="850" spans="2:3">
      <c r="B850" s="74">
        <v>43480</v>
      </c>
      <c r="C850">
        <v>36318.33</v>
      </c>
    </row>
    <row r="851" spans="2:3">
      <c r="B851" s="74">
        <v>43481</v>
      </c>
      <c r="C851">
        <v>36321.29</v>
      </c>
    </row>
    <row r="852" spans="2:3">
      <c r="B852" s="74">
        <v>43482</v>
      </c>
      <c r="C852">
        <v>36374.080000000002</v>
      </c>
    </row>
    <row r="853" spans="2:3">
      <c r="B853" s="74">
        <v>43483</v>
      </c>
      <c r="C853">
        <v>36386.61</v>
      </c>
    </row>
    <row r="854" spans="2:3">
      <c r="B854" s="74">
        <v>43486</v>
      </c>
      <c r="C854">
        <v>36578.959999999999</v>
      </c>
    </row>
    <row r="855" spans="2:3">
      <c r="B855" s="74">
        <v>43487</v>
      </c>
      <c r="C855">
        <v>36444.639999999999</v>
      </c>
    </row>
    <row r="856" spans="2:3">
      <c r="B856" s="74">
        <v>43488</v>
      </c>
      <c r="C856">
        <v>36108.47</v>
      </c>
    </row>
    <row r="857" spans="2:3">
      <c r="B857" s="74">
        <v>43489</v>
      </c>
      <c r="C857">
        <v>36195.1</v>
      </c>
    </row>
    <row r="858" spans="2:3">
      <c r="B858" s="74">
        <v>43490</v>
      </c>
      <c r="C858">
        <v>36025.54</v>
      </c>
    </row>
    <row r="859" spans="2:3">
      <c r="B859" s="74">
        <v>43493</v>
      </c>
      <c r="C859">
        <v>35656.699999999997</v>
      </c>
    </row>
    <row r="860" spans="2:3">
      <c r="B860" s="74">
        <v>43494</v>
      </c>
      <c r="C860">
        <v>35592.5</v>
      </c>
    </row>
    <row r="861" spans="2:3">
      <c r="B861" s="74">
        <v>43495</v>
      </c>
      <c r="C861">
        <v>35591.25</v>
      </c>
    </row>
    <row r="862" spans="2:3">
      <c r="B862" s="74">
        <v>43496</v>
      </c>
      <c r="C862">
        <v>36256.69</v>
      </c>
    </row>
    <row r="863" spans="2:3">
      <c r="B863" s="74">
        <v>43497</v>
      </c>
      <c r="C863">
        <v>36469.43</v>
      </c>
    </row>
    <row r="864" spans="2:3">
      <c r="B864" s="74">
        <v>43500</v>
      </c>
      <c r="C864">
        <v>36582.74</v>
      </c>
    </row>
    <row r="865" spans="2:3">
      <c r="B865" s="74">
        <v>43501</v>
      </c>
      <c r="C865">
        <v>36616.81</v>
      </c>
    </row>
    <row r="866" spans="2:3">
      <c r="B866" s="74">
        <v>43502</v>
      </c>
      <c r="C866">
        <v>36975.230000000003</v>
      </c>
    </row>
    <row r="867" spans="2:3">
      <c r="B867" s="74">
        <v>43503</v>
      </c>
      <c r="C867">
        <v>36971.089999999997</v>
      </c>
    </row>
    <row r="868" spans="2:3">
      <c r="B868" s="74">
        <v>43504</v>
      </c>
      <c r="C868">
        <v>36546.480000000003</v>
      </c>
    </row>
    <row r="869" spans="2:3">
      <c r="B869" s="74">
        <v>43507</v>
      </c>
      <c r="C869">
        <v>36395.03</v>
      </c>
    </row>
    <row r="870" spans="2:3">
      <c r="B870" s="74">
        <v>43508</v>
      </c>
      <c r="C870">
        <v>36153.620000000003</v>
      </c>
    </row>
    <row r="871" spans="2:3">
      <c r="B871" s="74">
        <v>43509</v>
      </c>
      <c r="C871">
        <v>36034.11</v>
      </c>
    </row>
    <row r="872" spans="2:3">
      <c r="B872" s="74">
        <v>43510</v>
      </c>
      <c r="C872">
        <v>35876.22</v>
      </c>
    </row>
    <row r="873" spans="2:3">
      <c r="B873" s="74">
        <v>43511</v>
      </c>
      <c r="C873">
        <v>35808.949999999997</v>
      </c>
    </row>
    <row r="874" spans="2:3">
      <c r="B874" s="74">
        <v>43514</v>
      </c>
      <c r="C874">
        <v>35498.44</v>
      </c>
    </row>
    <row r="875" spans="2:3">
      <c r="B875" s="74">
        <v>43515</v>
      </c>
      <c r="C875">
        <v>35352.61</v>
      </c>
    </row>
    <row r="876" spans="2:3">
      <c r="B876" s="74">
        <v>43516</v>
      </c>
      <c r="C876">
        <v>35756.26</v>
      </c>
    </row>
    <row r="877" spans="2:3">
      <c r="B877" s="74">
        <v>43517</v>
      </c>
      <c r="C877">
        <v>35898.35</v>
      </c>
    </row>
    <row r="878" spans="2:3">
      <c r="B878" s="74">
        <v>43518</v>
      </c>
      <c r="C878">
        <v>35871.480000000003</v>
      </c>
    </row>
    <row r="879" spans="2:3">
      <c r="B879" s="74">
        <v>43521</v>
      </c>
      <c r="C879">
        <v>36213.379999999997</v>
      </c>
    </row>
    <row r="880" spans="2:3">
      <c r="B880" s="74">
        <v>43522</v>
      </c>
      <c r="C880">
        <v>35973.71</v>
      </c>
    </row>
    <row r="881" spans="2:3">
      <c r="B881" s="74">
        <v>43523</v>
      </c>
      <c r="C881">
        <v>35905.43</v>
      </c>
    </row>
    <row r="882" spans="2:3">
      <c r="B882" s="74">
        <v>43524</v>
      </c>
      <c r="C882">
        <v>35867.440000000002</v>
      </c>
    </row>
    <row r="883" spans="2:3">
      <c r="B883" s="74">
        <v>43525</v>
      </c>
      <c r="C883">
        <v>36063.81</v>
      </c>
    </row>
    <row r="884" spans="2:3">
      <c r="B884" s="74">
        <v>43529</v>
      </c>
      <c r="C884">
        <v>36442.54</v>
      </c>
    </row>
    <row r="885" spans="2:3">
      <c r="B885" s="74">
        <v>43530</v>
      </c>
      <c r="C885">
        <v>36636.1</v>
      </c>
    </row>
    <row r="886" spans="2:3">
      <c r="B886" s="74">
        <v>43531</v>
      </c>
      <c r="C886">
        <v>36725.42</v>
      </c>
    </row>
    <row r="887" spans="2:3">
      <c r="B887" s="74">
        <v>43532</v>
      </c>
      <c r="C887">
        <v>36671.43</v>
      </c>
    </row>
    <row r="888" spans="2:3">
      <c r="B888" s="74">
        <v>43535</v>
      </c>
      <c r="C888">
        <v>37054.1</v>
      </c>
    </row>
    <row r="889" spans="2:3">
      <c r="B889" s="74">
        <v>43536</v>
      </c>
      <c r="C889">
        <v>37535.660000000003</v>
      </c>
    </row>
    <row r="890" spans="2:3">
      <c r="B890" s="74">
        <v>43537</v>
      </c>
      <c r="C890">
        <v>37752.17</v>
      </c>
    </row>
    <row r="891" spans="2:3">
      <c r="B891" s="74">
        <v>43538</v>
      </c>
      <c r="C891">
        <v>37754.89</v>
      </c>
    </row>
    <row r="892" spans="2:3">
      <c r="B892" s="74">
        <v>43539</v>
      </c>
      <c r="C892">
        <v>38024.32</v>
      </c>
    </row>
    <row r="893" spans="2:3">
      <c r="B893" s="74">
        <v>43542</v>
      </c>
      <c r="C893">
        <v>38095.07</v>
      </c>
    </row>
    <row r="894" spans="2:3">
      <c r="B894" s="74">
        <v>43543</v>
      </c>
      <c r="C894">
        <v>38363.47</v>
      </c>
    </row>
    <row r="895" spans="2:3">
      <c r="B895" s="74">
        <v>43544</v>
      </c>
      <c r="C895">
        <v>38386.75</v>
      </c>
    </row>
    <row r="896" spans="2:3">
      <c r="B896" s="74">
        <v>43546</v>
      </c>
      <c r="C896">
        <v>38164.61</v>
      </c>
    </row>
    <row r="897" spans="2:3">
      <c r="B897" s="74">
        <v>43549</v>
      </c>
      <c r="C897">
        <v>37808.910000000003</v>
      </c>
    </row>
    <row r="898" spans="2:3">
      <c r="B898" s="74">
        <v>43550</v>
      </c>
      <c r="C898">
        <v>38233.410000000003</v>
      </c>
    </row>
    <row r="899" spans="2:3">
      <c r="B899" s="74">
        <v>43551</v>
      </c>
      <c r="C899">
        <v>38132.879999999997</v>
      </c>
    </row>
    <row r="900" spans="2:3">
      <c r="B900" s="74">
        <v>43552</v>
      </c>
      <c r="C900">
        <v>38545.72</v>
      </c>
    </row>
    <row r="901" spans="2:3">
      <c r="B901" s="74">
        <v>43553</v>
      </c>
      <c r="C901">
        <v>38672.910000000003</v>
      </c>
    </row>
    <row r="902" spans="2:3">
      <c r="B902" s="74">
        <v>43556</v>
      </c>
      <c r="C902">
        <v>38871.870000000003</v>
      </c>
    </row>
    <row r="903" spans="2:3">
      <c r="B903" s="74">
        <v>43557</v>
      </c>
      <c r="C903">
        <v>39056.65</v>
      </c>
    </row>
    <row r="904" spans="2:3">
      <c r="B904" s="74">
        <v>43558</v>
      </c>
      <c r="C904">
        <v>38877.120000000003</v>
      </c>
    </row>
    <row r="905" spans="2:3">
      <c r="B905" s="74">
        <v>43559</v>
      </c>
      <c r="C905">
        <v>38684.720000000001</v>
      </c>
    </row>
    <row r="906" spans="2:3">
      <c r="B906" s="74">
        <v>43560</v>
      </c>
      <c r="C906">
        <v>38862.230000000003</v>
      </c>
    </row>
    <row r="907" spans="2:3">
      <c r="B907" s="74">
        <v>43563</v>
      </c>
      <c r="C907">
        <v>38700.53</v>
      </c>
    </row>
    <row r="908" spans="2:3">
      <c r="B908" s="74">
        <v>43564</v>
      </c>
      <c r="C908">
        <v>38939.22</v>
      </c>
    </row>
    <row r="909" spans="2:3">
      <c r="B909" s="74">
        <v>43565</v>
      </c>
      <c r="C909">
        <v>38585.35</v>
      </c>
    </row>
    <row r="910" spans="2:3">
      <c r="B910" s="74">
        <v>43566</v>
      </c>
      <c r="C910">
        <v>38607.01</v>
      </c>
    </row>
    <row r="911" spans="2:3">
      <c r="B911" s="74">
        <v>43567</v>
      </c>
      <c r="C911">
        <v>38767.11</v>
      </c>
    </row>
    <row r="912" spans="2:3">
      <c r="B912" s="74">
        <v>43570</v>
      </c>
      <c r="C912">
        <v>38905.839999999997</v>
      </c>
    </row>
    <row r="913" spans="2:3">
      <c r="B913" s="74">
        <v>43571</v>
      </c>
      <c r="C913">
        <v>39275.64</v>
      </c>
    </row>
    <row r="914" spans="2:3">
      <c r="B914" s="74">
        <v>43573</v>
      </c>
      <c r="C914">
        <v>39140.28</v>
      </c>
    </row>
    <row r="915" spans="2:3">
      <c r="B915" s="74">
        <v>43577</v>
      </c>
      <c r="C915">
        <v>38645.18</v>
      </c>
    </row>
    <row r="916" spans="2:3">
      <c r="B916" s="74">
        <v>43578</v>
      </c>
      <c r="C916">
        <v>38564.879999999997</v>
      </c>
    </row>
    <row r="917" spans="2:3">
      <c r="B917" s="74">
        <v>43579</v>
      </c>
      <c r="C917">
        <v>39054.68</v>
      </c>
    </row>
    <row r="918" spans="2:3">
      <c r="B918" s="74">
        <v>43580</v>
      </c>
      <c r="C918">
        <v>38730.86</v>
      </c>
    </row>
    <row r="919" spans="2:3">
      <c r="B919" s="74">
        <v>43581</v>
      </c>
      <c r="C919">
        <v>39067.33</v>
      </c>
    </row>
    <row r="920" spans="2:3">
      <c r="B920" s="74">
        <v>43585</v>
      </c>
      <c r="C920">
        <v>39031.550000000003</v>
      </c>
    </row>
    <row r="921" spans="2:3">
      <c r="B921" s="74">
        <v>43587</v>
      </c>
      <c r="C921">
        <v>38981.43</v>
      </c>
    </row>
    <row r="922" spans="2:3">
      <c r="B922" s="74">
        <v>43588</v>
      </c>
      <c r="C922">
        <v>38963.26</v>
      </c>
    </row>
    <row r="923" spans="2:3">
      <c r="B923" s="74">
        <v>43591</v>
      </c>
      <c r="C923">
        <v>38600.339999999997</v>
      </c>
    </row>
    <row r="924" spans="2:3">
      <c r="B924" s="74">
        <v>43592</v>
      </c>
      <c r="C924">
        <v>38276.629999999997</v>
      </c>
    </row>
    <row r="925" spans="2:3">
      <c r="B925" s="74">
        <v>43593</v>
      </c>
      <c r="C925">
        <v>37789.129999999997</v>
      </c>
    </row>
    <row r="926" spans="2:3">
      <c r="B926" s="74">
        <v>43594</v>
      </c>
      <c r="C926">
        <v>37558.910000000003</v>
      </c>
    </row>
    <row r="927" spans="2:3">
      <c r="B927" s="74">
        <v>43595</v>
      </c>
      <c r="C927">
        <v>37462.99</v>
      </c>
    </row>
    <row r="928" spans="2:3">
      <c r="B928" s="74">
        <v>43598</v>
      </c>
      <c r="C928">
        <v>37090.82</v>
      </c>
    </row>
    <row r="929" spans="2:3">
      <c r="B929" s="74">
        <v>43599</v>
      </c>
      <c r="C929">
        <v>37318.53</v>
      </c>
    </row>
    <row r="930" spans="2:3">
      <c r="B930" s="74">
        <v>43600</v>
      </c>
      <c r="C930">
        <v>37114.879999999997</v>
      </c>
    </row>
    <row r="931" spans="2:3">
      <c r="B931" s="74">
        <v>43601</v>
      </c>
      <c r="C931">
        <v>37393.480000000003</v>
      </c>
    </row>
    <row r="932" spans="2:3">
      <c r="B932" s="74">
        <v>43602</v>
      </c>
      <c r="C932">
        <v>37930.769999999997</v>
      </c>
    </row>
    <row r="933" spans="2:3">
      <c r="B933" s="74">
        <v>43605</v>
      </c>
      <c r="C933">
        <v>39352.67</v>
      </c>
    </row>
    <row r="934" spans="2:3">
      <c r="B934" s="74">
        <v>43606</v>
      </c>
      <c r="C934">
        <v>38969.800000000003</v>
      </c>
    </row>
    <row r="935" spans="2:3">
      <c r="B935" s="74">
        <v>43607</v>
      </c>
      <c r="C935">
        <v>39110.21</v>
      </c>
    </row>
    <row r="936" spans="2:3">
      <c r="B936" s="74">
        <v>43608</v>
      </c>
      <c r="C936">
        <v>38811.39</v>
      </c>
    </row>
    <row r="937" spans="2:3">
      <c r="B937" s="74">
        <v>43609</v>
      </c>
      <c r="C937">
        <v>39434.720000000001</v>
      </c>
    </row>
    <row r="938" spans="2:3">
      <c r="B938" s="74">
        <v>43612</v>
      </c>
      <c r="C938">
        <v>39683.29</v>
      </c>
    </row>
    <row r="939" spans="2:3">
      <c r="B939" s="74">
        <v>43613</v>
      </c>
      <c r="C939">
        <v>39749.730000000003</v>
      </c>
    </row>
    <row r="940" spans="2:3">
      <c r="B940" s="74">
        <v>43614</v>
      </c>
      <c r="C940">
        <v>39502.050000000003</v>
      </c>
    </row>
    <row r="941" spans="2:3">
      <c r="B941" s="74">
        <v>43615</v>
      </c>
      <c r="C941">
        <v>39831.97</v>
      </c>
    </row>
    <row r="942" spans="2:3">
      <c r="B942" s="74">
        <v>43616</v>
      </c>
      <c r="C942">
        <v>39714.199999999997</v>
      </c>
    </row>
    <row r="943" spans="2:3">
      <c r="B943" s="74">
        <v>43619</v>
      </c>
      <c r="C943">
        <v>40267.620000000003</v>
      </c>
    </row>
    <row r="944" spans="2:3">
      <c r="B944" s="74">
        <v>43620</v>
      </c>
      <c r="C944">
        <v>40083.54</v>
      </c>
    </row>
    <row r="945" spans="2:3">
      <c r="B945" s="74">
        <v>43622</v>
      </c>
      <c r="C945">
        <v>39529.72</v>
      </c>
    </row>
    <row r="946" spans="2:3">
      <c r="B946" s="74">
        <v>43623</v>
      </c>
      <c r="C946">
        <v>39615.9</v>
      </c>
    </row>
    <row r="947" spans="2:3">
      <c r="B947" s="74">
        <v>43626</v>
      </c>
      <c r="C947">
        <v>39784.519999999997</v>
      </c>
    </row>
    <row r="948" spans="2:3">
      <c r="B948" s="74">
        <v>43627</v>
      </c>
      <c r="C948">
        <v>39950.46</v>
      </c>
    </row>
    <row r="949" spans="2:3">
      <c r="B949" s="74">
        <v>43628</v>
      </c>
      <c r="C949">
        <v>39756.81</v>
      </c>
    </row>
    <row r="950" spans="2:3">
      <c r="B950" s="74">
        <v>43629</v>
      </c>
      <c r="C950">
        <v>39741.360000000001</v>
      </c>
    </row>
    <row r="951" spans="2:3">
      <c r="B951" s="74">
        <v>43630</v>
      </c>
      <c r="C951">
        <v>39452.07</v>
      </c>
    </row>
    <row r="952" spans="2:3">
      <c r="B952" s="74">
        <v>43633</v>
      </c>
      <c r="C952">
        <v>38960.79</v>
      </c>
    </row>
    <row r="953" spans="2:3">
      <c r="B953" s="74">
        <v>43634</v>
      </c>
      <c r="C953">
        <v>39046.339999999997</v>
      </c>
    </row>
    <row r="954" spans="2:3">
      <c r="B954" s="74">
        <v>43635</v>
      </c>
      <c r="C954">
        <v>39112.74</v>
      </c>
    </row>
    <row r="955" spans="2:3">
      <c r="B955" s="74">
        <v>43636</v>
      </c>
      <c r="C955">
        <v>39601.629999999997</v>
      </c>
    </row>
    <row r="956" spans="2:3">
      <c r="B956" s="74">
        <v>43637</v>
      </c>
      <c r="C956">
        <v>39194.49</v>
      </c>
    </row>
    <row r="957" spans="2:3">
      <c r="B957" s="74">
        <v>43640</v>
      </c>
      <c r="C957">
        <v>39122.959999999999</v>
      </c>
    </row>
    <row r="958" spans="2:3">
      <c r="B958" s="74">
        <v>43641</v>
      </c>
      <c r="C958">
        <v>39434.94</v>
      </c>
    </row>
    <row r="959" spans="2:3">
      <c r="B959" s="74">
        <v>43642</v>
      </c>
      <c r="C959">
        <v>39592.080000000002</v>
      </c>
    </row>
    <row r="960" spans="2:3">
      <c r="B960" s="74">
        <v>43643</v>
      </c>
      <c r="C960">
        <v>39586.410000000003</v>
      </c>
    </row>
    <row r="961" spans="2:3">
      <c r="B961" s="74">
        <v>43644</v>
      </c>
      <c r="C961">
        <v>39394.639999999999</v>
      </c>
    </row>
    <row r="962" spans="2:3">
      <c r="B962" s="74">
        <v>43647</v>
      </c>
      <c r="C962">
        <v>39686.5</v>
      </c>
    </row>
    <row r="963" spans="2:3">
      <c r="B963" s="74">
        <v>43648</v>
      </c>
      <c r="C963">
        <v>39816.480000000003</v>
      </c>
    </row>
    <row r="964" spans="2:3">
      <c r="B964" s="74">
        <v>43649</v>
      </c>
      <c r="C964">
        <v>39839.25</v>
      </c>
    </row>
    <row r="965" spans="2:3">
      <c r="B965" s="74">
        <v>43650</v>
      </c>
      <c r="C965">
        <v>39908.06</v>
      </c>
    </row>
    <row r="966" spans="2:3">
      <c r="B966" s="74">
        <v>43651</v>
      </c>
      <c r="C966">
        <v>39513.39</v>
      </c>
    </row>
    <row r="967" spans="2:3">
      <c r="B967" s="74">
        <v>43654</v>
      </c>
      <c r="C967">
        <v>38720.57</v>
      </c>
    </row>
    <row r="968" spans="2:3">
      <c r="B968" s="74">
        <v>43655</v>
      </c>
      <c r="C968">
        <v>38730.82</v>
      </c>
    </row>
    <row r="969" spans="2:3">
      <c r="B969" s="74">
        <v>43656</v>
      </c>
      <c r="C969">
        <v>38557.040000000001</v>
      </c>
    </row>
    <row r="970" spans="2:3">
      <c r="B970" s="74">
        <v>43657</v>
      </c>
      <c r="C970">
        <v>38823.11</v>
      </c>
    </row>
    <row r="971" spans="2:3">
      <c r="B971" s="74">
        <v>43658</v>
      </c>
      <c r="C971">
        <v>38736.230000000003</v>
      </c>
    </row>
    <row r="972" spans="2:3">
      <c r="B972" s="74">
        <v>43661</v>
      </c>
      <c r="C972">
        <v>38896.71</v>
      </c>
    </row>
    <row r="973" spans="2:3">
      <c r="B973" s="74">
        <v>43662</v>
      </c>
      <c r="C973">
        <v>39131.040000000001</v>
      </c>
    </row>
    <row r="974" spans="2:3">
      <c r="B974" s="74">
        <v>43663</v>
      </c>
      <c r="C974">
        <v>39215.64</v>
      </c>
    </row>
    <row r="975" spans="2:3">
      <c r="B975" s="74">
        <v>43664</v>
      </c>
      <c r="C975">
        <v>38897.46</v>
      </c>
    </row>
    <row r="976" spans="2:3">
      <c r="B976" s="74">
        <v>43665</v>
      </c>
      <c r="C976">
        <v>38337.01</v>
      </c>
    </row>
    <row r="977" spans="2:3">
      <c r="B977" s="74">
        <v>43668</v>
      </c>
      <c r="C977">
        <v>38031.129999999997</v>
      </c>
    </row>
    <row r="978" spans="2:3">
      <c r="B978" s="74">
        <v>43669</v>
      </c>
      <c r="C978">
        <v>37982.74</v>
      </c>
    </row>
    <row r="979" spans="2:3">
      <c r="B979" s="74">
        <v>43670</v>
      </c>
      <c r="C979">
        <v>37847.65</v>
      </c>
    </row>
    <row r="980" spans="2:3">
      <c r="B980" s="74">
        <v>43671</v>
      </c>
      <c r="C980">
        <v>37830.980000000003</v>
      </c>
    </row>
    <row r="981" spans="2:3">
      <c r="B981" s="74">
        <v>43672</v>
      </c>
      <c r="C981">
        <v>37882.79</v>
      </c>
    </row>
    <row r="982" spans="2:3">
      <c r="B982" s="74">
        <v>43675</v>
      </c>
      <c r="C982">
        <v>37686.370000000003</v>
      </c>
    </row>
    <row r="983" spans="2:3">
      <c r="B983" s="74">
        <v>43676</v>
      </c>
      <c r="C983">
        <v>37397.24</v>
      </c>
    </row>
    <row r="984" spans="2:3">
      <c r="B984" s="74">
        <v>43677</v>
      </c>
      <c r="C984">
        <v>37481.120000000003</v>
      </c>
    </row>
    <row r="985" spans="2:3">
      <c r="B985" s="74">
        <v>43678</v>
      </c>
      <c r="C985">
        <v>37018.32</v>
      </c>
    </row>
    <row r="986" spans="2:3">
      <c r="B986" s="74">
        <v>43679</v>
      </c>
      <c r="C986">
        <v>37118.22</v>
      </c>
    </row>
    <row r="987" spans="2:3">
      <c r="B987" s="74">
        <v>43682</v>
      </c>
      <c r="C987">
        <v>36699.839999999997</v>
      </c>
    </row>
    <row r="988" spans="2:3">
      <c r="B988" s="74">
        <v>43683</v>
      </c>
      <c r="C988">
        <v>36976.85</v>
      </c>
    </row>
    <row r="989" spans="2:3">
      <c r="B989" s="74">
        <v>43684</v>
      </c>
      <c r="C989">
        <v>36690.5</v>
      </c>
    </row>
    <row r="990" spans="2:3">
      <c r="B990" s="74">
        <v>43685</v>
      </c>
      <c r="C990">
        <v>37327.360000000001</v>
      </c>
    </row>
    <row r="991" spans="2:3">
      <c r="B991" s="74">
        <v>43686</v>
      </c>
      <c r="C991">
        <v>37581.910000000003</v>
      </c>
    </row>
    <row r="992" spans="2:3">
      <c r="B992" s="74">
        <v>43690</v>
      </c>
      <c r="C992">
        <v>36958.160000000003</v>
      </c>
    </row>
    <row r="993" spans="2:3">
      <c r="B993" s="74">
        <v>43691</v>
      </c>
      <c r="C993">
        <v>37311.53</v>
      </c>
    </row>
    <row r="994" spans="2:3">
      <c r="B994" s="74">
        <v>43693</v>
      </c>
      <c r="C994">
        <v>37350.33</v>
      </c>
    </row>
    <row r="995" spans="2:3">
      <c r="B995" s="74">
        <v>43696</v>
      </c>
      <c r="C995">
        <v>37402.49</v>
      </c>
    </row>
    <row r="996" spans="2:3">
      <c r="B996" s="74">
        <v>43697</v>
      </c>
      <c r="C996">
        <v>37328.01</v>
      </c>
    </row>
    <row r="997" spans="2:3">
      <c r="B997" s="74">
        <v>43698</v>
      </c>
      <c r="C997">
        <v>37060.370000000003</v>
      </c>
    </row>
    <row r="998" spans="2:3">
      <c r="B998" s="74">
        <v>43699</v>
      </c>
      <c r="C998">
        <v>36472.93</v>
      </c>
    </row>
    <row r="999" spans="2:3">
      <c r="B999" s="74">
        <v>43700</v>
      </c>
      <c r="C999">
        <v>36701.160000000003</v>
      </c>
    </row>
    <row r="1000" spans="2:3">
      <c r="B1000" s="74">
        <v>43703</v>
      </c>
      <c r="C1000">
        <v>37494.120000000003</v>
      </c>
    </row>
    <row r="1001" spans="2:3">
      <c r="B1001" s="74">
        <v>43704</v>
      </c>
      <c r="C1001">
        <v>37641.269999999997</v>
      </c>
    </row>
    <row r="1002" spans="2:3">
      <c r="B1002" s="74">
        <v>43705</v>
      </c>
      <c r="C1002">
        <v>37451.839999999997</v>
      </c>
    </row>
    <row r="1003" spans="2:3">
      <c r="B1003" s="74">
        <v>43706</v>
      </c>
      <c r="C1003">
        <v>37068.93</v>
      </c>
    </row>
    <row r="1004" spans="2:3">
      <c r="B1004" s="74">
        <v>43707</v>
      </c>
      <c r="C1004">
        <v>37332.79</v>
      </c>
    </row>
    <row r="1005" spans="2:3">
      <c r="B1005" s="74">
        <v>43711</v>
      </c>
      <c r="C1005">
        <v>36562.910000000003</v>
      </c>
    </row>
    <row r="1006" spans="2:3">
      <c r="B1006" s="74">
        <v>43712</v>
      </c>
      <c r="C1006">
        <v>36724.74</v>
      </c>
    </row>
    <row r="1007" spans="2:3">
      <c r="B1007" s="74">
        <v>43713</v>
      </c>
      <c r="C1007">
        <v>36644.42</v>
      </c>
    </row>
    <row r="1008" spans="2:3">
      <c r="B1008" s="74">
        <v>43714</v>
      </c>
      <c r="C1008">
        <v>36981.769999999997</v>
      </c>
    </row>
    <row r="1009" spans="2:3">
      <c r="B1009" s="74">
        <v>43717</v>
      </c>
      <c r="C1009">
        <v>37145.449999999997</v>
      </c>
    </row>
    <row r="1010" spans="2:3">
      <c r="B1010" s="74">
        <v>43719</v>
      </c>
      <c r="C1010">
        <v>37270.82</v>
      </c>
    </row>
    <row r="1011" spans="2:3">
      <c r="B1011" s="74">
        <v>43720</v>
      </c>
      <c r="C1011">
        <v>37104.28</v>
      </c>
    </row>
    <row r="1012" spans="2:3">
      <c r="B1012" s="74">
        <v>43721</v>
      </c>
      <c r="C1012">
        <v>37384.99</v>
      </c>
    </row>
    <row r="1013" spans="2:3">
      <c r="B1013" s="74">
        <v>43724</v>
      </c>
      <c r="C1013">
        <v>37123.31</v>
      </c>
    </row>
    <row r="1014" spans="2:3">
      <c r="B1014" s="74">
        <v>43725</v>
      </c>
      <c r="C1014">
        <v>36481.089999999997</v>
      </c>
    </row>
    <row r="1015" spans="2:3">
      <c r="B1015" s="74">
        <v>43726</v>
      </c>
      <c r="C1015">
        <v>36563.879999999997</v>
      </c>
    </row>
    <row r="1016" spans="2:3">
      <c r="B1016" s="74">
        <v>43727</v>
      </c>
      <c r="C1016">
        <v>36093.47</v>
      </c>
    </row>
    <row r="1017" spans="2:3">
      <c r="B1017" s="74">
        <v>43728</v>
      </c>
      <c r="C1017">
        <v>38014.620000000003</v>
      </c>
    </row>
    <row r="1018" spans="2:3">
      <c r="B1018" s="74">
        <v>43731</v>
      </c>
      <c r="C1018">
        <v>39090.03</v>
      </c>
    </row>
    <row r="1019" spans="2:3">
      <c r="B1019" s="74">
        <v>43732</v>
      </c>
      <c r="C1019">
        <v>39097.14</v>
      </c>
    </row>
    <row r="1020" spans="2:3">
      <c r="B1020" s="74">
        <v>43733</v>
      </c>
      <c r="C1020">
        <v>38593.519999999997</v>
      </c>
    </row>
    <row r="1021" spans="2:3">
      <c r="B1021" s="74">
        <v>43734</v>
      </c>
      <c r="C1021">
        <v>38989.74</v>
      </c>
    </row>
    <row r="1022" spans="2:3">
      <c r="B1022" s="74">
        <v>43735</v>
      </c>
      <c r="C1022">
        <v>38822.57</v>
      </c>
    </row>
    <row r="1023" spans="2:3">
      <c r="B1023" s="74">
        <v>43738</v>
      </c>
      <c r="C1023">
        <v>38667.33</v>
      </c>
    </row>
    <row r="1024" spans="2:3">
      <c r="B1024" s="74">
        <v>43739</v>
      </c>
      <c r="C1024">
        <v>38305.410000000003</v>
      </c>
    </row>
    <row r="1025" spans="2:3">
      <c r="B1025" s="74">
        <v>43741</v>
      </c>
      <c r="C1025">
        <v>38106.870000000003</v>
      </c>
    </row>
    <row r="1026" spans="2:3">
      <c r="B1026" s="74">
        <v>43742</v>
      </c>
      <c r="C1026">
        <v>37673.31</v>
      </c>
    </row>
    <row r="1027" spans="2:3">
      <c r="B1027" s="74">
        <v>43745</v>
      </c>
      <c r="C1027">
        <v>37531.980000000003</v>
      </c>
    </row>
    <row r="1028" spans="2:3">
      <c r="B1028" s="74">
        <v>43747</v>
      </c>
      <c r="C1028">
        <v>38177.949999999997</v>
      </c>
    </row>
    <row r="1029" spans="2:3">
      <c r="B1029" s="74">
        <v>43748</v>
      </c>
      <c r="C1029">
        <v>37880.400000000001</v>
      </c>
    </row>
    <row r="1030" spans="2:3">
      <c r="B1030" s="74">
        <v>43749</v>
      </c>
      <c r="C1030">
        <v>38127.08</v>
      </c>
    </row>
    <row r="1031" spans="2:3">
      <c r="B1031" s="74">
        <v>43752</v>
      </c>
      <c r="C1031">
        <v>38214.47</v>
      </c>
    </row>
    <row r="1032" spans="2:3">
      <c r="B1032" s="74">
        <v>43753</v>
      </c>
      <c r="C1032">
        <v>38506.089999999997</v>
      </c>
    </row>
    <row r="1033" spans="2:3">
      <c r="B1033" s="74">
        <v>43754</v>
      </c>
      <c r="C1033">
        <v>38598.99</v>
      </c>
    </row>
    <row r="1034" spans="2:3">
      <c r="B1034" s="74">
        <v>43755</v>
      </c>
      <c r="C1034">
        <v>39052.06</v>
      </c>
    </row>
    <row r="1035" spans="2:3">
      <c r="B1035" s="74">
        <v>43756</v>
      </c>
      <c r="C1035">
        <v>39298.379999999997</v>
      </c>
    </row>
    <row r="1036" spans="2:3">
      <c r="B1036" s="74">
        <v>43760</v>
      </c>
      <c r="C1036">
        <v>38963.839999999997</v>
      </c>
    </row>
    <row r="1037" spans="2:3">
      <c r="B1037" s="74">
        <v>43761</v>
      </c>
      <c r="C1037">
        <v>39058.83</v>
      </c>
    </row>
    <row r="1038" spans="2:3">
      <c r="B1038" s="74">
        <v>43762</v>
      </c>
      <c r="C1038">
        <v>39020.39</v>
      </c>
    </row>
    <row r="1039" spans="2:3">
      <c r="B1039" s="74">
        <v>43763</v>
      </c>
      <c r="C1039">
        <v>39058.06</v>
      </c>
    </row>
    <row r="1040" spans="2:3">
      <c r="B1040" s="74">
        <v>43765</v>
      </c>
      <c r="C1040">
        <v>39250.199999999997</v>
      </c>
    </row>
    <row r="1041" spans="2:3">
      <c r="B1041" s="74">
        <v>43767</v>
      </c>
      <c r="C1041">
        <v>39831.839999999997</v>
      </c>
    </row>
    <row r="1042" spans="2:3">
      <c r="B1042" s="74">
        <v>43768</v>
      </c>
      <c r="C1042">
        <v>40051.870000000003</v>
      </c>
    </row>
    <row r="1043" spans="2:3">
      <c r="B1043" s="74">
        <v>43769</v>
      </c>
      <c r="C1043">
        <v>40129.050000000003</v>
      </c>
    </row>
    <row r="1044" spans="2:3">
      <c r="B1044" s="74">
        <v>43770</v>
      </c>
      <c r="C1044">
        <v>40165.03</v>
      </c>
    </row>
    <row r="1045" spans="2:3">
      <c r="B1045" s="74">
        <v>43773</v>
      </c>
      <c r="C1045">
        <v>40301.96</v>
      </c>
    </row>
    <row r="1046" spans="2:3">
      <c r="B1046" s="74">
        <v>43774</v>
      </c>
      <c r="C1046">
        <v>40248.230000000003</v>
      </c>
    </row>
    <row r="1047" spans="2:3">
      <c r="B1047" s="74">
        <v>43775</v>
      </c>
      <c r="C1047">
        <v>40469.78</v>
      </c>
    </row>
    <row r="1048" spans="2:3">
      <c r="B1048" s="74">
        <v>43776</v>
      </c>
      <c r="C1048">
        <v>40653.74</v>
      </c>
    </row>
    <row r="1049" spans="2:3">
      <c r="B1049" s="74">
        <v>43777</v>
      </c>
      <c r="C1049">
        <v>40323.61</v>
      </c>
    </row>
    <row r="1050" spans="2:3">
      <c r="B1050" s="74">
        <v>43780</v>
      </c>
      <c r="C1050">
        <v>40345.08</v>
      </c>
    </row>
    <row r="1051" spans="2:3">
      <c r="B1051" s="74">
        <v>43782</v>
      </c>
      <c r="C1051">
        <v>40116.06</v>
      </c>
    </row>
    <row r="1052" spans="2:3">
      <c r="B1052" s="74">
        <v>43783</v>
      </c>
      <c r="C1052">
        <v>40286.480000000003</v>
      </c>
    </row>
    <row r="1053" spans="2:3">
      <c r="B1053" s="74">
        <v>43784</v>
      </c>
      <c r="C1053">
        <v>40356.69</v>
      </c>
    </row>
    <row r="1054" spans="2:3">
      <c r="B1054" s="74">
        <v>43787</v>
      </c>
      <c r="C1054">
        <v>40284.19</v>
      </c>
    </row>
    <row r="1055" spans="2:3">
      <c r="B1055" s="74">
        <v>43788</v>
      </c>
      <c r="C1055">
        <v>40469.699999999997</v>
      </c>
    </row>
    <row r="1056" spans="2:3">
      <c r="B1056" s="74">
        <v>43789</v>
      </c>
      <c r="C1056">
        <v>40651.64</v>
      </c>
    </row>
    <row r="1057" spans="2:3">
      <c r="B1057" s="74">
        <v>43790</v>
      </c>
      <c r="C1057">
        <v>40575.17</v>
      </c>
    </row>
    <row r="1058" spans="2:3">
      <c r="B1058" s="74">
        <v>43791</v>
      </c>
      <c r="C1058">
        <v>40359.410000000003</v>
      </c>
    </row>
    <row r="1059" spans="2:3">
      <c r="B1059" s="74">
        <v>43794</v>
      </c>
      <c r="C1059">
        <v>40889.230000000003</v>
      </c>
    </row>
    <row r="1060" spans="2:3">
      <c r="B1060" s="74">
        <v>43795</v>
      </c>
      <c r="C1060">
        <v>40821.300000000003</v>
      </c>
    </row>
    <row r="1061" spans="2:3">
      <c r="B1061" s="74">
        <v>43796</v>
      </c>
      <c r="C1061">
        <v>41020.61</v>
      </c>
    </row>
    <row r="1062" spans="2:3">
      <c r="B1062" s="74">
        <v>43797</v>
      </c>
      <c r="C1062">
        <v>41130.17</v>
      </c>
    </row>
    <row r="1063" spans="2:3">
      <c r="B1063" s="74">
        <v>43798</v>
      </c>
      <c r="C1063">
        <v>40793.81</v>
      </c>
    </row>
    <row r="1064" spans="2:3">
      <c r="B1064" s="74">
        <v>43801</v>
      </c>
      <c r="C1064">
        <v>40802.17</v>
      </c>
    </row>
    <row r="1065" spans="2:3">
      <c r="B1065" s="74">
        <v>43802</v>
      </c>
      <c r="C1065">
        <v>40675.449999999997</v>
      </c>
    </row>
    <row r="1066" spans="2:3">
      <c r="B1066" s="74">
        <v>43803</v>
      </c>
      <c r="C1066">
        <v>40850.29</v>
      </c>
    </row>
    <row r="1067" spans="2:3">
      <c r="B1067" s="74">
        <v>43804</v>
      </c>
      <c r="C1067">
        <v>40779.589999999997</v>
      </c>
    </row>
    <row r="1068" spans="2:3">
      <c r="B1068" s="74">
        <v>43805</v>
      </c>
      <c r="C1068">
        <v>40445.15</v>
      </c>
    </row>
    <row r="1069" spans="2:3">
      <c r="B1069" s="74">
        <v>43808</v>
      </c>
      <c r="C1069">
        <v>40487.43</v>
      </c>
    </row>
    <row r="1070" spans="2:3">
      <c r="B1070" s="74">
        <v>43809</v>
      </c>
      <c r="C1070">
        <v>40239.879999999997</v>
      </c>
    </row>
    <row r="1071" spans="2:3">
      <c r="B1071" s="74">
        <v>43810</v>
      </c>
      <c r="C1071">
        <v>40412.57</v>
      </c>
    </row>
    <row r="1072" spans="2:3">
      <c r="B1072" s="74">
        <v>43811</v>
      </c>
      <c r="C1072">
        <v>40581.71</v>
      </c>
    </row>
    <row r="1073" spans="2:3">
      <c r="B1073" s="74">
        <v>43812</v>
      </c>
      <c r="C1073">
        <v>41009.71</v>
      </c>
    </row>
    <row r="1074" spans="2:3">
      <c r="B1074" s="74">
        <v>43815</v>
      </c>
      <c r="C1074">
        <v>40938.720000000001</v>
      </c>
    </row>
    <row r="1075" spans="2:3">
      <c r="B1075" s="74">
        <v>43816</v>
      </c>
      <c r="C1075">
        <v>41352.17</v>
      </c>
    </row>
    <row r="1076" spans="2:3">
      <c r="B1076" s="74">
        <v>43817</v>
      </c>
      <c r="C1076">
        <v>41558.57</v>
      </c>
    </row>
    <row r="1077" spans="2:3">
      <c r="B1077" s="74">
        <v>43818</v>
      </c>
      <c r="C1077">
        <v>41673.919999999998</v>
      </c>
    </row>
    <row r="1078" spans="2:3">
      <c r="B1078" s="74">
        <v>43819</v>
      </c>
      <c r="C1078">
        <v>41681.54</v>
      </c>
    </row>
    <row r="1079" spans="2:3">
      <c r="B1079" s="74">
        <v>43822</v>
      </c>
      <c r="C1079">
        <v>41642.660000000003</v>
      </c>
    </row>
    <row r="1080" spans="2:3">
      <c r="B1080" s="74">
        <v>43823</v>
      </c>
      <c r="C1080">
        <v>41461.26</v>
      </c>
    </row>
    <row r="1081" spans="2:3">
      <c r="B1081" s="74">
        <v>43825</v>
      </c>
      <c r="C1081">
        <v>41163.760000000002</v>
      </c>
    </row>
    <row r="1082" spans="2:3">
      <c r="B1082" s="74">
        <v>43826</v>
      </c>
      <c r="C1082">
        <v>41575.14</v>
      </c>
    </row>
    <row r="1083" spans="2:3">
      <c r="B1083" s="74">
        <v>43829</v>
      </c>
      <c r="C1083">
        <v>41558</v>
      </c>
    </row>
    <row r="1084" spans="2:3">
      <c r="B1084" s="74">
        <v>43830</v>
      </c>
      <c r="C1084">
        <v>41253.74</v>
      </c>
    </row>
    <row r="1085" spans="2:3">
      <c r="B1085" s="74">
        <v>43831</v>
      </c>
      <c r="C1085">
        <v>41306.019999999997</v>
      </c>
    </row>
    <row r="1086" spans="2:3">
      <c r="B1086" s="74">
        <v>43832</v>
      </c>
      <c r="C1086">
        <v>41626.639999999999</v>
      </c>
    </row>
    <row r="1087" spans="2:3">
      <c r="B1087" s="74">
        <v>43833</v>
      </c>
      <c r="C1087">
        <v>41464.61</v>
      </c>
    </row>
    <row r="1088" spans="2:3">
      <c r="B1088" s="74">
        <v>43836</v>
      </c>
      <c r="C1088">
        <v>40676.629999999997</v>
      </c>
    </row>
    <row r="1089" spans="2:3">
      <c r="B1089" s="74">
        <v>43837</v>
      </c>
      <c r="C1089">
        <v>40869.47</v>
      </c>
    </row>
    <row r="1090" spans="2:3">
      <c r="B1090" s="74">
        <v>43838</v>
      </c>
      <c r="C1090">
        <v>40817.74</v>
      </c>
    </row>
    <row r="1091" spans="2:3">
      <c r="B1091" s="74">
        <v>43839</v>
      </c>
      <c r="C1091">
        <v>41452.35</v>
      </c>
    </row>
    <row r="1092" spans="2:3">
      <c r="B1092" s="74">
        <v>43840</v>
      </c>
      <c r="C1092">
        <v>41599.72</v>
      </c>
    </row>
    <row r="1093" spans="2:3">
      <c r="B1093" s="74">
        <v>43843</v>
      </c>
      <c r="C1093">
        <v>41859.69</v>
      </c>
    </row>
    <row r="1094" spans="2:3">
      <c r="B1094" s="74">
        <v>43844</v>
      </c>
      <c r="C1094">
        <v>41952.63</v>
      </c>
    </row>
    <row r="1095" spans="2:3">
      <c r="B1095" s="74">
        <v>43845</v>
      </c>
      <c r="C1095">
        <v>41872.730000000003</v>
      </c>
    </row>
    <row r="1096" spans="2:3">
      <c r="B1096" s="74">
        <v>43846</v>
      </c>
      <c r="C1096">
        <v>41932.559999999998</v>
      </c>
    </row>
    <row r="1097" spans="2:3">
      <c r="B1097" s="74">
        <v>43847</v>
      </c>
      <c r="C1097">
        <v>41945.37</v>
      </c>
    </row>
    <row r="1098" spans="2:3">
      <c r="B1098" s="74">
        <v>43850</v>
      </c>
      <c r="C1098">
        <v>41528.910000000003</v>
      </c>
    </row>
    <row r="1099" spans="2:3">
      <c r="B1099" s="74">
        <v>43851</v>
      </c>
      <c r="C1099">
        <v>41323.81</v>
      </c>
    </row>
    <row r="1100" spans="2:3">
      <c r="B1100" s="74">
        <v>43852</v>
      </c>
      <c r="C1100">
        <v>41115.379999999997</v>
      </c>
    </row>
    <row r="1101" spans="2:3">
      <c r="B1101" s="74">
        <v>43853</v>
      </c>
      <c r="C1101">
        <v>41386.400000000001</v>
      </c>
    </row>
    <row r="1102" spans="2:3">
      <c r="B1102" s="74">
        <v>43854</v>
      </c>
      <c r="C1102">
        <v>41613.19</v>
      </c>
    </row>
    <row r="1103" spans="2:3">
      <c r="B1103" s="74">
        <v>43857</v>
      </c>
      <c r="C1103">
        <v>41155.120000000003</v>
      </c>
    </row>
    <row r="1104" spans="2:3">
      <c r="B1104" s="74">
        <v>43858</v>
      </c>
      <c r="C1104">
        <v>40966.86</v>
      </c>
    </row>
    <row r="1105" spans="2:3">
      <c r="B1105" s="74">
        <v>43859</v>
      </c>
      <c r="C1105">
        <v>41198.660000000003</v>
      </c>
    </row>
    <row r="1106" spans="2:3">
      <c r="B1106" s="74">
        <v>43860</v>
      </c>
      <c r="C1106">
        <v>40913.82</v>
      </c>
    </row>
    <row r="1107" spans="2:3">
      <c r="B1107" s="74">
        <v>43861</v>
      </c>
      <c r="C1107">
        <v>40723.49</v>
      </c>
    </row>
    <row r="1108" spans="2:3">
      <c r="B1108" s="74">
        <v>43862</v>
      </c>
      <c r="C1108">
        <v>39735.53</v>
      </c>
    </row>
    <row r="1109" spans="2:3">
      <c r="B1109" s="74">
        <v>43864</v>
      </c>
      <c r="C1109">
        <v>39872.31</v>
      </c>
    </row>
    <row r="1110" spans="2:3">
      <c r="B1110" s="74">
        <v>43865</v>
      </c>
      <c r="C1110">
        <v>40789.379999999997</v>
      </c>
    </row>
    <row r="1111" spans="2:3">
      <c r="B1111" s="74">
        <v>43866</v>
      </c>
      <c r="C1111">
        <v>41142.660000000003</v>
      </c>
    </row>
    <row r="1112" spans="2:3">
      <c r="B1112" s="74">
        <v>43867</v>
      </c>
      <c r="C1112">
        <v>41306.03</v>
      </c>
    </row>
    <row r="1113" spans="2:3">
      <c r="B1113" s="74">
        <v>43868</v>
      </c>
      <c r="C1113">
        <v>41141.85</v>
      </c>
    </row>
    <row r="1114" spans="2:3">
      <c r="B1114" s="74">
        <v>43871</v>
      </c>
      <c r="C1114">
        <v>40979.620000000003</v>
      </c>
    </row>
    <row r="1115" spans="2:3">
      <c r="B1115" s="74">
        <v>43872</v>
      </c>
      <c r="C1115">
        <v>41216.14</v>
      </c>
    </row>
    <row r="1116" spans="2:3">
      <c r="B1116" s="74">
        <v>43873</v>
      </c>
      <c r="C1116">
        <v>41565.9</v>
      </c>
    </row>
    <row r="1117" spans="2:3">
      <c r="B1117" s="74">
        <v>43874</v>
      </c>
      <c r="C1117">
        <v>41459.79</v>
      </c>
    </row>
    <row r="1118" spans="2:3">
      <c r="B1118" s="74">
        <v>43875</v>
      </c>
      <c r="C1118">
        <v>41257.74</v>
      </c>
    </row>
    <row r="1119" spans="2:3">
      <c r="B1119" s="74">
        <v>43878</v>
      </c>
      <c r="C1119">
        <v>41055.69</v>
      </c>
    </row>
    <row r="1120" spans="2:3">
      <c r="B1120" s="74">
        <v>43879</v>
      </c>
      <c r="C1120">
        <v>40894.379999999997</v>
      </c>
    </row>
    <row r="1121" spans="2:3">
      <c r="B1121" s="74">
        <v>43880</v>
      </c>
      <c r="C1121">
        <v>41323</v>
      </c>
    </row>
    <row r="1122" spans="2:3">
      <c r="B1122" s="74">
        <v>43881</v>
      </c>
      <c r="C1122">
        <v>41170.120000000003</v>
      </c>
    </row>
    <row r="1123" spans="2:3">
      <c r="B1123" s="74">
        <v>43885</v>
      </c>
      <c r="C1123">
        <v>40363.230000000003</v>
      </c>
    </row>
    <row r="1124" spans="2:3">
      <c r="B1124" s="74">
        <v>43886</v>
      </c>
      <c r="C1124">
        <v>40281.199999999997</v>
      </c>
    </row>
    <row r="1125" spans="2:3">
      <c r="B1125" s="74">
        <v>43887</v>
      </c>
      <c r="C1125">
        <v>39888.959999999999</v>
      </c>
    </row>
    <row r="1126" spans="2:3">
      <c r="B1126" s="74">
        <v>43888</v>
      </c>
      <c r="C1126">
        <v>39745.660000000003</v>
      </c>
    </row>
    <row r="1127" spans="2:3">
      <c r="B1127" s="74">
        <v>43889</v>
      </c>
      <c r="C1127">
        <v>38297.29</v>
      </c>
    </row>
    <row r="1128" spans="2:3">
      <c r="B1128" s="74">
        <v>43892</v>
      </c>
      <c r="C1128">
        <v>38144.019999999997</v>
      </c>
    </row>
    <row r="1129" spans="2:3">
      <c r="B1129" s="74">
        <v>43893</v>
      </c>
      <c r="C1129">
        <v>38623.699999999997</v>
      </c>
    </row>
    <row r="1130" spans="2:3">
      <c r="B1130" s="74">
        <v>43894</v>
      </c>
      <c r="C1130">
        <v>38409.480000000003</v>
      </c>
    </row>
    <row r="1131" spans="2:3">
      <c r="B1131" s="74">
        <v>43895</v>
      </c>
      <c r="C1131">
        <v>38470.61</v>
      </c>
    </row>
    <row r="1132" spans="2:3">
      <c r="B1132" s="74">
        <v>43896</v>
      </c>
      <c r="C1132">
        <v>37576.620000000003</v>
      </c>
    </row>
    <row r="1133" spans="2:3">
      <c r="B1133" s="74">
        <v>43899</v>
      </c>
      <c r="C1133">
        <v>35634.949999999997</v>
      </c>
    </row>
    <row r="1134" spans="2:3">
      <c r="B1134" s="74">
        <v>43901</v>
      </c>
      <c r="C1134">
        <v>35697.4</v>
      </c>
    </row>
    <row r="1135" spans="2:3">
      <c r="B1135" s="74">
        <v>43902</v>
      </c>
      <c r="C1135">
        <v>32778.14</v>
      </c>
    </row>
    <row r="1136" spans="2:3">
      <c r="B1136" s="74">
        <v>43903</v>
      </c>
      <c r="C1136">
        <v>34103.480000000003</v>
      </c>
    </row>
    <row r="1137" spans="2:3">
      <c r="B1137" s="74">
        <v>43906</v>
      </c>
      <c r="C1137">
        <v>31390.07</v>
      </c>
    </row>
    <row r="1138" spans="2:3">
      <c r="B1138" s="74">
        <v>43907</v>
      </c>
      <c r="C1138">
        <v>30579.09</v>
      </c>
    </row>
    <row r="1139" spans="2:3">
      <c r="B1139" s="74">
        <v>43908</v>
      </c>
      <c r="C1139">
        <v>28869.51</v>
      </c>
    </row>
    <row r="1140" spans="2:3">
      <c r="B1140" s="74">
        <v>43909</v>
      </c>
      <c r="C1140">
        <v>28288.23</v>
      </c>
    </row>
    <row r="1141" spans="2:3">
      <c r="B1141" s="74">
        <v>43910</v>
      </c>
      <c r="C1141">
        <v>29915.96</v>
      </c>
    </row>
    <row r="1142" spans="2:3">
      <c r="B1142" s="74">
        <v>43913</v>
      </c>
      <c r="C1142">
        <v>25981.24</v>
      </c>
    </row>
    <row r="1143" spans="2:3">
      <c r="B1143" s="74">
        <v>43914</v>
      </c>
      <c r="C1143">
        <v>26674.03</v>
      </c>
    </row>
    <row r="1144" spans="2:3">
      <c r="B1144" s="74">
        <v>43915</v>
      </c>
      <c r="C1144">
        <v>28535.78</v>
      </c>
    </row>
    <row r="1145" spans="2:3">
      <c r="B1145" s="74">
        <v>43916</v>
      </c>
      <c r="C1145">
        <v>29946.77</v>
      </c>
    </row>
    <row r="1146" spans="2:3">
      <c r="B1146" s="74">
        <v>43917</v>
      </c>
      <c r="C1146">
        <v>29815.59</v>
      </c>
    </row>
    <row r="1147" spans="2:3">
      <c r="B1147" s="74">
        <v>43920</v>
      </c>
      <c r="C1147">
        <v>28440.32</v>
      </c>
    </row>
    <row r="1148" spans="2:3">
      <c r="B1148" s="74">
        <v>43921</v>
      </c>
      <c r="C1148">
        <v>29468.49</v>
      </c>
    </row>
    <row r="1149" spans="2:3">
      <c r="B1149" s="74">
        <v>43922</v>
      </c>
      <c r="C1149">
        <v>28265.31</v>
      </c>
    </row>
    <row r="1150" spans="2:3">
      <c r="B1150" s="74">
        <v>43924</v>
      </c>
      <c r="C1150">
        <v>27590.95</v>
      </c>
    </row>
    <row r="1151" spans="2:3">
      <c r="B1151" s="74">
        <v>43928</v>
      </c>
      <c r="C1151">
        <v>30067.21</v>
      </c>
    </row>
    <row r="1152" spans="2:3">
      <c r="B1152" s="74">
        <v>43929</v>
      </c>
      <c r="C1152">
        <v>29893.96</v>
      </c>
    </row>
    <row r="1153" spans="2:3">
      <c r="B1153" s="74">
        <v>43930</v>
      </c>
      <c r="C1153">
        <v>31159.62</v>
      </c>
    </row>
    <row r="1154" spans="2:3">
      <c r="B1154" s="74">
        <v>43934</v>
      </c>
      <c r="C1154">
        <v>30690.02</v>
      </c>
    </row>
    <row r="1155" spans="2:3">
      <c r="B1155" s="74">
        <v>43936</v>
      </c>
      <c r="C1155">
        <v>30379.81</v>
      </c>
    </row>
    <row r="1156" spans="2:3">
      <c r="B1156" s="74">
        <v>43937</v>
      </c>
      <c r="C1156">
        <v>30602.61</v>
      </c>
    </row>
    <row r="1157" spans="2:3">
      <c r="B1157" s="74">
        <v>43938</v>
      </c>
      <c r="C1157">
        <v>31588.720000000001</v>
      </c>
    </row>
    <row r="1158" spans="2:3">
      <c r="B1158" s="74">
        <v>43941</v>
      </c>
      <c r="C1158">
        <v>31648</v>
      </c>
    </row>
    <row r="1159" spans="2:3">
      <c r="B1159" s="74">
        <v>43942</v>
      </c>
      <c r="C1159">
        <v>30636.71</v>
      </c>
    </row>
    <row r="1160" spans="2:3">
      <c r="B1160" s="74">
        <v>43943</v>
      </c>
      <c r="C1160">
        <v>31379.55</v>
      </c>
    </row>
    <row r="1161" spans="2:3">
      <c r="B1161" s="74">
        <v>43944</v>
      </c>
      <c r="C1161">
        <v>31863.08</v>
      </c>
    </row>
    <row r="1162" spans="2:3">
      <c r="B1162" s="74">
        <v>43945</v>
      </c>
      <c r="C1162">
        <v>31327.22</v>
      </c>
    </row>
    <row r="1163" spans="2:3">
      <c r="B1163" s="74">
        <v>43948</v>
      </c>
      <c r="C1163">
        <v>31743.08</v>
      </c>
    </row>
    <row r="1164" spans="2:3">
      <c r="B1164" s="74">
        <v>43949</v>
      </c>
      <c r="C1164">
        <v>32114.52</v>
      </c>
    </row>
    <row r="1165" spans="2:3">
      <c r="B1165" s="74">
        <v>43950</v>
      </c>
      <c r="C1165">
        <v>32720.16</v>
      </c>
    </row>
    <row r="1166" spans="2:3">
      <c r="B1166" s="74">
        <v>43951</v>
      </c>
      <c r="C1166">
        <v>33717.620000000003</v>
      </c>
    </row>
    <row r="1167" spans="2:3">
      <c r="B1167" s="74">
        <v>43955</v>
      </c>
      <c r="C1167">
        <v>31715.35</v>
      </c>
    </row>
    <row r="1168" spans="2:3">
      <c r="B1168" s="74">
        <v>43956</v>
      </c>
      <c r="C1168">
        <v>31453.51</v>
      </c>
    </row>
    <row r="1169" spans="2:3">
      <c r="B1169" s="74">
        <v>43957</v>
      </c>
      <c r="C1169">
        <v>31685.75</v>
      </c>
    </row>
    <row r="1170" spans="2:3">
      <c r="B1170" s="74">
        <v>43958</v>
      </c>
      <c r="C1170">
        <v>31443.38</v>
      </c>
    </row>
    <row r="1171" spans="2:3">
      <c r="B1171" s="74">
        <v>43959</v>
      </c>
      <c r="C1171">
        <v>31642.7</v>
      </c>
    </row>
    <row r="1172" spans="2:3">
      <c r="B1172" s="74">
        <v>43962</v>
      </c>
      <c r="C1172">
        <v>31561.22</v>
      </c>
    </row>
    <row r="1173" spans="2:3">
      <c r="B1173" s="74">
        <v>43963</v>
      </c>
      <c r="C1173">
        <v>31371.119999999999</v>
      </c>
    </row>
    <row r="1174" spans="2:3">
      <c r="B1174" s="74">
        <v>43964</v>
      </c>
      <c r="C1174">
        <v>32008.61</v>
      </c>
    </row>
    <row r="1175" spans="2:3">
      <c r="B1175" s="74">
        <v>43965</v>
      </c>
      <c r="C1175">
        <v>31122.89</v>
      </c>
    </row>
    <row r="1176" spans="2:3">
      <c r="B1176" s="74">
        <v>43966</v>
      </c>
      <c r="C1176">
        <v>31097.73</v>
      </c>
    </row>
    <row r="1177" spans="2:3">
      <c r="B1177" s="74">
        <v>43969</v>
      </c>
      <c r="C1177">
        <v>30028.98</v>
      </c>
    </row>
    <row r="1178" spans="2:3">
      <c r="B1178" s="74">
        <v>43970</v>
      </c>
      <c r="C1178">
        <v>30196.17</v>
      </c>
    </row>
    <row r="1179" spans="2:3">
      <c r="B1179" s="74">
        <v>43971</v>
      </c>
      <c r="C1179">
        <v>30818.61</v>
      </c>
    </row>
    <row r="1180" spans="2:3">
      <c r="B1180" s="74">
        <v>43972</v>
      </c>
      <c r="C1180">
        <v>30932.9</v>
      </c>
    </row>
    <row r="1181" spans="2:3">
      <c r="B1181" s="74">
        <v>43973</v>
      </c>
      <c r="C1181">
        <v>30672.59</v>
      </c>
    </row>
    <row r="1182" spans="2:3">
      <c r="B1182" s="74">
        <v>43977</v>
      </c>
      <c r="C1182">
        <v>30609.3</v>
      </c>
    </row>
    <row r="1183" spans="2:3">
      <c r="B1183" s="74">
        <v>43978</v>
      </c>
      <c r="C1183">
        <v>31605.22</v>
      </c>
    </row>
    <row r="1184" spans="2:3">
      <c r="B1184" s="74">
        <v>43979</v>
      </c>
      <c r="C1184">
        <v>32200.59</v>
      </c>
    </row>
    <row r="1185" spans="2:3">
      <c r="B1185" s="74">
        <v>43980</v>
      </c>
      <c r="C1185">
        <v>32424.1</v>
      </c>
    </row>
    <row r="1186" spans="2:3">
      <c r="B1186" s="74">
        <v>43983</v>
      </c>
      <c r="C1186">
        <v>33303.519999999997</v>
      </c>
    </row>
    <row r="1187" spans="2:3">
      <c r="B1187" s="74">
        <v>43984</v>
      </c>
      <c r="C1187">
        <v>33825.53</v>
      </c>
    </row>
    <row r="1188" spans="2:3">
      <c r="B1188" s="74">
        <v>43985</v>
      </c>
      <c r="C1188">
        <v>34109.54</v>
      </c>
    </row>
    <row r="1189" spans="2:3">
      <c r="B1189" s="74">
        <v>43986</v>
      </c>
      <c r="C1189">
        <v>33980.699999999997</v>
      </c>
    </row>
    <row r="1190" spans="2:3">
      <c r="B1190" s="74">
        <v>43987</v>
      </c>
      <c r="C1190">
        <v>34287.24</v>
      </c>
    </row>
    <row r="1191" spans="2:3">
      <c r="B1191" s="74">
        <v>43990</v>
      </c>
      <c r="C1191">
        <v>34370.58</v>
      </c>
    </row>
    <row r="1192" spans="2:3">
      <c r="B1192" s="74">
        <v>43991</v>
      </c>
      <c r="C1192">
        <v>33956.69</v>
      </c>
    </row>
    <row r="1193" spans="2:3">
      <c r="B1193" s="74">
        <v>43992</v>
      </c>
      <c r="C1193">
        <v>34247.050000000003</v>
      </c>
    </row>
    <row r="1194" spans="2:3">
      <c r="B1194" s="74">
        <v>43993</v>
      </c>
      <c r="C1194">
        <v>33538.370000000003</v>
      </c>
    </row>
    <row r="1195" spans="2:3">
      <c r="B1195" s="74">
        <v>43994</v>
      </c>
      <c r="C1195">
        <v>33780.89</v>
      </c>
    </row>
    <row r="1196" spans="2:3">
      <c r="B1196" s="74">
        <v>43997</v>
      </c>
      <c r="C1196">
        <v>33228.800000000003</v>
      </c>
    </row>
    <row r="1197" spans="2:3">
      <c r="B1197" s="74">
        <v>43998</v>
      </c>
      <c r="C1197">
        <v>33605.22</v>
      </c>
    </row>
    <row r="1198" spans="2:3">
      <c r="B1198" s="74">
        <v>43999</v>
      </c>
      <c r="C1198">
        <v>33507.919999999998</v>
      </c>
    </row>
    <row r="1199" spans="2:3">
      <c r="B1199" s="74">
        <v>44000</v>
      </c>
      <c r="C1199">
        <v>34208.050000000003</v>
      </c>
    </row>
    <row r="1200" spans="2:3">
      <c r="B1200" s="74">
        <v>44001</v>
      </c>
      <c r="C1200">
        <v>34731.730000000003</v>
      </c>
    </row>
    <row r="1201" spans="2:3">
      <c r="B1201" s="74">
        <v>44004</v>
      </c>
      <c r="C1201">
        <v>34911.32</v>
      </c>
    </row>
    <row r="1202" spans="2:3">
      <c r="B1202" s="74">
        <v>44005</v>
      </c>
      <c r="C1202">
        <v>35430.43</v>
      </c>
    </row>
    <row r="1203" spans="2:3">
      <c r="B1203" s="74">
        <v>44006</v>
      </c>
      <c r="C1203">
        <v>34868.980000000003</v>
      </c>
    </row>
    <row r="1204" spans="2:3">
      <c r="B1204" s="74">
        <v>44007</v>
      </c>
      <c r="C1204">
        <v>34842.1</v>
      </c>
    </row>
    <row r="1205" spans="2:3">
      <c r="B1205" s="74">
        <v>44008</v>
      </c>
      <c r="C1205">
        <v>35171.269999999997</v>
      </c>
    </row>
    <row r="1206" spans="2:3">
      <c r="B1206" s="74">
        <v>44011</v>
      </c>
      <c r="C1206">
        <v>34961.519999999997</v>
      </c>
    </row>
    <row r="1207" spans="2:3">
      <c r="B1207" s="74">
        <v>44012</v>
      </c>
      <c r="C1207">
        <v>34915.800000000003</v>
      </c>
    </row>
    <row r="1208" spans="2:3">
      <c r="B1208" s="74">
        <v>44013</v>
      </c>
      <c r="C1208">
        <v>35414.449999999997</v>
      </c>
    </row>
    <row r="1209" spans="2:3">
      <c r="B1209" s="74">
        <v>44014</v>
      </c>
      <c r="C1209">
        <v>35843.699999999997</v>
      </c>
    </row>
    <row r="1210" spans="2:3">
      <c r="B1210" s="74">
        <v>44015</v>
      </c>
      <c r="C1210">
        <v>36021.42</v>
      </c>
    </row>
    <row r="1211" spans="2:3">
      <c r="B1211" s="74">
        <v>44018</v>
      </c>
      <c r="C1211">
        <v>36487.279999999999</v>
      </c>
    </row>
    <row r="1212" spans="2:3">
      <c r="B1212" s="74">
        <v>44019</v>
      </c>
      <c r="C1212">
        <v>36674.519999999997</v>
      </c>
    </row>
    <row r="1213" spans="2:3">
      <c r="B1213" s="74">
        <v>44020</v>
      </c>
      <c r="C1213">
        <v>36329.01</v>
      </c>
    </row>
    <row r="1214" spans="2:3">
      <c r="B1214" s="74">
        <v>44021</v>
      </c>
      <c r="C1214">
        <v>36737.69</v>
      </c>
    </row>
    <row r="1215" spans="2:3">
      <c r="B1215" s="74">
        <v>44022</v>
      </c>
      <c r="C1215">
        <v>36594.33</v>
      </c>
    </row>
    <row r="1216" spans="2:3">
      <c r="B1216" s="74">
        <v>44025</v>
      </c>
      <c r="C1216">
        <v>36693.69</v>
      </c>
    </row>
    <row r="1217" spans="2:3">
      <c r="B1217" s="74">
        <v>44026</v>
      </c>
      <c r="C1217">
        <v>36033.06</v>
      </c>
    </row>
    <row r="1218" spans="2:3">
      <c r="B1218" s="74">
        <v>44027</v>
      </c>
      <c r="C1218">
        <v>36051.81</v>
      </c>
    </row>
    <row r="1219" spans="2:3">
      <c r="B1219" s="74">
        <v>44028</v>
      </c>
      <c r="C1219">
        <v>36471.68</v>
      </c>
    </row>
    <row r="1220" spans="2:3">
      <c r="B1220" s="74">
        <v>44029</v>
      </c>
      <c r="C1220">
        <v>37020.14</v>
      </c>
    </row>
    <row r="1221" spans="2:3">
      <c r="B1221" s="74">
        <v>44032</v>
      </c>
      <c r="C1221">
        <v>37418.99</v>
      </c>
    </row>
    <row r="1222" spans="2:3">
      <c r="B1222" s="74">
        <v>44033</v>
      </c>
      <c r="C1222">
        <v>37930.33</v>
      </c>
    </row>
    <row r="1223" spans="2:3">
      <c r="B1223" s="74">
        <v>44034</v>
      </c>
      <c r="C1223">
        <v>37871.519999999997</v>
      </c>
    </row>
    <row r="1224" spans="2:3">
      <c r="B1224" s="74">
        <v>44035</v>
      </c>
      <c r="C1224">
        <v>38140.47</v>
      </c>
    </row>
    <row r="1225" spans="2:3">
      <c r="B1225" s="74">
        <v>44036</v>
      </c>
      <c r="C1225">
        <v>38128.9</v>
      </c>
    </row>
    <row r="1226" spans="2:3">
      <c r="B1226" s="74">
        <v>44039</v>
      </c>
      <c r="C1226">
        <v>37934.730000000003</v>
      </c>
    </row>
    <row r="1227" spans="2:3">
      <c r="B1227" s="74">
        <v>44040</v>
      </c>
      <c r="C1227">
        <v>38492.949999999997</v>
      </c>
    </row>
    <row r="1228" spans="2:3">
      <c r="B1228" s="74">
        <v>44041</v>
      </c>
      <c r="C1228">
        <v>38071.129999999997</v>
      </c>
    </row>
    <row r="1229" spans="2:3">
      <c r="B1229" s="74">
        <v>44042</v>
      </c>
      <c r="C1229">
        <v>37736.07</v>
      </c>
    </row>
    <row r="1230" spans="2:3">
      <c r="B1230" s="74">
        <v>44043</v>
      </c>
      <c r="C1230">
        <v>37606.89</v>
      </c>
    </row>
    <row r="1231" spans="2:3">
      <c r="B1231" s="74">
        <v>44046</v>
      </c>
      <c r="C1231">
        <v>36939.599999999999</v>
      </c>
    </row>
    <row r="1232" spans="2:3">
      <c r="B1232" s="74">
        <v>44047</v>
      </c>
      <c r="C1232">
        <v>37687.910000000003</v>
      </c>
    </row>
    <row r="1233" spans="2:3">
      <c r="B1233" s="74">
        <v>44048</v>
      </c>
      <c r="C1233">
        <v>37663.33</v>
      </c>
    </row>
    <row r="1234" spans="2:3">
      <c r="B1234" s="74">
        <v>44049</v>
      </c>
      <c r="C1234">
        <v>38025.449999999997</v>
      </c>
    </row>
    <row r="1235" spans="2:3">
      <c r="B1235" s="74">
        <v>44050</v>
      </c>
      <c r="C1235">
        <v>38040.57</v>
      </c>
    </row>
    <row r="1236" spans="2:3">
      <c r="B1236" s="74">
        <v>44053</v>
      </c>
      <c r="C1236">
        <v>38182.080000000002</v>
      </c>
    </row>
    <row r="1237" spans="2:3">
      <c r="B1237" s="74">
        <v>44054</v>
      </c>
      <c r="C1237">
        <v>38407.01</v>
      </c>
    </row>
    <row r="1238" spans="2:3">
      <c r="B1238" s="74">
        <v>44055</v>
      </c>
      <c r="C1238">
        <v>38369.629999999997</v>
      </c>
    </row>
    <row r="1239" spans="2:3">
      <c r="B1239" s="74">
        <v>44056</v>
      </c>
      <c r="C1239">
        <v>38310.49</v>
      </c>
    </row>
    <row r="1240" spans="2:3">
      <c r="B1240" s="74">
        <v>44057</v>
      </c>
      <c r="C1240">
        <v>37877.339999999997</v>
      </c>
    </row>
    <row r="1241" spans="2:3">
      <c r="B1241" s="74">
        <v>44060</v>
      </c>
      <c r="C1241">
        <v>38050.78</v>
      </c>
    </row>
    <row r="1242" spans="2:3">
      <c r="B1242" s="74">
        <v>44061</v>
      </c>
      <c r="C1242">
        <v>38528.32</v>
      </c>
    </row>
    <row r="1243" spans="2:3">
      <c r="B1243" s="74">
        <v>44062</v>
      </c>
      <c r="C1243">
        <v>38614.79</v>
      </c>
    </row>
    <row r="1244" spans="2:3">
      <c r="B1244" s="74">
        <v>44063</v>
      </c>
      <c r="C1244">
        <v>38220.39</v>
      </c>
    </row>
    <row r="1245" spans="2:3">
      <c r="B1245" s="74">
        <v>44064</v>
      </c>
      <c r="C1245">
        <v>38434.720000000001</v>
      </c>
    </row>
    <row r="1246" spans="2:3">
      <c r="B1246" s="74">
        <v>44067</v>
      </c>
      <c r="C1246">
        <v>38799.08</v>
      </c>
    </row>
    <row r="1247" spans="2:3">
      <c r="B1247" s="74">
        <v>44068</v>
      </c>
      <c r="C1247">
        <v>38843.879999999997</v>
      </c>
    </row>
    <row r="1248" spans="2:3">
      <c r="B1248" s="74">
        <v>44069</v>
      </c>
      <c r="C1248">
        <v>39073.919999999998</v>
      </c>
    </row>
    <row r="1249" spans="2:3">
      <c r="B1249" s="74">
        <v>44070</v>
      </c>
      <c r="C1249">
        <v>39113.47</v>
      </c>
    </row>
    <row r="1250" spans="2:3">
      <c r="B1250" s="74">
        <v>44071</v>
      </c>
      <c r="C1250">
        <v>39467.31</v>
      </c>
    </row>
    <row r="1251" spans="2:3">
      <c r="B1251" s="74">
        <v>44074</v>
      </c>
      <c r="C1251">
        <v>38628.29</v>
      </c>
    </row>
    <row r="1252" spans="2:3">
      <c r="B1252" s="74">
        <v>44075</v>
      </c>
      <c r="C1252">
        <v>38900.800000000003</v>
      </c>
    </row>
    <row r="1253" spans="2:3">
      <c r="B1253" s="74">
        <v>44076</v>
      </c>
      <c r="C1253">
        <v>39086.03</v>
      </c>
    </row>
    <row r="1254" spans="2:3">
      <c r="B1254" s="74">
        <v>44077</v>
      </c>
      <c r="C1254">
        <v>38990.94</v>
      </c>
    </row>
    <row r="1255" spans="2:3">
      <c r="B1255" s="74">
        <v>44078</v>
      </c>
      <c r="C1255">
        <v>38357.18</v>
      </c>
    </row>
    <row r="1256" spans="2:3">
      <c r="B1256" s="74">
        <v>44081</v>
      </c>
      <c r="C1256">
        <v>38417.230000000003</v>
      </c>
    </row>
    <row r="1257" spans="2:3">
      <c r="B1257" s="74">
        <v>44082</v>
      </c>
      <c r="C1257">
        <v>38365.35</v>
      </c>
    </row>
    <row r="1258" spans="2:3">
      <c r="B1258" s="74">
        <v>44083</v>
      </c>
      <c r="C1258">
        <v>38193.919999999998</v>
      </c>
    </row>
    <row r="1259" spans="2:3">
      <c r="B1259" s="74">
        <v>44084</v>
      </c>
      <c r="C1259">
        <v>38840.32</v>
      </c>
    </row>
    <row r="1260" spans="2:3">
      <c r="B1260" s="74">
        <v>44085</v>
      </c>
      <c r="C1260">
        <v>38854.550000000003</v>
      </c>
    </row>
    <row r="1261" spans="2:3">
      <c r="B1261" s="74">
        <v>44088</v>
      </c>
      <c r="C1261">
        <v>38756.629999999997</v>
      </c>
    </row>
    <row r="1262" spans="2:3">
      <c r="B1262" s="74">
        <v>44089</v>
      </c>
      <c r="C1262">
        <v>39044.35</v>
      </c>
    </row>
    <row r="1263" spans="2:3">
      <c r="B1263" s="74">
        <v>44090</v>
      </c>
      <c r="C1263">
        <v>39302.85</v>
      </c>
    </row>
    <row r="1264" spans="2:3">
      <c r="B1264" s="74">
        <v>44091</v>
      </c>
      <c r="C1264">
        <v>38979.85</v>
      </c>
    </row>
    <row r="1265" spans="2:3">
      <c r="B1265" s="74">
        <v>44092</v>
      </c>
      <c r="C1265">
        <v>38845.82</v>
      </c>
    </row>
    <row r="1266" spans="2:3">
      <c r="B1266" s="74">
        <v>44095</v>
      </c>
      <c r="C1266">
        <v>38034.14</v>
      </c>
    </row>
    <row r="1267" spans="2:3">
      <c r="B1267" s="74">
        <v>44096</v>
      </c>
      <c r="C1267">
        <v>37734.080000000002</v>
      </c>
    </row>
    <row r="1268" spans="2:3">
      <c r="B1268" s="74">
        <v>44097</v>
      </c>
      <c r="C1268">
        <v>37668.42</v>
      </c>
    </row>
    <row r="1269" spans="2:3">
      <c r="B1269" s="74">
        <v>44098</v>
      </c>
      <c r="C1269">
        <v>36553.599999999999</v>
      </c>
    </row>
    <row r="1270" spans="2:3">
      <c r="B1270" s="74">
        <v>44099</v>
      </c>
      <c r="C1270">
        <v>37388.660000000003</v>
      </c>
    </row>
    <row r="1271" spans="2:3">
      <c r="B1271" s="74">
        <v>44102</v>
      </c>
      <c r="C1271">
        <v>37981.629999999997</v>
      </c>
    </row>
    <row r="1272" spans="2:3">
      <c r="B1272" s="74">
        <v>44103</v>
      </c>
      <c r="C1272">
        <v>37973.22</v>
      </c>
    </row>
    <row r="1273" spans="2:3">
      <c r="B1273" s="74">
        <v>44104</v>
      </c>
      <c r="C1273">
        <v>38067.93</v>
      </c>
    </row>
    <row r="1274" spans="2:3">
      <c r="B1274" s="74">
        <v>44105</v>
      </c>
      <c r="C1274">
        <v>38697.050000000003</v>
      </c>
    </row>
    <row r="1275" spans="2:3">
      <c r="B1275" s="74">
        <v>44109</v>
      </c>
      <c r="C1275">
        <v>38973.699999999997</v>
      </c>
    </row>
    <row r="1276" spans="2:3">
      <c r="B1276" s="74">
        <v>44110</v>
      </c>
      <c r="C1276">
        <v>39574.57</v>
      </c>
    </row>
    <row r="1277" spans="2:3">
      <c r="B1277" s="74">
        <v>44111</v>
      </c>
      <c r="C1277">
        <v>39878.949999999997</v>
      </c>
    </row>
    <row r="1278" spans="2:3">
      <c r="B1278" s="74">
        <v>44112</v>
      </c>
      <c r="C1278">
        <v>40182.67</v>
      </c>
    </row>
    <row r="1279" spans="2:3">
      <c r="B1279" s="74">
        <v>44113</v>
      </c>
      <c r="C1279">
        <v>40509.49</v>
      </c>
    </row>
    <row r="1280" spans="2:3">
      <c r="B1280" s="74">
        <v>44116</v>
      </c>
      <c r="C1280">
        <v>40593.800000000003</v>
      </c>
    </row>
    <row r="1281" spans="2:3">
      <c r="B1281" s="74">
        <v>44117</v>
      </c>
      <c r="C1281">
        <v>40625.51</v>
      </c>
    </row>
    <row r="1282" spans="2:3">
      <c r="B1282" s="74">
        <v>44118</v>
      </c>
      <c r="C1282">
        <v>40794.74</v>
      </c>
    </row>
    <row r="1283" spans="2:3">
      <c r="B1283" s="74">
        <v>44119</v>
      </c>
      <c r="C1283">
        <v>39728.410000000003</v>
      </c>
    </row>
    <row r="1284" spans="2:3">
      <c r="B1284" s="74">
        <v>44120</v>
      </c>
      <c r="C1284">
        <v>39982.980000000003</v>
      </c>
    </row>
    <row r="1285" spans="2:3">
      <c r="B1285" s="74">
        <v>44123</v>
      </c>
      <c r="C1285">
        <v>40431.599999999999</v>
      </c>
    </row>
    <row r="1286" spans="2:3">
      <c r="B1286" s="74">
        <v>44124</v>
      </c>
      <c r="C1286">
        <v>40544.370000000003</v>
      </c>
    </row>
    <row r="1287" spans="2:3">
      <c r="B1287" s="74">
        <v>44125</v>
      </c>
      <c r="C1287">
        <v>40707.31</v>
      </c>
    </row>
    <row r="1288" spans="2:3">
      <c r="B1288" s="74">
        <v>44126</v>
      </c>
      <c r="C1288">
        <v>40558.49</v>
      </c>
    </row>
    <row r="1289" spans="2:3">
      <c r="B1289" s="74">
        <v>44127</v>
      </c>
      <c r="C1289">
        <v>40685.5</v>
      </c>
    </row>
    <row r="1290" spans="2:3">
      <c r="B1290" s="74">
        <v>44130</v>
      </c>
      <c r="C1290">
        <v>40145.5</v>
      </c>
    </row>
    <row r="1291" spans="2:3">
      <c r="B1291" s="74">
        <v>44131</v>
      </c>
      <c r="C1291">
        <v>40522.1</v>
      </c>
    </row>
    <row r="1292" spans="2:3">
      <c r="B1292" s="74">
        <v>44132</v>
      </c>
      <c r="C1292">
        <v>39922.46</v>
      </c>
    </row>
    <row r="1293" spans="2:3">
      <c r="B1293" s="74">
        <v>44133</v>
      </c>
      <c r="C1293">
        <v>39749.85</v>
      </c>
    </row>
    <row r="1294" spans="2:3">
      <c r="B1294" s="74">
        <v>44134</v>
      </c>
      <c r="C1294">
        <v>39614.07</v>
      </c>
    </row>
    <row r="1295" spans="2:3">
      <c r="B1295" s="74">
        <v>44137</v>
      </c>
      <c r="C1295">
        <v>39757.58</v>
      </c>
    </row>
    <row r="1296" spans="2:3">
      <c r="B1296" s="74">
        <v>44138</v>
      </c>
      <c r="C1296">
        <v>40261.129999999997</v>
      </c>
    </row>
    <row r="1297" spans="2:3">
      <c r="B1297" s="74">
        <v>44139</v>
      </c>
      <c r="C1297">
        <v>40616.14</v>
      </c>
    </row>
    <row r="1298" spans="2:3">
      <c r="B1298" s="74">
        <v>44140</v>
      </c>
      <c r="C1298">
        <v>41340.160000000003</v>
      </c>
    </row>
    <row r="1299" spans="2:3">
      <c r="B1299" s="74">
        <v>44141</v>
      </c>
      <c r="C1299">
        <v>41893.06</v>
      </c>
    </row>
    <row r="1300" spans="2:3">
      <c r="B1300" s="74">
        <v>44144</v>
      </c>
      <c r="C1300">
        <v>42597.43</v>
      </c>
    </row>
    <row r="1301" spans="2:3">
      <c r="B1301" s="74">
        <v>44145</v>
      </c>
      <c r="C1301">
        <v>43277.65</v>
      </c>
    </row>
    <row r="1302" spans="2:3">
      <c r="B1302" s="74">
        <v>44146</v>
      </c>
      <c r="C1302">
        <v>43593.67</v>
      </c>
    </row>
    <row r="1303" spans="2:3">
      <c r="B1303" s="74">
        <v>44147</v>
      </c>
      <c r="C1303">
        <v>43357.19</v>
      </c>
    </row>
    <row r="1304" spans="2:3">
      <c r="B1304" s="74">
        <v>44148</v>
      </c>
      <c r="C1304">
        <v>43443</v>
      </c>
    </row>
    <row r="1305" spans="2:3">
      <c r="B1305" s="74">
        <v>44149</v>
      </c>
      <c r="C1305">
        <v>43637.98</v>
      </c>
    </row>
    <row r="1306" spans="2:3">
      <c r="B1306" s="74">
        <v>44152</v>
      </c>
      <c r="C1306">
        <v>43952.71</v>
      </c>
    </row>
    <row r="1307" spans="2:3">
      <c r="B1307" s="74">
        <v>44153</v>
      </c>
      <c r="C1307">
        <v>44180.05</v>
      </c>
    </row>
    <row r="1308" spans="2:3">
      <c r="B1308" s="74">
        <v>44154</v>
      </c>
      <c r="C1308">
        <v>43599.96</v>
      </c>
    </row>
    <row r="1309" spans="2:3">
      <c r="B1309" s="74">
        <v>44155</v>
      </c>
      <c r="C1309">
        <v>43882.25</v>
      </c>
    </row>
    <row r="1310" spans="2:3">
      <c r="B1310" s="74">
        <v>44158</v>
      </c>
      <c r="C1310">
        <v>44077.15</v>
      </c>
    </row>
    <row r="1311" spans="2:3">
      <c r="B1311" s="74">
        <v>44159</v>
      </c>
      <c r="C1311">
        <v>44523.02</v>
      </c>
    </row>
    <row r="1312" spans="2:3">
      <c r="B1312" s="74">
        <v>44160</v>
      </c>
      <c r="C1312">
        <v>43828.1</v>
      </c>
    </row>
    <row r="1313" spans="2:3">
      <c r="B1313" s="74">
        <v>44161</v>
      </c>
      <c r="C1313">
        <v>44259.74</v>
      </c>
    </row>
    <row r="1314" spans="2:3">
      <c r="B1314" s="74">
        <v>44162</v>
      </c>
      <c r="C1314">
        <v>44149.72</v>
      </c>
    </row>
    <row r="1315" spans="2:3">
      <c r="B1315" s="74">
        <v>44166</v>
      </c>
      <c r="C1315">
        <v>44655.44</v>
      </c>
    </row>
    <row r="1316" spans="2:3">
      <c r="B1316" s="74">
        <v>44167</v>
      </c>
      <c r="C1316">
        <v>44618.04</v>
      </c>
    </row>
    <row r="1317" spans="2:3">
      <c r="B1317" s="74">
        <v>44168</v>
      </c>
      <c r="C1317">
        <v>44632.65</v>
      </c>
    </row>
    <row r="1318" spans="2:3">
      <c r="B1318" s="74">
        <v>44169</v>
      </c>
      <c r="C1318">
        <v>45079.55</v>
      </c>
    </row>
    <row r="1319" spans="2:3">
      <c r="B1319" s="74">
        <v>44172</v>
      </c>
      <c r="C1319">
        <v>45426.97</v>
      </c>
    </row>
    <row r="1320" spans="2:3">
      <c r="B1320" s="74">
        <v>44173</v>
      </c>
      <c r="C1320">
        <v>45608.51</v>
      </c>
    </row>
    <row r="1321" spans="2:3">
      <c r="B1321" s="74">
        <v>44174</v>
      </c>
      <c r="C1321">
        <v>46103.5</v>
      </c>
    </row>
    <row r="1322" spans="2:3">
      <c r="B1322" s="74">
        <v>44175</v>
      </c>
      <c r="C1322">
        <v>45959.88</v>
      </c>
    </row>
    <row r="1323" spans="2:3">
      <c r="B1323" s="74">
        <v>44176</v>
      </c>
      <c r="C1323">
        <v>46099.01</v>
      </c>
    </row>
    <row r="1324" spans="2:3">
      <c r="B1324" s="74">
        <v>44179</v>
      </c>
      <c r="C1324">
        <v>46253.46</v>
      </c>
    </row>
    <row r="1325" spans="2:3">
      <c r="B1325" s="74">
        <v>44180</v>
      </c>
      <c r="C1325">
        <v>46263.17</v>
      </c>
    </row>
    <row r="1326" spans="2:3">
      <c r="B1326" s="74">
        <v>44181</v>
      </c>
      <c r="C1326">
        <v>46666.46</v>
      </c>
    </row>
    <row r="1327" spans="2:3">
      <c r="B1327" s="74">
        <v>44182</v>
      </c>
      <c r="C1327">
        <v>46890.34</v>
      </c>
    </row>
    <row r="1328" spans="2:3">
      <c r="B1328" s="74">
        <v>44183</v>
      </c>
      <c r="C1328">
        <v>46960.69</v>
      </c>
    </row>
    <row r="1329" spans="2:3">
      <c r="B1329" s="74">
        <v>44186</v>
      </c>
      <c r="C1329">
        <v>45553.96</v>
      </c>
    </row>
    <row r="1330" spans="2:3">
      <c r="B1330" s="74">
        <v>44187</v>
      </c>
      <c r="C1330">
        <v>46006.69</v>
      </c>
    </row>
    <row r="1331" spans="2:3">
      <c r="B1331" s="74">
        <v>44188</v>
      </c>
      <c r="C1331">
        <v>46444.18</v>
      </c>
    </row>
    <row r="1332" spans="2:3">
      <c r="B1332" s="74">
        <v>44189</v>
      </c>
      <c r="C1332">
        <v>46973.54</v>
      </c>
    </row>
    <row r="1333" spans="2:3">
      <c r="B1333" s="74">
        <v>44193</v>
      </c>
      <c r="C1333">
        <v>47353.75</v>
      </c>
    </row>
    <row r="1334" spans="2:3">
      <c r="B1334" s="74">
        <v>44194</v>
      </c>
      <c r="C1334">
        <v>47613.08</v>
      </c>
    </row>
    <row r="1335" spans="2:3">
      <c r="B1335" s="74">
        <v>44195</v>
      </c>
      <c r="C1335">
        <v>47746.22</v>
      </c>
    </row>
    <row r="1336" spans="2:3">
      <c r="B1336" s="74">
        <v>44196</v>
      </c>
      <c r="C1336">
        <v>47751.33</v>
      </c>
    </row>
    <row r="1337" spans="2:3">
      <c r="B1337" s="74">
        <v>44197</v>
      </c>
      <c r="C1337">
        <v>47868.98</v>
      </c>
    </row>
    <row r="1338" spans="2:3">
      <c r="B1338" s="74">
        <v>44200</v>
      </c>
      <c r="C1338">
        <v>48176.800000000003</v>
      </c>
    </row>
    <row r="1339" spans="2:3">
      <c r="B1339" s="74">
        <v>44201</v>
      </c>
      <c r="C1339">
        <v>48437.78</v>
      </c>
    </row>
    <row r="1340" spans="2:3">
      <c r="B1340" s="74">
        <v>44202</v>
      </c>
      <c r="C1340">
        <v>48174.06</v>
      </c>
    </row>
    <row r="1341" spans="2:3">
      <c r="B1341" s="74">
        <v>44203</v>
      </c>
      <c r="C1341">
        <v>48093.32</v>
      </c>
    </row>
    <row r="1342" spans="2:3">
      <c r="B1342" s="74">
        <v>44204</v>
      </c>
      <c r="C1342">
        <v>48782.51</v>
      </c>
    </row>
    <row r="1343" spans="2:3">
      <c r="B1343" s="74">
        <v>44207</v>
      </c>
      <c r="C1343">
        <v>49269.32</v>
      </c>
    </row>
    <row r="1344" spans="2:3">
      <c r="B1344" s="74">
        <v>44208</v>
      </c>
      <c r="C1344">
        <v>49517.11</v>
      </c>
    </row>
    <row r="1345" spans="2:3">
      <c r="B1345" s="74">
        <v>44209</v>
      </c>
      <c r="C1345">
        <v>49492.32</v>
      </c>
    </row>
    <row r="1346" spans="2:3">
      <c r="B1346" s="74">
        <v>44210</v>
      </c>
      <c r="C1346">
        <v>49584.160000000003</v>
      </c>
    </row>
    <row r="1347" spans="2:3">
      <c r="B1347" s="74">
        <v>44211</v>
      </c>
      <c r="C1347">
        <v>49034.67</v>
      </c>
    </row>
    <row r="1348" spans="2:3">
      <c r="B1348" s="74">
        <v>44214</v>
      </c>
      <c r="C1348">
        <v>48564.27</v>
      </c>
    </row>
    <row r="1349" spans="2:3">
      <c r="B1349" s="74">
        <v>44215</v>
      </c>
      <c r="C1349">
        <v>49398.29</v>
      </c>
    </row>
    <row r="1350" spans="2:3">
      <c r="B1350" s="74">
        <v>44216</v>
      </c>
      <c r="C1350">
        <v>49792.12</v>
      </c>
    </row>
    <row r="1351" spans="2:3">
      <c r="B1351" s="74">
        <v>44217</v>
      </c>
      <c r="C1351">
        <v>49624.76</v>
      </c>
    </row>
    <row r="1352" spans="2:3">
      <c r="B1352" s="74">
        <v>44218</v>
      </c>
      <c r="C1352">
        <v>48878.54</v>
      </c>
    </row>
    <row r="1353" spans="2:3">
      <c r="B1353" s="74">
        <v>44221</v>
      </c>
      <c r="C1353">
        <v>48347.59</v>
      </c>
    </row>
    <row r="1354" spans="2:3">
      <c r="B1354" s="74">
        <v>44223</v>
      </c>
      <c r="C1354">
        <v>47409.93</v>
      </c>
    </row>
    <row r="1355" spans="2:3">
      <c r="B1355" s="74">
        <v>44224</v>
      </c>
      <c r="C1355">
        <v>46874.36</v>
      </c>
    </row>
    <row r="1356" spans="2:3">
      <c r="B1356" s="74">
        <v>44225</v>
      </c>
      <c r="C1356">
        <v>46285.77</v>
      </c>
    </row>
    <row r="1357" spans="2:3">
      <c r="B1357" s="74">
        <v>44228</v>
      </c>
      <c r="C1357">
        <v>48600.61</v>
      </c>
    </row>
    <row r="1358" spans="2:3">
      <c r="B1358" s="74">
        <v>44229</v>
      </c>
      <c r="C1358">
        <v>49797.72</v>
      </c>
    </row>
    <row r="1359" spans="2:3">
      <c r="B1359" s="74">
        <v>44230</v>
      </c>
      <c r="C1359">
        <v>50255.75</v>
      </c>
    </row>
    <row r="1360" spans="2:3">
      <c r="B1360" s="74">
        <v>44231</v>
      </c>
      <c r="C1360">
        <v>50614.29</v>
      </c>
    </row>
    <row r="1361" spans="2:3">
      <c r="B1361" s="74">
        <v>44232</v>
      </c>
      <c r="C1361">
        <v>50731.63</v>
      </c>
    </row>
    <row r="1362" spans="2:3">
      <c r="B1362" s="74">
        <v>44235</v>
      </c>
      <c r="C1362">
        <v>51348.77</v>
      </c>
    </row>
    <row r="1363" spans="2:3">
      <c r="B1363" s="74">
        <v>44236</v>
      </c>
      <c r="C1363">
        <v>51329.08</v>
      </c>
    </row>
    <row r="1364" spans="2:3">
      <c r="B1364" s="74">
        <v>44237</v>
      </c>
      <c r="C1364">
        <v>51309.39</v>
      </c>
    </row>
    <row r="1365" spans="2:3">
      <c r="B1365" s="74">
        <v>44238</v>
      </c>
      <c r="C1365">
        <v>51531.519999999997</v>
      </c>
    </row>
    <row r="1366" spans="2:3">
      <c r="B1366" s="74">
        <v>44239</v>
      </c>
      <c r="C1366">
        <v>51544.3</v>
      </c>
    </row>
    <row r="1367" spans="2:3">
      <c r="B1367" s="74">
        <v>44242</v>
      </c>
      <c r="C1367">
        <v>52154.13</v>
      </c>
    </row>
    <row r="1368" spans="2:3">
      <c r="B1368" s="74">
        <v>44243</v>
      </c>
      <c r="C1368">
        <v>52104.17</v>
      </c>
    </row>
    <row r="1369" spans="2:3">
      <c r="B1369" s="74">
        <v>44244</v>
      </c>
      <c r="C1369">
        <v>51703.83</v>
      </c>
    </row>
    <row r="1370" spans="2:3">
      <c r="B1370" s="74">
        <v>44245</v>
      </c>
      <c r="C1370">
        <v>51324.69</v>
      </c>
    </row>
    <row r="1371" spans="2:3">
      <c r="B1371" s="74">
        <v>44246</v>
      </c>
      <c r="C1371">
        <v>50889.760000000002</v>
      </c>
    </row>
    <row r="1372" spans="2:3">
      <c r="B1372" s="74">
        <v>44249</v>
      </c>
      <c r="C1372">
        <v>49744.32</v>
      </c>
    </row>
    <row r="1373" spans="2:3">
      <c r="B1373" s="74">
        <v>44250</v>
      </c>
      <c r="C1373">
        <v>49751.41</v>
      </c>
    </row>
    <row r="1374" spans="2:3">
      <c r="B1374" s="74">
        <v>44251</v>
      </c>
      <c r="C1374">
        <v>50781.69</v>
      </c>
    </row>
    <row r="1375" spans="2:3">
      <c r="B1375" s="74">
        <v>44252</v>
      </c>
      <c r="C1375">
        <v>51039.31</v>
      </c>
    </row>
    <row r="1376" spans="2:3">
      <c r="B1376" s="74">
        <v>44253</v>
      </c>
      <c r="C1376">
        <v>49099.99</v>
      </c>
    </row>
    <row r="1377" spans="2:3">
      <c r="B1377" s="74">
        <v>44256</v>
      </c>
      <c r="C1377">
        <v>49849.84</v>
      </c>
    </row>
    <row r="1378" spans="2:3">
      <c r="B1378" s="74">
        <v>44257</v>
      </c>
      <c r="C1378">
        <v>50296.89</v>
      </c>
    </row>
    <row r="1379" spans="2:3">
      <c r="B1379" s="74">
        <v>44258</v>
      </c>
      <c r="C1379">
        <v>51444.65</v>
      </c>
    </row>
    <row r="1380" spans="2:3">
      <c r="B1380" s="74">
        <v>44259</v>
      </c>
      <c r="C1380">
        <v>50846.080000000002</v>
      </c>
    </row>
    <row r="1381" spans="2:3">
      <c r="B1381" s="74">
        <v>44260</v>
      </c>
      <c r="C1381">
        <v>50405.32</v>
      </c>
    </row>
    <row r="1382" spans="2:3">
      <c r="B1382" s="74">
        <v>44263</v>
      </c>
      <c r="C1382">
        <v>50441.07</v>
      </c>
    </row>
    <row r="1383" spans="2:3">
      <c r="B1383" s="74">
        <v>44264</v>
      </c>
      <c r="C1383">
        <v>51025.48</v>
      </c>
    </row>
    <row r="1384" spans="2:3">
      <c r="B1384" s="74">
        <v>44265</v>
      </c>
      <c r="C1384">
        <v>51279.51</v>
      </c>
    </row>
    <row r="1385" spans="2:3">
      <c r="B1385" s="74">
        <v>44267</v>
      </c>
      <c r="C1385">
        <v>50792.08</v>
      </c>
    </row>
    <row r="1386" spans="2:3">
      <c r="B1386" s="74">
        <v>44270</v>
      </c>
      <c r="C1386">
        <v>50395.08</v>
      </c>
    </row>
    <row r="1387" spans="2:3">
      <c r="B1387" s="74">
        <v>44271</v>
      </c>
      <c r="C1387">
        <v>50363.96</v>
      </c>
    </row>
    <row r="1388" spans="2:3">
      <c r="B1388" s="74">
        <v>44272</v>
      </c>
      <c r="C1388">
        <v>49801.62</v>
      </c>
    </row>
    <row r="1389" spans="2:3">
      <c r="B1389" s="74">
        <v>44273</v>
      </c>
      <c r="C1389">
        <v>49216.52</v>
      </c>
    </row>
    <row r="1390" spans="2:3">
      <c r="B1390" s="74">
        <v>44274</v>
      </c>
      <c r="C1390">
        <v>49858.239999999998</v>
      </c>
    </row>
    <row r="1391" spans="2:3">
      <c r="B1391" s="74">
        <v>44277</v>
      </c>
      <c r="C1391">
        <v>49771.29</v>
      </c>
    </row>
    <row r="1392" spans="2:3">
      <c r="B1392" s="74">
        <v>44278</v>
      </c>
      <c r="C1392">
        <v>50051.44</v>
      </c>
    </row>
    <row r="1393" spans="2:3">
      <c r="B1393" s="74">
        <v>44279</v>
      </c>
      <c r="C1393">
        <v>49180.31</v>
      </c>
    </row>
    <row r="1394" spans="2:3">
      <c r="B1394" s="74">
        <v>44280</v>
      </c>
      <c r="C1394">
        <v>48440.12</v>
      </c>
    </row>
    <row r="1395" spans="2:3">
      <c r="B1395" s="74">
        <v>44281</v>
      </c>
      <c r="C1395">
        <v>49008.5</v>
      </c>
    </row>
    <row r="1396" spans="2:3">
      <c r="B1396" s="74">
        <v>44285</v>
      </c>
      <c r="C1396">
        <v>50136.58</v>
      </c>
    </row>
    <row r="1397" spans="2:3">
      <c r="B1397" s="74">
        <v>44286</v>
      </c>
      <c r="C1397">
        <v>49509.15</v>
      </c>
    </row>
    <row r="1398" spans="2:3">
      <c r="B1398" s="74">
        <v>44287</v>
      </c>
      <c r="C1398">
        <v>50029.83</v>
      </c>
    </row>
    <row r="1399" spans="2:3">
      <c r="B1399" s="74">
        <v>44291</v>
      </c>
      <c r="C1399">
        <v>49159.32</v>
      </c>
    </row>
    <row r="1400" spans="2:3">
      <c r="B1400" s="74">
        <v>44292</v>
      </c>
      <c r="C1400">
        <v>49201.39</v>
      </c>
    </row>
    <row r="1401" spans="2:3">
      <c r="B1401" s="74">
        <v>44293</v>
      </c>
      <c r="C1401">
        <v>49661.760000000002</v>
      </c>
    </row>
    <row r="1402" spans="2:3">
      <c r="B1402" s="74">
        <v>44294</v>
      </c>
      <c r="C1402">
        <v>49746.21</v>
      </c>
    </row>
    <row r="1403" spans="2:3">
      <c r="B1403" s="74">
        <v>44295</v>
      </c>
      <c r="C1403">
        <v>49591.32</v>
      </c>
    </row>
    <row r="1404" spans="2:3">
      <c r="B1404" s="74">
        <v>44298</v>
      </c>
      <c r="C1404">
        <v>47883.38</v>
      </c>
    </row>
    <row r="1405" spans="2:3">
      <c r="B1405" s="74">
        <v>44299</v>
      </c>
      <c r="C1405">
        <v>48544.06</v>
      </c>
    </row>
    <row r="1406" spans="2:3">
      <c r="B1406" s="74">
        <v>44301</v>
      </c>
      <c r="C1406">
        <v>48803.68</v>
      </c>
    </row>
    <row r="1407" spans="2:3">
      <c r="B1407" s="74">
        <v>44302</v>
      </c>
      <c r="C1407">
        <v>48832.03</v>
      </c>
    </row>
    <row r="1408" spans="2:3">
      <c r="B1408" s="74">
        <v>44305</v>
      </c>
      <c r="C1408">
        <v>47949.42</v>
      </c>
    </row>
    <row r="1409" spans="2:3">
      <c r="B1409" s="74">
        <v>44306</v>
      </c>
      <c r="C1409">
        <v>47705.8</v>
      </c>
    </row>
    <row r="1410" spans="2:3">
      <c r="B1410" s="74">
        <v>44308</v>
      </c>
      <c r="C1410">
        <v>48080.67</v>
      </c>
    </row>
    <row r="1411" spans="2:3">
      <c r="B1411" s="74">
        <v>44309</v>
      </c>
      <c r="C1411">
        <v>47878.45</v>
      </c>
    </row>
    <row r="1412" spans="2:3">
      <c r="B1412" s="74">
        <v>44312</v>
      </c>
      <c r="C1412">
        <v>48386.51</v>
      </c>
    </row>
    <row r="1413" spans="2:3">
      <c r="B1413" s="74">
        <v>44313</v>
      </c>
      <c r="C1413">
        <v>48944.14</v>
      </c>
    </row>
    <row r="1414" spans="2:3">
      <c r="B1414" s="74">
        <v>44314</v>
      </c>
      <c r="C1414">
        <v>49733.84</v>
      </c>
    </row>
    <row r="1415" spans="2:3">
      <c r="B1415" s="74">
        <v>44315</v>
      </c>
      <c r="C1415">
        <v>49765.94</v>
      </c>
    </row>
    <row r="1416" spans="2:3">
      <c r="B1416" s="74">
        <v>44316</v>
      </c>
      <c r="C1416">
        <v>48782.36</v>
      </c>
    </row>
    <row r="1417" spans="2:3">
      <c r="B1417" s="74">
        <v>44319</v>
      </c>
      <c r="C1417">
        <v>48718.52</v>
      </c>
    </row>
    <row r="1418" spans="2:3">
      <c r="B1418" s="74">
        <v>44320</v>
      </c>
      <c r="C1418">
        <v>48253.51</v>
      </c>
    </row>
    <row r="1419" spans="2:3">
      <c r="B1419" s="74">
        <v>44321</v>
      </c>
      <c r="C1419">
        <v>48677.55</v>
      </c>
    </row>
    <row r="1420" spans="2:3">
      <c r="B1420" s="74">
        <v>44322</v>
      </c>
      <c r="C1420">
        <v>48949.760000000002</v>
      </c>
    </row>
    <row r="1421" spans="2:3">
      <c r="B1421" s="74">
        <v>44323</v>
      </c>
      <c r="C1421">
        <v>49206.47</v>
      </c>
    </row>
    <row r="1422" spans="2:3">
      <c r="B1422" s="74">
        <v>44326</v>
      </c>
      <c r="C1422">
        <v>49502.41</v>
      </c>
    </row>
    <row r="1423" spans="2:3">
      <c r="B1423" s="74">
        <v>44327</v>
      </c>
      <c r="C1423">
        <v>49161.81</v>
      </c>
    </row>
    <row r="1424" spans="2:3">
      <c r="B1424" s="74">
        <v>44328</v>
      </c>
      <c r="C1424">
        <v>48690.8</v>
      </c>
    </row>
    <row r="1425" spans="2:3">
      <c r="B1425" s="74">
        <v>44330</v>
      </c>
      <c r="C1425">
        <v>48732.55</v>
      </c>
    </row>
    <row r="1426" spans="2:3">
      <c r="B1426" s="74">
        <v>44333</v>
      </c>
      <c r="C1426">
        <v>49580.73</v>
      </c>
    </row>
    <row r="1427" spans="2:3">
      <c r="B1427" s="74">
        <v>44334</v>
      </c>
      <c r="C1427">
        <v>50193.33</v>
      </c>
    </row>
    <row r="1428" spans="2:3">
      <c r="B1428" s="74">
        <v>44335</v>
      </c>
      <c r="C1428">
        <v>49902.64</v>
      </c>
    </row>
    <row r="1429" spans="2:3">
      <c r="B1429" s="74">
        <v>44336</v>
      </c>
      <c r="C1429">
        <v>49564.86</v>
      </c>
    </row>
    <row r="1430" spans="2:3">
      <c r="B1430" s="74">
        <v>44337</v>
      </c>
      <c r="C1430">
        <v>50540.480000000003</v>
      </c>
    </row>
    <row r="1431" spans="2:3">
      <c r="B1431" s="74">
        <v>44340</v>
      </c>
      <c r="C1431">
        <v>50651.9</v>
      </c>
    </row>
    <row r="1432" spans="2:3">
      <c r="B1432" s="74">
        <v>44341</v>
      </c>
      <c r="C1432">
        <v>50637.53</v>
      </c>
    </row>
    <row r="1433" spans="2:3">
      <c r="B1433" s="74">
        <v>44342</v>
      </c>
      <c r="C1433">
        <v>51017.52</v>
      </c>
    </row>
    <row r="1434" spans="2:3">
      <c r="B1434" s="74">
        <v>44343</v>
      </c>
      <c r="C1434">
        <v>51115.22</v>
      </c>
    </row>
    <row r="1435" spans="2:3">
      <c r="B1435" s="74">
        <v>44344</v>
      </c>
      <c r="C1435">
        <v>51422.879999999997</v>
      </c>
    </row>
    <row r="1436" spans="2:3">
      <c r="B1436" s="74">
        <v>44347</v>
      </c>
      <c r="C1436">
        <v>51937.440000000002</v>
      </c>
    </row>
    <row r="1437" spans="2:3">
      <c r="B1437" s="74">
        <v>44348</v>
      </c>
      <c r="C1437">
        <v>51934.879999999997</v>
      </c>
    </row>
    <row r="1438" spans="2:3">
      <c r="B1438" s="74">
        <v>44349</v>
      </c>
      <c r="C1438">
        <v>51849.48</v>
      </c>
    </row>
    <row r="1439" spans="2:3">
      <c r="B1439" s="74">
        <v>44350</v>
      </c>
      <c r="C1439">
        <v>52232.43</v>
      </c>
    </row>
    <row r="1440" spans="2:3">
      <c r="B1440" s="74">
        <v>44351</v>
      </c>
      <c r="C1440">
        <v>52100.05</v>
      </c>
    </row>
    <row r="1441" spans="2:3">
      <c r="B1441" s="74">
        <v>44354</v>
      </c>
      <c r="C1441">
        <v>52328.51</v>
      </c>
    </row>
    <row r="1442" spans="2:3">
      <c r="B1442" s="74">
        <v>44355</v>
      </c>
      <c r="C1442">
        <v>52275.57</v>
      </c>
    </row>
    <row r="1443" spans="2:3">
      <c r="B1443" s="74">
        <v>44356</v>
      </c>
      <c r="C1443">
        <v>51941.64</v>
      </c>
    </row>
    <row r="1444" spans="2:3">
      <c r="B1444" s="74">
        <v>44357</v>
      </c>
      <c r="C1444">
        <v>52300.47</v>
      </c>
    </row>
    <row r="1445" spans="2:3">
      <c r="B1445" s="74">
        <v>44358</v>
      </c>
      <c r="C1445">
        <v>52474.76</v>
      </c>
    </row>
    <row r="1446" spans="2:3">
      <c r="B1446" s="74">
        <v>44361</v>
      </c>
      <c r="C1446">
        <v>52551.53</v>
      </c>
    </row>
    <row r="1447" spans="2:3">
      <c r="B1447" s="74">
        <v>44362</v>
      </c>
      <c r="C1447">
        <v>52773.05</v>
      </c>
    </row>
    <row r="1448" spans="2:3">
      <c r="B1448" s="74">
        <v>44363</v>
      </c>
      <c r="C1448">
        <v>52501.98</v>
      </c>
    </row>
    <row r="1449" spans="2:3">
      <c r="B1449" s="74">
        <v>44364</v>
      </c>
      <c r="C1449">
        <v>52323.33</v>
      </c>
    </row>
    <row r="1450" spans="2:3">
      <c r="B1450" s="74">
        <v>44365</v>
      </c>
      <c r="C1450">
        <v>52344.45</v>
      </c>
    </row>
    <row r="1451" spans="2:3">
      <c r="B1451" s="74">
        <v>44368</v>
      </c>
      <c r="C1451">
        <v>52574.46</v>
      </c>
    </row>
    <row r="1452" spans="2:3">
      <c r="B1452" s="74">
        <v>44369</v>
      </c>
      <c r="C1452">
        <v>52588.71</v>
      </c>
    </row>
    <row r="1453" spans="2:3">
      <c r="B1453" s="74">
        <v>44370</v>
      </c>
      <c r="C1453">
        <v>52306.080000000002</v>
      </c>
    </row>
    <row r="1454" spans="2:3">
      <c r="B1454" s="74">
        <v>44371</v>
      </c>
      <c r="C1454">
        <v>52699</v>
      </c>
    </row>
    <row r="1455" spans="2:3">
      <c r="B1455" s="74">
        <v>44372</v>
      </c>
      <c r="C1455">
        <v>52925.04</v>
      </c>
    </row>
    <row r="1456" spans="2:3">
      <c r="B1456" s="74">
        <v>44375</v>
      </c>
      <c r="C1456">
        <v>52735.59</v>
      </c>
    </row>
    <row r="1457" spans="2:3">
      <c r="B1457" s="74">
        <v>44376</v>
      </c>
      <c r="C1457">
        <v>52549.66</v>
      </c>
    </row>
    <row r="1458" spans="2:3">
      <c r="B1458" s="74">
        <v>44377</v>
      </c>
      <c r="C1458">
        <v>52482.71</v>
      </c>
    </row>
    <row r="1459" spans="2:3">
      <c r="B1459" s="74">
        <v>44378</v>
      </c>
      <c r="C1459">
        <v>52318.6</v>
      </c>
    </row>
    <row r="1460" spans="2:3">
      <c r="B1460" s="74">
        <v>44379</v>
      </c>
      <c r="C1460">
        <v>52484.67</v>
      </c>
    </row>
    <row r="1461" spans="2:3">
      <c r="B1461" s="74">
        <v>44382</v>
      </c>
      <c r="C1461">
        <v>52880</v>
      </c>
    </row>
    <row r="1462" spans="2:3">
      <c r="B1462" s="74">
        <v>44383</v>
      </c>
      <c r="C1462">
        <v>52861.18</v>
      </c>
    </row>
    <row r="1463" spans="2:3">
      <c r="B1463" s="74">
        <v>44384</v>
      </c>
      <c r="C1463">
        <v>53054.76</v>
      </c>
    </row>
    <row r="1464" spans="2:3">
      <c r="B1464" s="74">
        <v>44385</v>
      </c>
      <c r="C1464">
        <v>52568.94</v>
      </c>
    </row>
    <row r="1465" spans="2:3">
      <c r="B1465" s="74">
        <v>44386</v>
      </c>
      <c r="C1465">
        <v>52386.19</v>
      </c>
    </row>
    <row r="1466" spans="2:3">
      <c r="B1466" s="74">
        <v>44389</v>
      </c>
      <c r="C1466">
        <v>52372.69</v>
      </c>
    </row>
    <row r="1467" spans="2:3">
      <c r="B1467" s="74">
        <v>44390</v>
      </c>
      <c r="C1467">
        <v>52769.73</v>
      </c>
    </row>
    <row r="1468" spans="2:3">
      <c r="B1468" s="74">
        <v>44391</v>
      </c>
      <c r="C1468">
        <v>52904.05</v>
      </c>
    </row>
    <row r="1469" spans="2:3">
      <c r="B1469" s="74">
        <v>44392</v>
      </c>
      <c r="C1469">
        <v>53158.85</v>
      </c>
    </row>
    <row r="1470" spans="2:3">
      <c r="B1470" s="74">
        <v>44393</v>
      </c>
      <c r="C1470">
        <v>53140.06</v>
      </c>
    </row>
    <row r="1471" spans="2:3">
      <c r="B1471" s="74">
        <v>44396</v>
      </c>
      <c r="C1471">
        <v>52553.4</v>
      </c>
    </row>
    <row r="1472" spans="2:3">
      <c r="B1472" s="74">
        <v>44397</v>
      </c>
      <c r="C1472">
        <v>52198.51</v>
      </c>
    </row>
    <row r="1473" spans="2:3">
      <c r="B1473" s="74">
        <v>44399</v>
      </c>
      <c r="C1473">
        <v>52837.21</v>
      </c>
    </row>
    <row r="1474" spans="2:3">
      <c r="B1474" s="74">
        <v>44400</v>
      </c>
      <c r="C1474">
        <v>52975.8</v>
      </c>
    </row>
    <row r="1475" spans="2:3">
      <c r="B1475" s="74">
        <v>44403</v>
      </c>
      <c r="C1475">
        <v>52852.27</v>
      </c>
    </row>
    <row r="1476" spans="2:3">
      <c r="B1476" s="74">
        <v>44404</v>
      </c>
      <c r="C1476">
        <v>52578.76</v>
      </c>
    </row>
    <row r="1477" spans="2:3">
      <c r="B1477" s="74">
        <v>44405</v>
      </c>
      <c r="C1477">
        <v>52443.71</v>
      </c>
    </row>
    <row r="1478" spans="2:3">
      <c r="B1478" s="74">
        <v>44406</v>
      </c>
      <c r="C1478">
        <v>52653.07</v>
      </c>
    </row>
    <row r="1479" spans="2:3">
      <c r="B1479" s="74">
        <v>44407</v>
      </c>
      <c r="C1479">
        <v>52586.84</v>
      </c>
    </row>
    <row r="1480" spans="2:3">
      <c r="B1480" s="74">
        <v>44410</v>
      </c>
      <c r="C1480">
        <v>52950.63</v>
      </c>
    </row>
    <row r="1481" spans="2:3">
      <c r="B1481" s="74">
        <v>44411</v>
      </c>
      <c r="C1481">
        <v>53823.360000000001</v>
      </c>
    </row>
    <row r="1482" spans="2:3">
      <c r="B1482" s="74">
        <v>44412</v>
      </c>
      <c r="C1482">
        <v>54369.77</v>
      </c>
    </row>
    <row r="1483" spans="2:3">
      <c r="B1483" s="74">
        <v>44413</v>
      </c>
      <c r="C1483">
        <v>54492.84</v>
      </c>
    </row>
    <row r="1484" spans="2:3">
      <c r="B1484" s="74">
        <v>44414</v>
      </c>
      <c r="C1484">
        <v>54277.72</v>
      </c>
    </row>
    <row r="1485" spans="2:3">
      <c r="B1485" s="74">
        <v>44417</v>
      </c>
      <c r="C1485">
        <v>54402.85</v>
      </c>
    </row>
    <row r="1486" spans="2:3">
      <c r="B1486" s="74">
        <v>44418</v>
      </c>
      <c r="C1486">
        <v>54554.66</v>
      </c>
    </row>
    <row r="1487" spans="2:3">
      <c r="B1487" s="74">
        <v>44419</v>
      </c>
      <c r="C1487">
        <v>54525.93</v>
      </c>
    </row>
    <row r="1488" spans="2:3">
      <c r="B1488" s="74">
        <v>44420</v>
      </c>
      <c r="C1488">
        <v>54843.98</v>
      </c>
    </row>
    <row r="1489" spans="2:3">
      <c r="B1489" s="74">
        <v>44421</v>
      </c>
      <c r="C1489">
        <v>55437.29</v>
      </c>
    </row>
    <row r="1490" spans="2:3">
      <c r="B1490" s="74">
        <v>44424</v>
      </c>
      <c r="C1490">
        <v>55582.58</v>
      </c>
    </row>
    <row r="1491" spans="2:3">
      <c r="B1491" s="74">
        <v>44425</v>
      </c>
      <c r="C1491">
        <v>55792.27</v>
      </c>
    </row>
    <row r="1492" spans="2:3">
      <c r="B1492" s="74">
        <v>44426</v>
      </c>
      <c r="C1492">
        <v>55629.49</v>
      </c>
    </row>
    <row r="1493" spans="2:3">
      <c r="B1493" s="74">
        <v>44428</v>
      </c>
      <c r="C1493">
        <v>55329.32</v>
      </c>
    </row>
    <row r="1494" spans="2:3">
      <c r="B1494" s="74">
        <v>44431</v>
      </c>
      <c r="C1494">
        <v>55555.79</v>
      </c>
    </row>
    <row r="1495" spans="2:3">
      <c r="B1495" s="74">
        <v>44432</v>
      </c>
      <c r="C1495">
        <v>55958.98</v>
      </c>
    </row>
    <row r="1496" spans="2:3">
      <c r="B1496" s="74">
        <v>44433</v>
      </c>
      <c r="C1496">
        <v>55944.21</v>
      </c>
    </row>
    <row r="1497" spans="2:3">
      <c r="B1497" s="74">
        <v>44434</v>
      </c>
      <c r="C1497">
        <v>55949.1</v>
      </c>
    </row>
    <row r="1498" spans="2:3">
      <c r="B1498" s="74">
        <v>44435</v>
      </c>
      <c r="C1498">
        <v>56124.72</v>
      </c>
    </row>
    <row r="1499" spans="2:3">
      <c r="B1499" s="74">
        <v>44438</v>
      </c>
      <c r="C1499">
        <v>56889.760000000002</v>
      </c>
    </row>
    <row r="1500" spans="2:3">
      <c r="B1500" s="74">
        <v>44439</v>
      </c>
      <c r="C1500">
        <v>57552.39</v>
      </c>
    </row>
    <row r="1501" spans="2:3">
      <c r="B1501" s="74">
        <v>44440</v>
      </c>
      <c r="C1501">
        <v>57338.21</v>
      </c>
    </row>
    <row r="1502" spans="2:3">
      <c r="B1502" s="74">
        <v>44441</v>
      </c>
      <c r="C1502">
        <v>57852.54</v>
      </c>
    </row>
    <row r="1503" spans="2:3">
      <c r="B1503" s="74">
        <v>44442</v>
      </c>
      <c r="C1503">
        <v>58129.95</v>
      </c>
    </row>
    <row r="1504" spans="2:3">
      <c r="B1504" s="74">
        <v>44445</v>
      </c>
      <c r="C1504">
        <v>58296.91</v>
      </c>
    </row>
    <row r="1505" spans="2:3">
      <c r="B1505" s="74">
        <v>44446</v>
      </c>
      <c r="C1505">
        <v>58279.48</v>
      </c>
    </row>
    <row r="1506" spans="2:3">
      <c r="B1506" s="74">
        <v>44447</v>
      </c>
      <c r="C1506">
        <v>58250.26</v>
      </c>
    </row>
    <row r="1507" spans="2:3">
      <c r="B1507" s="74">
        <v>44448</v>
      </c>
      <c r="C1507">
        <v>58305.07</v>
      </c>
    </row>
    <row r="1508" spans="2:3">
      <c r="B1508" s="74">
        <v>44452</v>
      </c>
      <c r="C1508">
        <v>58177.760000000002</v>
      </c>
    </row>
    <row r="1509" spans="2:3">
      <c r="B1509" s="74">
        <v>44453</v>
      </c>
      <c r="C1509">
        <v>58247.09</v>
      </c>
    </row>
    <row r="1510" spans="2:3">
      <c r="B1510" s="74">
        <v>44454</v>
      </c>
      <c r="C1510">
        <v>58723.199999999997</v>
      </c>
    </row>
    <row r="1511" spans="2:3">
      <c r="B1511" s="74">
        <v>44455</v>
      </c>
      <c r="C1511">
        <v>59141.16</v>
      </c>
    </row>
    <row r="1512" spans="2:3">
      <c r="B1512" s="74">
        <v>44456</v>
      </c>
      <c r="C1512">
        <v>59015.89</v>
      </c>
    </row>
    <row r="1513" spans="2:3">
      <c r="B1513" s="74">
        <v>44459</v>
      </c>
      <c r="C1513">
        <v>58490.93</v>
      </c>
    </row>
    <row r="1514" spans="2:3">
      <c r="B1514" s="74">
        <v>44460</v>
      </c>
      <c r="C1514">
        <v>59005.27</v>
      </c>
    </row>
    <row r="1515" spans="2:3">
      <c r="B1515" s="74">
        <v>44461</v>
      </c>
      <c r="C1515">
        <v>58927.33</v>
      </c>
    </row>
    <row r="1516" spans="2:3">
      <c r="B1516" s="74">
        <v>44462</v>
      </c>
      <c r="C1516">
        <v>59885.36</v>
      </c>
    </row>
    <row r="1517" spans="2:3">
      <c r="B1517" s="74">
        <v>44463</v>
      </c>
      <c r="C1517">
        <v>60048.47</v>
      </c>
    </row>
    <row r="1518" spans="2:3">
      <c r="B1518" s="74">
        <v>44466</v>
      </c>
      <c r="C1518">
        <v>60077.88</v>
      </c>
    </row>
    <row r="1519" spans="2:3">
      <c r="B1519" s="74">
        <v>44467</v>
      </c>
      <c r="C1519">
        <v>59667.6</v>
      </c>
    </row>
    <row r="1520" spans="2:3">
      <c r="B1520" s="74">
        <v>44468</v>
      </c>
      <c r="C1520">
        <v>59413.27</v>
      </c>
    </row>
    <row r="1521" spans="2:3">
      <c r="B1521" s="74">
        <v>44469</v>
      </c>
      <c r="C1521">
        <v>59126.36</v>
      </c>
    </row>
    <row r="1522" spans="2:3">
      <c r="B1522" s="74">
        <v>44470</v>
      </c>
      <c r="C1522">
        <v>58765.58</v>
      </c>
    </row>
    <row r="1523" spans="2:3">
      <c r="B1523" s="74">
        <v>44473</v>
      </c>
      <c r="C1523">
        <v>59299.32</v>
      </c>
    </row>
    <row r="1524" spans="2:3">
      <c r="B1524" s="74">
        <v>44474</v>
      </c>
      <c r="C1524">
        <v>59744.88</v>
      </c>
    </row>
    <row r="1525" spans="2:3">
      <c r="B1525" s="74">
        <v>44475</v>
      </c>
      <c r="C1525">
        <v>59189.73</v>
      </c>
    </row>
    <row r="1526" spans="2:3">
      <c r="B1526" s="74">
        <v>44476</v>
      </c>
      <c r="C1526">
        <v>59677.83</v>
      </c>
    </row>
    <row r="1527" spans="2:3">
      <c r="B1527" s="74">
        <v>44477</v>
      </c>
      <c r="C1527">
        <v>60059.06</v>
      </c>
    </row>
    <row r="1528" spans="2:3">
      <c r="B1528" s="74">
        <v>44480</v>
      </c>
      <c r="C1528">
        <v>60135.78</v>
      </c>
    </row>
    <row r="1529" spans="2:3">
      <c r="B1529" s="74">
        <v>44481</v>
      </c>
      <c r="C1529">
        <v>60284.31</v>
      </c>
    </row>
    <row r="1530" spans="2:3">
      <c r="B1530" s="74">
        <v>44482</v>
      </c>
      <c r="C1530">
        <v>60737.05</v>
      </c>
    </row>
    <row r="1531" spans="2:3">
      <c r="B1531" s="74">
        <v>44483</v>
      </c>
      <c r="C1531">
        <v>61305.95</v>
      </c>
    </row>
    <row r="1532" spans="2:3">
      <c r="B1532" s="74">
        <v>44487</v>
      </c>
      <c r="C1532">
        <v>61765.59</v>
      </c>
    </row>
    <row r="1533" spans="2:3">
      <c r="B1533" s="74">
        <v>44488</v>
      </c>
      <c r="C1533">
        <v>61716.05</v>
      </c>
    </row>
    <row r="1534" spans="2:3">
      <c r="B1534" s="74">
        <v>44489</v>
      </c>
      <c r="C1534">
        <v>61259.96</v>
      </c>
    </row>
    <row r="1535" spans="2:3">
      <c r="B1535" s="74">
        <v>44490</v>
      </c>
      <c r="C1535">
        <v>60923.5</v>
      </c>
    </row>
    <row r="1536" spans="2:3">
      <c r="B1536" s="74">
        <v>44491</v>
      </c>
      <c r="C1536">
        <v>60821.62</v>
      </c>
    </row>
    <row r="1537" spans="2:3">
      <c r="B1537" s="74">
        <v>44494</v>
      </c>
      <c r="C1537">
        <v>60967.05</v>
      </c>
    </row>
    <row r="1538" spans="2:3">
      <c r="B1538" s="74">
        <v>44495</v>
      </c>
      <c r="C1538">
        <v>61350.26</v>
      </c>
    </row>
    <row r="1539" spans="2:3">
      <c r="B1539" s="74">
        <v>44496</v>
      </c>
      <c r="C1539">
        <v>61143.33</v>
      </c>
    </row>
    <row r="1540" spans="2:3">
      <c r="B1540" s="74">
        <v>44497</v>
      </c>
      <c r="C1540">
        <v>59984.7</v>
      </c>
    </row>
    <row r="1541" spans="2:3">
      <c r="B1541" s="74">
        <v>44498</v>
      </c>
      <c r="C1541">
        <v>59306.93</v>
      </c>
    </row>
    <row r="1542" spans="2:3">
      <c r="B1542" s="74">
        <v>44501</v>
      </c>
      <c r="C1542">
        <v>60138.46</v>
      </c>
    </row>
    <row r="1543" spans="2:3">
      <c r="B1543" s="74">
        <v>44502</v>
      </c>
      <c r="C1543">
        <v>60029.06</v>
      </c>
    </row>
    <row r="1544" spans="2:3">
      <c r="B1544" s="74">
        <v>44503</v>
      </c>
      <c r="C1544">
        <v>59771.92</v>
      </c>
    </row>
    <row r="1545" spans="2:3">
      <c r="B1545" s="74">
        <v>44504</v>
      </c>
      <c r="C1545">
        <v>60067.62</v>
      </c>
    </row>
    <row r="1546" spans="2:3">
      <c r="B1546" s="74">
        <v>44508</v>
      </c>
      <c r="C1546">
        <v>60545.61</v>
      </c>
    </row>
    <row r="1547" spans="2:3">
      <c r="B1547" s="74">
        <v>44509</v>
      </c>
      <c r="C1547">
        <v>60433.45</v>
      </c>
    </row>
    <row r="1548" spans="2:3">
      <c r="B1548" s="74">
        <v>44510</v>
      </c>
      <c r="C1548">
        <v>60352.82</v>
      </c>
    </row>
    <row r="1549" spans="2:3">
      <c r="B1549" s="74">
        <v>44511</v>
      </c>
      <c r="C1549">
        <v>59919.69</v>
      </c>
    </row>
    <row r="1550" spans="2:3">
      <c r="B1550" s="74">
        <v>44512</v>
      </c>
      <c r="C1550">
        <v>60686.69</v>
      </c>
    </row>
    <row r="1551" spans="2:3">
      <c r="B1551" s="74">
        <v>44515</v>
      </c>
      <c r="C1551">
        <v>60718.71</v>
      </c>
    </row>
    <row r="1552" spans="2:3">
      <c r="B1552" s="74">
        <v>44516</v>
      </c>
      <c r="C1552">
        <v>60322.37</v>
      </c>
    </row>
    <row r="1553" spans="2:3">
      <c r="B1553" s="74">
        <v>44517</v>
      </c>
      <c r="C1553">
        <v>60008.33</v>
      </c>
    </row>
    <row r="1554" spans="2:3">
      <c r="B1554" s="74">
        <v>44518</v>
      </c>
      <c r="C1554">
        <v>59636.01</v>
      </c>
    </row>
    <row r="1555" spans="2:3">
      <c r="B1555" s="74">
        <v>44522</v>
      </c>
      <c r="C1555">
        <v>58465.89</v>
      </c>
    </row>
    <row r="1556" spans="2:3">
      <c r="B1556" s="74">
        <v>44523</v>
      </c>
      <c r="C1556">
        <v>58664.33</v>
      </c>
    </row>
    <row r="1557" spans="2:3">
      <c r="B1557" s="74">
        <v>44524</v>
      </c>
      <c r="C1557">
        <v>58340.99</v>
      </c>
    </row>
    <row r="1558" spans="2:3">
      <c r="B1558" s="74">
        <v>44525</v>
      </c>
      <c r="C1558">
        <v>58795.09</v>
      </c>
    </row>
    <row r="1559" spans="2:3">
      <c r="B1559" s="74">
        <v>44526</v>
      </c>
      <c r="C1559">
        <v>57107.15</v>
      </c>
    </row>
    <row r="1560" spans="2:3">
      <c r="B1560" s="74">
        <v>44529</v>
      </c>
      <c r="C1560">
        <v>57260.58</v>
      </c>
    </row>
    <row r="1561" spans="2:3">
      <c r="B1561" s="74">
        <v>44530</v>
      </c>
      <c r="C1561">
        <v>57064.87</v>
      </c>
    </row>
    <row r="1562" spans="2:3">
      <c r="B1562" s="74">
        <v>44531</v>
      </c>
      <c r="C1562">
        <v>57684.79</v>
      </c>
    </row>
    <row r="1563" spans="2:3">
      <c r="B1563" s="74">
        <v>44532</v>
      </c>
      <c r="C1563">
        <v>58461.29</v>
      </c>
    </row>
    <row r="1564" spans="2:3">
      <c r="B1564" s="74">
        <v>44533</v>
      </c>
      <c r="C1564">
        <v>57696.46</v>
      </c>
    </row>
    <row r="1565" spans="2:3">
      <c r="B1565" s="74">
        <v>44536</v>
      </c>
      <c r="C1565">
        <v>56747.14</v>
      </c>
    </row>
    <row r="1566" spans="2:3">
      <c r="B1566" s="74">
        <v>44537</v>
      </c>
      <c r="C1566">
        <v>57633.65</v>
      </c>
    </row>
    <row r="1567" spans="2:3">
      <c r="B1567" s="74">
        <v>44538</v>
      </c>
      <c r="C1567">
        <v>58649.68</v>
      </c>
    </row>
    <row r="1568" spans="2:3">
      <c r="B1568" s="74">
        <v>44539</v>
      </c>
      <c r="C1568">
        <v>58807.13</v>
      </c>
    </row>
    <row r="1569" spans="2:3">
      <c r="B1569" s="74">
        <v>44540</v>
      </c>
      <c r="C1569">
        <v>58786.67</v>
      </c>
    </row>
    <row r="1570" spans="2:3">
      <c r="B1570" s="74">
        <v>44543</v>
      </c>
      <c r="C1570">
        <v>58283.42</v>
      </c>
    </row>
    <row r="1571" spans="2:3">
      <c r="B1571" s="74">
        <v>44544</v>
      </c>
      <c r="C1571">
        <v>58117.09</v>
      </c>
    </row>
    <row r="1572" spans="2:3">
      <c r="B1572" s="74">
        <v>44545</v>
      </c>
      <c r="C1572">
        <v>57788.03</v>
      </c>
    </row>
    <row r="1573" spans="2:3">
      <c r="B1573" s="74">
        <v>44546</v>
      </c>
      <c r="C1573">
        <v>57901.14</v>
      </c>
    </row>
    <row r="1574" spans="2:3">
      <c r="B1574" s="74">
        <v>44547</v>
      </c>
      <c r="C1574">
        <v>57011.74</v>
      </c>
    </row>
    <row r="1575" spans="2:3">
      <c r="B1575" s="74">
        <v>44550</v>
      </c>
      <c r="C1575">
        <v>55822.01</v>
      </c>
    </row>
    <row r="1576" spans="2:3">
      <c r="B1576" s="74">
        <v>44551</v>
      </c>
      <c r="C1576">
        <v>56319.01</v>
      </c>
    </row>
    <row r="1577" spans="2:3">
      <c r="B1577" s="74">
        <v>44552</v>
      </c>
      <c r="C1577">
        <v>56930.559999999998</v>
      </c>
    </row>
    <row r="1578" spans="2:3">
      <c r="B1578" s="74">
        <v>44553</v>
      </c>
      <c r="C1578">
        <v>57315.28</v>
      </c>
    </row>
    <row r="1579" spans="2:3">
      <c r="B1579" s="74">
        <v>44554</v>
      </c>
      <c r="C1579">
        <v>57124.31</v>
      </c>
    </row>
    <row r="1580" spans="2:3">
      <c r="B1580" s="74">
        <v>44557</v>
      </c>
      <c r="C1580">
        <v>57420.24</v>
      </c>
    </row>
    <row r="1581" spans="2:3">
      <c r="B1581" s="74">
        <v>44558</v>
      </c>
      <c r="C1581">
        <v>57897.48</v>
      </c>
    </row>
    <row r="1582" spans="2:3">
      <c r="B1582" s="74">
        <v>44559</v>
      </c>
      <c r="C1582">
        <v>57806.49</v>
      </c>
    </row>
    <row r="1583" spans="2:3">
      <c r="B1583" s="74">
        <v>44560</v>
      </c>
      <c r="C1583">
        <v>57794.32</v>
      </c>
    </row>
    <row r="1584" spans="2:3">
      <c r="B1584" s="74">
        <v>44561</v>
      </c>
      <c r="C1584">
        <v>58253.82</v>
      </c>
    </row>
    <row r="1585" spans="2:3">
      <c r="B1585" s="74">
        <v>44564</v>
      </c>
      <c r="C1585">
        <v>59183.22</v>
      </c>
    </row>
    <row r="1586" spans="2:3">
      <c r="B1586" s="74">
        <v>44565</v>
      </c>
      <c r="C1586">
        <v>59855.93</v>
      </c>
    </row>
    <row r="1587" spans="2:3">
      <c r="B1587" s="74">
        <v>44566</v>
      </c>
      <c r="C1587">
        <v>60223.15</v>
      </c>
    </row>
    <row r="1588" spans="2:3">
      <c r="B1588" s="74">
        <v>44567</v>
      </c>
      <c r="C1588">
        <v>59601.84</v>
      </c>
    </row>
    <row r="1589" spans="2:3">
      <c r="B1589" s="74">
        <v>44568</v>
      </c>
      <c r="C1589">
        <v>59744.65</v>
      </c>
    </row>
    <row r="1590" spans="2:3">
      <c r="B1590" s="74">
        <v>44571</v>
      </c>
      <c r="C1590">
        <v>60395.63</v>
      </c>
    </row>
    <row r="1591" spans="2:3">
      <c r="B1591" s="74">
        <v>44572</v>
      </c>
      <c r="C1591">
        <v>60616.89</v>
      </c>
    </row>
    <row r="1592" spans="2:3">
      <c r="B1592" s="74">
        <v>44573</v>
      </c>
      <c r="C1592">
        <v>61150.04</v>
      </c>
    </row>
    <row r="1593" spans="2:3">
      <c r="B1593" s="74">
        <v>44574</v>
      </c>
      <c r="C1593">
        <v>61235.3</v>
      </c>
    </row>
    <row r="1594" spans="2:3">
      <c r="B1594" s="74">
        <v>44575</v>
      </c>
      <c r="C1594">
        <v>61223.03</v>
      </c>
    </row>
    <row r="1595" spans="2:3">
      <c r="B1595" s="74">
        <v>44578</v>
      </c>
      <c r="C1595">
        <v>61308.91</v>
      </c>
    </row>
    <row r="1596" spans="2:3">
      <c r="B1596" s="74">
        <v>44579</v>
      </c>
      <c r="C1596">
        <v>60754.86</v>
      </c>
    </row>
    <row r="1597" spans="2:3">
      <c r="B1597" s="74">
        <v>44580</v>
      </c>
      <c r="C1597">
        <v>60098.82</v>
      </c>
    </row>
    <row r="1598" spans="2:3">
      <c r="B1598" s="74">
        <v>44581</v>
      </c>
      <c r="C1598">
        <v>59464.62</v>
      </c>
    </row>
    <row r="1599" spans="2:3">
      <c r="B1599" s="74">
        <v>44582</v>
      </c>
      <c r="C1599">
        <v>59037.18</v>
      </c>
    </row>
    <row r="1600" spans="2:3">
      <c r="B1600" s="74">
        <v>44585</v>
      </c>
      <c r="C1600">
        <v>57491.51</v>
      </c>
    </row>
    <row r="1601" spans="2:3">
      <c r="B1601" s="74">
        <v>44586</v>
      </c>
      <c r="C1601">
        <v>57858.15</v>
      </c>
    </row>
    <row r="1602" spans="2:3">
      <c r="B1602" s="74">
        <v>44588</v>
      </c>
      <c r="C1602">
        <v>57276.94</v>
      </c>
    </row>
    <row r="1603" spans="2:3">
      <c r="B1603" s="74">
        <v>44589</v>
      </c>
      <c r="C1603">
        <v>57200.23</v>
      </c>
    </row>
    <row r="1604" spans="2:3">
      <c r="B1604" s="74">
        <v>44592</v>
      </c>
      <c r="C1604">
        <v>58014.17</v>
      </c>
    </row>
    <row r="1605" spans="2:3">
      <c r="B1605" s="74">
        <v>44593</v>
      </c>
      <c r="C1605">
        <v>58862.57</v>
      </c>
    </row>
    <row r="1606" spans="2:3">
      <c r="B1606" s="74">
        <v>44594</v>
      </c>
      <c r="C1606">
        <v>59558.33</v>
      </c>
    </row>
    <row r="1607" spans="2:3">
      <c r="B1607" s="74">
        <v>44595</v>
      </c>
      <c r="C1607">
        <v>58788.02</v>
      </c>
    </row>
    <row r="1608" spans="2:3">
      <c r="B1608" s="74">
        <v>44596</v>
      </c>
      <c r="C1608">
        <v>58644.82</v>
      </c>
    </row>
    <row r="1609" spans="2:3">
      <c r="B1609" s="74">
        <v>44599</v>
      </c>
      <c r="C1609">
        <v>57621.19</v>
      </c>
    </row>
    <row r="1610" spans="2:3">
      <c r="B1610" s="74">
        <v>44600</v>
      </c>
      <c r="C1610">
        <v>57808.58</v>
      </c>
    </row>
    <row r="1611" spans="2:3">
      <c r="B1611" s="74">
        <v>44601</v>
      </c>
      <c r="C1611">
        <v>58465.97</v>
      </c>
    </row>
    <row r="1612" spans="2:3">
      <c r="B1612" s="74">
        <v>44602</v>
      </c>
      <c r="C1612">
        <v>58926.03</v>
      </c>
    </row>
    <row r="1613" spans="2:3">
      <c r="B1613" s="74">
        <v>44603</v>
      </c>
      <c r="C1613">
        <v>58152.92</v>
      </c>
    </row>
    <row r="1614" spans="2:3">
      <c r="B1614" s="74">
        <v>44606</v>
      </c>
      <c r="C1614">
        <v>56405.84</v>
      </c>
    </row>
    <row r="1615" spans="2:3">
      <c r="B1615" s="74">
        <v>44607</v>
      </c>
      <c r="C1615">
        <v>58142.05</v>
      </c>
    </row>
    <row r="1616" spans="2:3">
      <c r="B1616" s="74">
        <v>44608</v>
      </c>
      <c r="C1616">
        <v>57996.68</v>
      </c>
    </row>
    <row r="1617" spans="2:3">
      <c r="B1617" s="74">
        <v>44609</v>
      </c>
      <c r="C1617">
        <v>57892.01</v>
      </c>
    </row>
    <row r="1618" spans="2:3">
      <c r="B1618" s="74">
        <v>44610</v>
      </c>
      <c r="C1618">
        <v>57832.97</v>
      </c>
    </row>
    <row r="1619" spans="2:3">
      <c r="B1619" s="74">
        <v>44613</v>
      </c>
      <c r="C1619">
        <v>57683.59</v>
      </c>
    </row>
    <row r="1620" spans="2:3">
      <c r="B1620" s="74">
        <v>44614</v>
      </c>
      <c r="C1620">
        <v>57300.68</v>
      </c>
    </row>
    <row r="1621" spans="2:3">
      <c r="B1621" s="74">
        <v>44615</v>
      </c>
      <c r="C1621">
        <v>57232.06</v>
      </c>
    </row>
    <row r="1622" spans="2:3">
      <c r="B1622" s="74">
        <v>44616</v>
      </c>
      <c r="C1622">
        <v>54529.91</v>
      </c>
    </row>
    <row r="1623" spans="2:3">
      <c r="B1623" s="74">
        <v>44617</v>
      </c>
      <c r="C1623">
        <v>55858.52</v>
      </c>
    </row>
    <row r="1624" spans="2:3">
      <c r="B1624" s="74">
        <v>44620</v>
      </c>
      <c r="C1624">
        <v>56247.28</v>
      </c>
    </row>
    <row r="1625" spans="2:3">
      <c r="B1625" s="74">
        <v>44622</v>
      </c>
      <c r="C1625">
        <v>55468.9</v>
      </c>
    </row>
    <row r="1626" spans="2:3">
      <c r="B1626" s="74">
        <v>44623</v>
      </c>
      <c r="C1626">
        <v>55102.68</v>
      </c>
    </row>
    <row r="1627" spans="2:3">
      <c r="B1627" s="74">
        <v>44624</v>
      </c>
      <c r="C1627">
        <v>54333.81</v>
      </c>
    </row>
    <row r="1628" spans="2:3">
      <c r="B1628" s="74">
        <v>44627</v>
      </c>
      <c r="C1628">
        <v>52842.75</v>
      </c>
    </row>
    <row r="1629" spans="2:3">
      <c r="B1629" s="74">
        <v>44628</v>
      </c>
      <c r="C1629">
        <v>53424.09</v>
      </c>
    </row>
    <row r="1630" spans="2:3">
      <c r="B1630" s="74">
        <v>44629</v>
      </c>
      <c r="C1630">
        <v>54647.33</v>
      </c>
    </row>
    <row r="1631" spans="2:3">
      <c r="B1631" s="74">
        <v>44630</v>
      </c>
      <c r="C1631">
        <v>55464.39</v>
      </c>
    </row>
    <row r="1632" spans="2:3">
      <c r="B1632" s="74">
        <v>44631</v>
      </c>
      <c r="C1632">
        <v>55550.3</v>
      </c>
    </row>
    <row r="1633" spans="2:3">
      <c r="B1633" s="74">
        <v>44634</v>
      </c>
      <c r="C1633">
        <v>56486.02</v>
      </c>
    </row>
    <row r="1634" spans="2:3">
      <c r="B1634" s="74">
        <v>44635</v>
      </c>
      <c r="C1634">
        <v>55776.85</v>
      </c>
    </row>
    <row r="1635" spans="2:3">
      <c r="B1635" s="74">
        <v>44636</v>
      </c>
      <c r="C1635">
        <v>56816.65</v>
      </c>
    </row>
    <row r="1636" spans="2:3">
      <c r="B1636" s="74">
        <v>44637</v>
      </c>
      <c r="C1636">
        <v>57863.93</v>
      </c>
    </row>
    <row r="1637" spans="2:3">
      <c r="B1637" s="74">
        <v>44641</v>
      </c>
      <c r="C1637">
        <v>57292.49</v>
      </c>
    </row>
    <row r="1638" spans="2:3">
      <c r="B1638" s="74">
        <v>44642</v>
      </c>
      <c r="C1638">
        <v>57989.3</v>
      </c>
    </row>
    <row r="1639" spans="2:3">
      <c r="B1639" s="74">
        <v>44643</v>
      </c>
      <c r="C1639">
        <v>57684.82</v>
      </c>
    </row>
    <row r="1640" spans="2:3">
      <c r="B1640" s="74">
        <v>44644</v>
      </c>
      <c r="C1640">
        <v>57595.68</v>
      </c>
    </row>
    <row r="1641" spans="2:3">
      <c r="B1641" s="74">
        <v>44645</v>
      </c>
      <c r="C1641">
        <v>57362.2</v>
      </c>
    </row>
    <row r="1642" spans="2:3">
      <c r="B1642" s="74">
        <v>44648</v>
      </c>
      <c r="C1642">
        <v>57593.49</v>
      </c>
    </row>
    <row r="1643" spans="2:3">
      <c r="B1643" s="74">
        <v>44649</v>
      </c>
      <c r="C1643">
        <v>57943.65</v>
      </c>
    </row>
    <row r="1644" spans="2:3">
      <c r="B1644" s="74">
        <v>44650</v>
      </c>
      <c r="C1644">
        <v>58683.99</v>
      </c>
    </row>
    <row r="1645" spans="2:3">
      <c r="B1645" s="74">
        <v>44651</v>
      </c>
      <c r="C1645">
        <v>58568.51</v>
      </c>
    </row>
    <row r="1646" spans="2:3">
      <c r="B1646" s="74">
        <v>44652</v>
      </c>
      <c r="C1646">
        <v>59276.69</v>
      </c>
    </row>
    <row r="1647" spans="2:3">
      <c r="B1647" s="74">
        <v>44655</v>
      </c>
      <c r="C1647">
        <v>60611.74</v>
      </c>
    </row>
    <row r="1648" spans="2:3">
      <c r="B1648" s="74">
        <v>44656</v>
      </c>
      <c r="C1648">
        <v>60176.5</v>
      </c>
    </row>
    <row r="1649" spans="2:3">
      <c r="B1649" s="74">
        <v>44657</v>
      </c>
      <c r="C1649">
        <v>59610.41</v>
      </c>
    </row>
    <row r="1650" spans="2:3">
      <c r="B1650" s="74">
        <v>44658</v>
      </c>
      <c r="C1650">
        <v>59034.95</v>
      </c>
    </row>
    <row r="1651" spans="2:3">
      <c r="B1651" s="74">
        <v>44659</v>
      </c>
      <c r="C1651">
        <v>59447.18</v>
      </c>
    </row>
    <row r="1652" spans="2:3">
      <c r="B1652" s="74">
        <v>44662</v>
      </c>
      <c r="C1652">
        <v>58964.57</v>
      </c>
    </row>
    <row r="1653" spans="2:3">
      <c r="B1653" s="74">
        <v>44663</v>
      </c>
      <c r="C1653">
        <v>58576.37</v>
      </c>
    </row>
    <row r="1654" spans="2:3">
      <c r="B1654" s="74">
        <v>44664</v>
      </c>
      <c r="C1654">
        <v>58338.93</v>
      </c>
    </row>
    <row r="1655" spans="2:3">
      <c r="B1655" s="74">
        <v>44669</v>
      </c>
      <c r="C1655">
        <v>57166.74</v>
      </c>
    </row>
    <row r="1656" spans="2:3">
      <c r="B1656" s="74">
        <v>44670</v>
      </c>
      <c r="C1656">
        <v>56463.15</v>
      </c>
    </row>
    <row r="1657" spans="2:3">
      <c r="B1657" s="74">
        <v>44671</v>
      </c>
      <c r="C1657">
        <v>57037.5</v>
      </c>
    </row>
    <row r="1658" spans="2:3">
      <c r="B1658" s="74">
        <v>44672</v>
      </c>
      <c r="C1658">
        <v>57911.68</v>
      </c>
    </row>
    <row r="1659" spans="2:3">
      <c r="B1659" s="74">
        <v>44673</v>
      </c>
      <c r="C1659">
        <v>57197.15</v>
      </c>
    </row>
    <row r="1660" spans="2:3">
      <c r="B1660" s="74">
        <v>44676</v>
      </c>
      <c r="C1660">
        <v>56579.89</v>
      </c>
    </row>
    <row r="1661" spans="2:3">
      <c r="B1661" s="74">
        <v>44677</v>
      </c>
      <c r="C1661">
        <v>57356.61</v>
      </c>
    </row>
    <row r="1662" spans="2:3">
      <c r="B1662" s="74">
        <v>44678</v>
      </c>
      <c r="C1662">
        <v>56819.39</v>
      </c>
    </row>
    <row r="1663" spans="2:3">
      <c r="B1663" s="74">
        <v>44679</v>
      </c>
      <c r="C1663">
        <v>57521.06</v>
      </c>
    </row>
    <row r="1664" spans="2:3">
      <c r="B1664" s="74">
        <v>44680</v>
      </c>
      <c r="C1664">
        <v>57060.87</v>
      </c>
    </row>
    <row r="1665" spans="2:3">
      <c r="B1665" s="74">
        <v>44683</v>
      </c>
      <c r="C1665">
        <v>56975.99</v>
      </c>
    </row>
    <row r="1666" spans="2:3">
      <c r="B1666" s="74">
        <v>44685</v>
      </c>
      <c r="C1666">
        <v>55669.03</v>
      </c>
    </row>
    <row r="1667" spans="2:3">
      <c r="B1667" s="74">
        <v>44686</v>
      </c>
      <c r="C1667">
        <v>55702.23</v>
      </c>
    </row>
    <row r="1668" spans="2:3">
      <c r="B1668" s="74">
        <v>44687</v>
      </c>
      <c r="C1668">
        <v>54835.58</v>
      </c>
    </row>
    <row r="1669" spans="2:3">
      <c r="B1669" s="74">
        <v>44690</v>
      </c>
      <c r="C1669">
        <v>54470.67</v>
      </c>
    </row>
    <row r="1670" spans="2:3">
      <c r="B1670" s="74">
        <v>44691</v>
      </c>
      <c r="C1670">
        <v>54364.85</v>
      </c>
    </row>
    <row r="1671" spans="2:3">
      <c r="B1671" s="74">
        <v>44692</v>
      </c>
      <c r="C1671">
        <v>54088.39</v>
      </c>
    </row>
    <row r="1672" spans="2:3">
      <c r="B1672" s="74">
        <v>44693</v>
      </c>
      <c r="C1672">
        <v>52930.31</v>
      </c>
    </row>
    <row r="1673" spans="2:3">
      <c r="B1673" s="74">
        <v>44694</v>
      </c>
      <c r="C1673">
        <v>52793.62</v>
      </c>
    </row>
    <row r="1674" spans="2:3">
      <c r="B1674" s="74">
        <v>44697</v>
      </c>
      <c r="C1674">
        <v>52973.84</v>
      </c>
    </row>
    <row r="1675" spans="2:3">
      <c r="B1675" s="74">
        <v>44698</v>
      </c>
      <c r="C1675">
        <v>54318.47</v>
      </c>
    </row>
    <row r="1676" spans="2:3">
      <c r="B1676" s="74">
        <v>44699</v>
      </c>
      <c r="C1676">
        <v>54208.53</v>
      </c>
    </row>
    <row r="1677" spans="2:3">
      <c r="B1677" s="74">
        <v>44700</v>
      </c>
      <c r="C1677">
        <v>52792.23</v>
      </c>
    </row>
    <row r="1678" spans="2:3">
      <c r="B1678" s="74">
        <v>44701</v>
      </c>
      <c r="C1678">
        <v>54326.39</v>
      </c>
    </row>
    <row r="1679" spans="2:3">
      <c r="B1679" s="74">
        <v>44704</v>
      </c>
      <c r="C1679">
        <v>54288.61</v>
      </c>
    </row>
    <row r="1680" spans="2:3">
      <c r="B1680" s="74">
        <v>44705</v>
      </c>
      <c r="C1680">
        <v>54052.61</v>
      </c>
    </row>
    <row r="1681" spans="2:3">
      <c r="B1681" s="74">
        <v>44706</v>
      </c>
      <c r="C1681">
        <v>53749.26</v>
      </c>
    </row>
    <row r="1682" spans="2:3">
      <c r="B1682" s="74">
        <v>44707</v>
      </c>
      <c r="C1682">
        <v>54252.53</v>
      </c>
    </row>
    <row r="1683" spans="2:3">
      <c r="B1683" s="74">
        <v>44708</v>
      </c>
      <c r="C1683">
        <v>54884.66</v>
      </c>
    </row>
    <row r="1684" spans="2:3">
      <c r="B1684" s="74">
        <v>44711</v>
      </c>
      <c r="C1684">
        <v>55925.74</v>
      </c>
    </row>
    <row r="1685" spans="2:3">
      <c r="B1685" s="74">
        <v>44712</v>
      </c>
      <c r="C1685">
        <v>55566.41</v>
      </c>
    </row>
    <row r="1686" spans="2:3">
      <c r="B1686" s="74">
        <v>44713</v>
      </c>
      <c r="C1686">
        <v>55381.17</v>
      </c>
    </row>
    <row r="1687" spans="2:3">
      <c r="B1687" s="74">
        <v>44714</v>
      </c>
      <c r="C1687">
        <v>55818.11</v>
      </c>
    </row>
    <row r="1688" spans="2:3">
      <c r="B1688" s="74">
        <v>44715</v>
      </c>
      <c r="C1688">
        <v>55769.23</v>
      </c>
    </row>
    <row r="1689" spans="2:3">
      <c r="B1689" s="74">
        <v>44718</v>
      </c>
      <c r="C1689">
        <v>55675.32</v>
      </c>
    </row>
    <row r="1690" spans="2:3">
      <c r="B1690" s="74">
        <v>44719</v>
      </c>
      <c r="C1690">
        <v>55107.34</v>
      </c>
    </row>
    <row r="1691" spans="2:3">
      <c r="B1691" s="74">
        <v>44720</v>
      </c>
      <c r="C1691">
        <v>54892.49</v>
      </c>
    </row>
    <row r="1692" spans="2:3">
      <c r="B1692" s="74">
        <v>44721</v>
      </c>
      <c r="C1692">
        <v>55320.28</v>
      </c>
    </row>
    <row r="1693" spans="2:3">
      <c r="B1693" s="74">
        <v>44722</v>
      </c>
      <c r="C1693">
        <v>54303.44</v>
      </c>
    </row>
    <row r="1694" spans="2:3">
      <c r="B1694" s="74">
        <v>44725</v>
      </c>
      <c r="C1694">
        <v>52846.7</v>
      </c>
    </row>
    <row r="1695" spans="2:3">
      <c r="B1695" s="74">
        <v>44726</v>
      </c>
      <c r="C1695">
        <v>52693.57</v>
      </c>
    </row>
    <row r="1696" spans="2:3">
      <c r="B1696" s="74">
        <v>44727</v>
      </c>
      <c r="C1696">
        <v>52541.39</v>
      </c>
    </row>
    <row r="1697" spans="2:3">
      <c r="B1697" s="74">
        <v>44728</v>
      </c>
      <c r="C1697">
        <v>51495.79</v>
      </c>
    </row>
    <row r="1698" spans="2:3">
      <c r="B1698" s="74">
        <v>44729</v>
      </c>
      <c r="C1698">
        <v>51360.42</v>
      </c>
    </row>
    <row r="1699" spans="2:3">
      <c r="B1699" s="74">
        <v>44732</v>
      </c>
      <c r="C1699">
        <v>51597.84</v>
      </c>
    </row>
    <row r="1700" spans="2:3">
      <c r="B1700" s="74">
        <v>44733</v>
      </c>
      <c r="C1700">
        <v>52532.07</v>
      </c>
    </row>
    <row r="1701" spans="2:3">
      <c r="B1701" s="74">
        <v>44734</v>
      </c>
      <c r="C1701">
        <v>51822.53</v>
      </c>
    </row>
    <row r="1702" spans="2:3">
      <c r="B1702" s="74">
        <v>44735</v>
      </c>
      <c r="C1702">
        <v>52265.72</v>
      </c>
    </row>
    <row r="1703" spans="2:3">
      <c r="B1703" s="74">
        <v>44736</v>
      </c>
      <c r="C1703">
        <v>52727.98</v>
      </c>
    </row>
    <row r="1704" spans="2:3">
      <c r="B1704" s="74">
        <v>44739</v>
      </c>
      <c r="C1704">
        <v>53161.279999999999</v>
      </c>
    </row>
    <row r="1705" spans="2:3">
      <c r="B1705" s="74">
        <v>44740</v>
      </c>
      <c r="C1705">
        <v>53177.45</v>
      </c>
    </row>
    <row r="1706" spans="2:3">
      <c r="B1706" s="74">
        <v>44741</v>
      </c>
      <c r="C1706">
        <v>53026.97</v>
      </c>
    </row>
    <row r="1707" spans="2:3">
      <c r="B1707" s="74">
        <v>44742</v>
      </c>
      <c r="C1707">
        <v>53018.94</v>
      </c>
    </row>
    <row r="1708" spans="2:3">
      <c r="B1708" s="74">
        <v>44743</v>
      </c>
      <c r="C1708">
        <v>52907.93</v>
      </c>
    </row>
    <row r="1709" spans="2:3">
      <c r="B1709" s="74">
        <v>44746</v>
      </c>
      <c r="C1709">
        <v>53234.77</v>
      </c>
    </row>
    <row r="1710" spans="2:3">
      <c r="B1710" s="74">
        <v>44747</v>
      </c>
      <c r="C1710">
        <v>53134.35</v>
      </c>
    </row>
    <row r="1711" spans="2:3">
      <c r="B1711" s="74">
        <v>44748</v>
      </c>
      <c r="C1711">
        <v>53750.97</v>
      </c>
    </row>
    <row r="1712" spans="2:3">
      <c r="B1712" s="74">
        <v>44749</v>
      </c>
      <c r="C1712">
        <v>54178.46</v>
      </c>
    </row>
    <row r="1713" spans="2:3">
      <c r="B1713" s="74">
        <v>44750</v>
      </c>
      <c r="C1713">
        <v>54481.84</v>
      </c>
    </row>
    <row r="1714" spans="2:3">
      <c r="B1714" s="74">
        <v>44753</v>
      </c>
      <c r="C1714">
        <v>54395.23</v>
      </c>
    </row>
    <row r="1715" spans="2:3">
      <c r="B1715" s="74">
        <v>44754</v>
      </c>
      <c r="C1715">
        <v>53886.61</v>
      </c>
    </row>
    <row r="1716" spans="2:3">
      <c r="B1716" s="74">
        <v>44755</v>
      </c>
      <c r="C1716">
        <v>53514.15</v>
      </c>
    </row>
    <row r="1717" spans="2:3">
      <c r="B1717" s="74">
        <v>44756</v>
      </c>
      <c r="C1717">
        <v>53416.15</v>
      </c>
    </row>
    <row r="1718" spans="2:3">
      <c r="B1718" s="74">
        <v>44757</v>
      </c>
      <c r="C1718">
        <v>53760.78</v>
      </c>
    </row>
    <row r="1719" spans="2:3">
      <c r="B1719" s="74">
        <v>44760</v>
      </c>
      <c r="C1719">
        <v>54521.15</v>
      </c>
    </row>
    <row r="1720" spans="2:3">
      <c r="B1720" s="74">
        <v>44761</v>
      </c>
      <c r="C1720">
        <v>54767.62</v>
      </c>
    </row>
    <row r="1721" spans="2:3">
      <c r="B1721" s="74">
        <v>44762</v>
      </c>
      <c r="C1721">
        <v>55397.53</v>
      </c>
    </row>
    <row r="1722" spans="2:3">
      <c r="B1722" s="74">
        <v>44763</v>
      </c>
      <c r="C1722">
        <v>55681.95</v>
      </c>
    </row>
    <row r="1723" spans="2:3">
      <c r="B1723" s="74">
        <v>44764</v>
      </c>
      <c r="C1723">
        <v>56072.23</v>
      </c>
    </row>
    <row r="1724" spans="2:3">
      <c r="B1724" s="74">
        <v>44767</v>
      </c>
      <c r="C1724">
        <v>55766.22</v>
      </c>
    </row>
    <row r="1725" spans="2:3">
      <c r="B1725" s="74">
        <v>44768</v>
      </c>
      <c r="C1725">
        <v>55268.49</v>
      </c>
    </row>
    <row r="1726" spans="2:3">
      <c r="B1726" s="74">
        <v>44769</v>
      </c>
      <c r="C1726">
        <v>55816.32</v>
      </c>
    </row>
    <row r="1727" spans="2:3">
      <c r="B1727" s="74">
        <v>44770</v>
      </c>
      <c r="C1727">
        <v>56857.79</v>
      </c>
    </row>
    <row r="1728" spans="2:3">
      <c r="B1728" s="74">
        <v>44771</v>
      </c>
      <c r="C1728">
        <v>57570.25</v>
      </c>
    </row>
    <row r="1729" spans="2:3">
      <c r="B1729" s="74">
        <v>44774</v>
      </c>
      <c r="C1729">
        <v>58115.5</v>
      </c>
    </row>
    <row r="1730" spans="2:3">
      <c r="B1730" s="74">
        <v>44775</v>
      </c>
      <c r="C1730">
        <v>58136.36</v>
      </c>
    </row>
    <row r="1731" spans="2:3">
      <c r="B1731" s="74">
        <v>44776</v>
      </c>
      <c r="C1731">
        <v>58350.53</v>
      </c>
    </row>
    <row r="1732" spans="2:3">
      <c r="B1732" s="74">
        <v>44777</v>
      </c>
      <c r="C1732">
        <v>58298.8</v>
      </c>
    </row>
    <row r="1733" spans="2:3">
      <c r="B1733" s="74">
        <v>44778</v>
      </c>
      <c r="C1733">
        <v>58387.93</v>
      </c>
    </row>
    <row r="1734" spans="2:3">
      <c r="B1734" s="74">
        <v>44781</v>
      </c>
      <c r="C1734">
        <v>58853.07</v>
      </c>
    </row>
    <row r="1735" spans="2:3">
      <c r="B1735" s="74">
        <v>44783</v>
      </c>
      <c r="C1735">
        <v>58817.29</v>
      </c>
    </row>
    <row r="1736" spans="2:3">
      <c r="B1736" s="74">
        <v>44784</v>
      </c>
      <c r="C1736">
        <v>59332.6</v>
      </c>
    </row>
    <row r="1737" spans="2:3">
      <c r="B1737" s="74">
        <v>44785</v>
      </c>
      <c r="C1737">
        <v>59462.78</v>
      </c>
    </row>
    <row r="1738" spans="2:3">
      <c r="B1738" s="74">
        <v>44789</v>
      </c>
      <c r="C1738">
        <v>59842.21</v>
      </c>
    </row>
    <row r="1739" spans="2:3">
      <c r="B1739" s="74">
        <v>44790</v>
      </c>
      <c r="C1739">
        <v>60260.13</v>
      </c>
    </row>
    <row r="1740" spans="2:3">
      <c r="B1740" s="74">
        <v>44791</v>
      </c>
      <c r="C1740">
        <v>60298</v>
      </c>
    </row>
    <row r="1741" spans="2:3">
      <c r="B1741" s="74">
        <v>44792</v>
      </c>
      <c r="C1741">
        <v>59646.15</v>
      </c>
    </row>
    <row r="1742" spans="2:3">
      <c r="B1742" s="74">
        <v>44795</v>
      </c>
      <c r="C1742">
        <v>58773.87</v>
      </c>
    </row>
    <row r="1743" spans="2:3">
      <c r="B1743" s="74">
        <v>44796</v>
      </c>
      <c r="C1743">
        <v>59031.3</v>
      </c>
    </row>
    <row r="1744" spans="2:3">
      <c r="B1744" s="74">
        <v>44797</v>
      </c>
      <c r="C1744">
        <v>59085.43</v>
      </c>
    </row>
    <row r="1745" spans="2:3">
      <c r="B1745" s="74">
        <v>44798</v>
      </c>
      <c r="C1745">
        <v>58774.720000000001</v>
      </c>
    </row>
    <row r="1746" spans="2:3">
      <c r="B1746" s="74">
        <v>44799</v>
      </c>
      <c r="C1746">
        <v>58833.87</v>
      </c>
    </row>
    <row r="1747" spans="2:3">
      <c r="B1747" s="74">
        <v>44802</v>
      </c>
      <c r="C1747">
        <v>57972.62</v>
      </c>
    </row>
    <row r="1748" spans="2:3">
      <c r="B1748" s="74">
        <v>44803</v>
      </c>
      <c r="C1748">
        <v>59537.07</v>
      </c>
    </row>
    <row r="1749" spans="2:3">
      <c r="B1749" s="74">
        <v>44805</v>
      </c>
      <c r="C1749">
        <v>58766.59</v>
      </c>
    </row>
    <row r="1750" spans="2:3">
      <c r="B1750" s="74">
        <v>44806</v>
      </c>
      <c r="C1750">
        <v>58803.33</v>
      </c>
    </row>
    <row r="1751" spans="2:3">
      <c r="B1751" s="74">
        <v>44809</v>
      </c>
      <c r="C1751">
        <v>59245.98</v>
      </c>
    </row>
    <row r="1752" spans="2:3">
      <c r="B1752" s="74">
        <v>44810</v>
      </c>
      <c r="C1752">
        <v>59196.99</v>
      </c>
    </row>
    <row r="1753" spans="2:3">
      <c r="B1753" s="74">
        <v>44811</v>
      </c>
      <c r="C1753">
        <v>59028.91</v>
      </c>
    </row>
    <row r="1754" spans="2:3">
      <c r="B1754" s="74">
        <v>44812</v>
      </c>
      <c r="C1754">
        <v>59688.22</v>
      </c>
    </row>
    <row r="1755" spans="2:3">
      <c r="B1755" s="74">
        <v>44813</v>
      </c>
      <c r="C1755">
        <v>59793.14</v>
      </c>
    </row>
    <row r="1756" spans="2:3">
      <c r="B1756" s="74">
        <v>44816</v>
      </c>
      <c r="C1756">
        <v>60115.13</v>
      </c>
    </row>
    <row r="1757" spans="2:3">
      <c r="B1757" s="74">
        <v>44817</v>
      </c>
      <c r="C1757">
        <v>60571.08</v>
      </c>
    </row>
    <row r="1758" spans="2:3">
      <c r="B1758" s="74">
        <v>44818</v>
      </c>
      <c r="C1758">
        <v>60346.97</v>
      </c>
    </row>
    <row r="1759" spans="2:3">
      <c r="B1759" s="74">
        <v>44819</v>
      </c>
      <c r="C1759">
        <v>59934.01</v>
      </c>
    </row>
    <row r="1760" spans="2:3">
      <c r="B1760" s="74">
        <v>44820</v>
      </c>
      <c r="C1760">
        <v>58840.79</v>
      </c>
    </row>
    <row r="1761" spans="2:3">
      <c r="B1761" s="74">
        <v>44823</v>
      </c>
      <c r="C1761">
        <v>59141.23</v>
      </c>
    </row>
    <row r="1762" spans="2:3">
      <c r="B1762" s="74">
        <v>44824</v>
      </c>
      <c r="C1762">
        <v>59719.74</v>
      </c>
    </row>
    <row r="1763" spans="2:3">
      <c r="B1763" s="74">
        <v>44825</v>
      </c>
      <c r="C1763">
        <v>59456.78</v>
      </c>
    </row>
    <row r="1764" spans="2:3">
      <c r="B1764" s="74">
        <v>44826</v>
      </c>
      <c r="C1764">
        <v>59119.72</v>
      </c>
    </row>
    <row r="1765" spans="2:3">
      <c r="B1765" s="74">
        <v>44827</v>
      </c>
      <c r="C1765">
        <v>58098.92</v>
      </c>
    </row>
    <row r="1766" spans="2:3">
      <c r="B1766" s="74">
        <v>44830</v>
      </c>
      <c r="C1766">
        <v>57145.22</v>
      </c>
    </row>
    <row r="1767" spans="2:3">
      <c r="B1767" s="74">
        <v>44831</v>
      </c>
      <c r="C1767">
        <v>57107.519999999997</v>
      </c>
    </row>
    <row r="1768" spans="2:3">
      <c r="B1768" s="74">
        <v>44832</v>
      </c>
      <c r="C1768">
        <v>56598.28</v>
      </c>
    </row>
    <row r="1769" spans="2:3">
      <c r="B1769" s="74">
        <v>44833</v>
      </c>
      <c r="C1769">
        <v>56409.96</v>
      </c>
    </row>
    <row r="1770" spans="2:3">
      <c r="B1770" s="74">
        <v>44834</v>
      </c>
      <c r="C1770">
        <v>57426.92</v>
      </c>
    </row>
    <row r="1771" spans="2:3">
      <c r="B1771" s="74">
        <v>44837</v>
      </c>
      <c r="C1771">
        <v>56788.81</v>
      </c>
    </row>
    <row r="1772" spans="2:3">
      <c r="B1772" s="74">
        <v>44838</v>
      </c>
      <c r="C1772">
        <v>58065.47</v>
      </c>
    </row>
    <row r="1773" spans="2:3">
      <c r="B1773" s="74">
        <v>44840</v>
      </c>
      <c r="C1773">
        <v>58222.1</v>
      </c>
    </row>
    <row r="1774" spans="2:3">
      <c r="B1774" s="74">
        <v>44841</v>
      </c>
      <c r="C1774">
        <v>58191.29</v>
      </c>
    </row>
    <row r="1775" spans="2:3">
      <c r="B1775" s="74">
        <v>44844</v>
      </c>
      <c r="C1775">
        <v>57991.11</v>
      </c>
    </row>
    <row r="1776" spans="2:3">
      <c r="B1776" s="74">
        <v>44845</v>
      </c>
      <c r="C1776">
        <v>57147.32</v>
      </c>
    </row>
    <row r="1777" spans="2:3">
      <c r="B1777" s="74">
        <v>44846</v>
      </c>
      <c r="C1777">
        <v>57625.91</v>
      </c>
    </row>
    <row r="1778" spans="2:3">
      <c r="B1778" s="74">
        <v>44847</v>
      </c>
      <c r="C1778">
        <v>57235.33</v>
      </c>
    </row>
    <row r="1779" spans="2:3">
      <c r="B1779" s="74">
        <v>44848</v>
      </c>
      <c r="C1779">
        <v>57919.97</v>
      </c>
    </row>
    <row r="1780" spans="2:3">
      <c r="B1780" s="74">
        <v>44851</v>
      </c>
      <c r="C1780">
        <v>58410.98</v>
      </c>
    </row>
    <row r="1781" spans="2:3">
      <c r="B1781" s="74">
        <v>44852</v>
      </c>
      <c r="C1781">
        <v>58960.6</v>
      </c>
    </row>
    <row r="1782" spans="2:3">
      <c r="B1782" s="74">
        <v>44853</v>
      </c>
      <c r="C1782">
        <v>59107.19</v>
      </c>
    </row>
    <row r="1783" spans="2:3">
      <c r="B1783" s="74">
        <v>44854</v>
      </c>
      <c r="C1783">
        <v>59202.9</v>
      </c>
    </row>
    <row r="1784" spans="2:3">
      <c r="B1784" s="74">
        <v>44855</v>
      </c>
      <c r="C1784">
        <v>59307.15</v>
      </c>
    </row>
    <row r="1785" spans="2:3">
      <c r="B1785" s="74">
        <v>44858</v>
      </c>
      <c r="C1785">
        <v>59831.66</v>
      </c>
    </row>
    <row r="1786" spans="2:3">
      <c r="B1786" s="74">
        <v>44859</v>
      </c>
      <c r="C1786">
        <v>59543.96</v>
      </c>
    </row>
    <row r="1787" spans="2:3">
      <c r="B1787" s="74">
        <v>44861</v>
      </c>
      <c r="C1787">
        <v>59756.84</v>
      </c>
    </row>
    <row r="1788" spans="2:3">
      <c r="B1788" s="74">
        <v>44862</v>
      </c>
      <c r="C1788">
        <v>59959.85</v>
      </c>
    </row>
    <row r="1789" spans="2:3">
      <c r="B1789" s="74">
        <v>44865</v>
      </c>
      <c r="C1789">
        <v>60746.59</v>
      </c>
    </row>
    <row r="1790" spans="2:3">
      <c r="B1790" s="74">
        <v>44866</v>
      </c>
      <c r="C1790">
        <v>61121.35</v>
      </c>
    </row>
    <row r="1791" spans="2:3">
      <c r="B1791" s="74">
        <v>44867</v>
      </c>
      <c r="C1791">
        <v>60906.09</v>
      </c>
    </row>
    <row r="1792" spans="2:3">
      <c r="B1792" s="74">
        <v>44868</v>
      </c>
      <c r="C1792">
        <v>60836.41</v>
      </c>
    </row>
    <row r="1793" spans="2:3">
      <c r="B1793" s="74">
        <v>44869</v>
      </c>
      <c r="C1793">
        <v>60950.36</v>
      </c>
    </row>
    <row r="1794" spans="2:3">
      <c r="B1794" s="74">
        <v>44872</v>
      </c>
      <c r="C1794">
        <v>61185.15</v>
      </c>
    </row>
    <row r="1795" spans="2:3">
      <c r="B1795" s="74">
        <v>44874</v>
      </c>
      <c r="C1795">
        <v>61033.55</v>
      </c>
    </row>
    <row r="1796" spans="2:3">
      <c r="B1796" s="74">
        <v>44875</v>
      </c>
      <c r="C1796">
        <v>60613.7</v>
      </c>
    </row>
    <row r="1797" spans="2:3">
      <c r="B1797" s="74">
        <v>44876</v>
      </c>
      <c r="C1797">
        <v>61795.040000000001</v>
      </c>
    </row>
    <row r="1798" spans="2:3">
      <c r="B1798" s="74">
        <v>44879</v>
      </c>
      <c r="C1798">
        <v>61624.15</v>
      </c>
    </row>
    <row r="1799" spans="2:3">
      <c r="B1799" s="74">
        <v>44880</v>
      </c>
      <c r="C1799">
        <v>61872.99</v>
      </c>
    </row>
    <row r="1800" spans="2:3">
      <c r="B1800" s="74">
        <v>44881</v>
      </c>
      <c r="C1800">
        <v>61980.72</v>
      </c>
    </row>
    <row r="1801" spans="2:3">
      <c r="B1801" s="74">
        <v>44882</v>
      </c>
      <c r="C1801">
        <v>61750.6</v>
      </c>
    </row>
    <row r="1802" spans="2:3">
      <c r="B1802" s="74">
        <v>44883</v>
      </c>
      <c r="C1802">
        <v>61663.48</v>
      </c>
    </row>
    <row r="1803" spans="2:3">
      <c r="B1803" s="74">
        <v>44886</v>
      </c>
      <c r="C1803">
        <v>61144.84</v>
      </c>
    </row>
    <row r="1804" spans="2:3">
      <c r="B1804" s="74">
        <v>44887</v>
      </c>
      <c r="C1804">
        <v>61418.96</v>
      </c>
    </row>
    <row r="1805" spans="2:3">
      <c r="B1805" s="74">
        <v>44888</v>
      </c>
      <c r="C1805">
        <v>61510.58</v>
      </c>
    </row>
    <row r="1806" spans="2:3">
      <c r="B1806" s="74">
        <v>44889</v>
      </c>
      <c r="C1806">
        <v>62272.68</v>
      </c>
    </row>
    <row r="1807" spans="2:3">
      <c r="B1807" s="74">
        <v>44890</v>
      </c>
      <c r="C1807">
        <v>62293.64</v>
      </c>
    </row>
    <row r="1808" spans="2:3">
      <c r="B1808" s="74">
        <v>44893</v>
      </c>
      <c r="C1808">
        <v>62504.800000000003</v>
      </c>
    </row>
    <row r="1809" spans="2:3">
      <c r="B1809" s="74">
        <v>44894</v>
      </c>
      <c r="C1809">
        <v>62681.84</v>
      </c>
    </row>
    <row r="1810" spans="2:3">
      <c r="B1810" s="74">
        <v>44895</v>
      </c>
      <c r="C1810">
        <v>63099.65</v>
      </c>
    </row>
    <row r="1811" spans="2:3">
      <c r="B1811" s="74">
        <v>44896</v>
      </c>
      <c r="C1811">
        <v>63284.19</v>
      </c>
    </row>
    <row r="1812" spans="2:3">
      <c r="B1812" s="74">
        <v>44897</v>
      </c>
      <c r="C1812">
        <v>62868.5</v>
      </c>
    </row>
    <row r="1813" spans="2:3">
      <c r="B1813" s="74">
        <v>44900</v>
      </c>
      <c r="C1813">
        <v>62834.6</v>
      </c>
    </row>
    <row r="1814" spans="2:3">
      <c r="B1814" s="74">
        <v>44901</v>
      </c>
      <c r="C1814">
        <v>62626.36</v>
      </c>
    </row>
    <row r="1815" spans="2:3">
      <c r="B1815" s="74">
        <v>44902</v>
      </c>
      <c r="C1815">
        <v>62410.68</v>
      </c>
    </row>
    <row r="1816" spans="2:3">
      <c r="B1816" s="74">
        <v>44903</v>
      </c>
      <c r="C1816">
        <v>62570.68</v>
      </c>
    </row>
    <row r="1817" spans="2:3">
      <c r="B1817" s="74">
        <v>44904</v>
      </c>
      <c r="C1817">
        <v>62181.67</v>
      </c>
    </row>
    <row r="1818" spans="2:3">
      <c r="B1818" s="74">
        <v>44907</v>
      </c>
      <c r="C1818">
        <v>62130.57</v>
      </c>
    </row>
    <row r="1819" spans="2:3">
      <c r="B1819" s="74">
        <v>44908</v>
      </c>
      <c r="C1819">
        <v>62533.3</v>
      </c>
    </row>
    <row r="1820" spans="2:3">
      <c r="B1820" s="74">
        <v>44909</v>
      </c>
      <c r="C1820">
        <v>62677.91</v>
      </c>
    </row>
    <row r="1821" spans="2:3">
      <c r="B1821" s="74">
        <v>44910</v>
      </c>
      <c r="C1821">
        <v>61799.03</v>
      </c>
    </row>
    <row r="1822" spans="2:3">
      <c r="B1822" s="74">
        <v>44911</v>
      </c>
      <c r="C1822">
        <v>61337.81</v>
      </c>
    </row>
    <row r="1823" spans="2:3">
      <c r="B1823" s="74">
        <v>44914</v>
      </c>
      <c r="C1823">
        <v>61806.19</v>
      </c>
    </row>
    <row r="1824" spans="2:3">
      <c r="B1824" s="74">
        <v>44915</v>
      </c>
      <c r="C1824">
        <v>61702.29</v>
      </c>
    </row>
    <row r="1825" spans="2:3">
      <c r="B1825" s="74">
        <v>44916</v>
      </c>
      <c r="C1825">
        <v>61067.24</v>
      </c>
    </row>
    <row r="1826" spans="2:3">
      <c r="B1826" s="74">
        <v>44917</v>
      </c>
      <c r="C1826">
        <v>60826.22</v>
      </c>
    </row>
    <row r="1827" spans="2:3">
      <c r="B1827" s="74">
        <v>44918</v>
      </c>
      <c r="C1827">
        <v>59845.29</v>
      </c>
    </row>
    <row r="1828" spans="2:3">
      <c r="B1828" s="74">
        <v>44921</v>
      </c>
      <c r="C1828">
        <v>60566.42</v>
      </c>
    </row>
    <row r="1829" spans="2:3">
      <c r="B1829" s="74">
        <v>44922</v>
      </c>
      <c r="C1829">
        <v>60927.43</v>
      </c>
    </row>
    <row r="1830" spans="2:3">
      <c r="B1830" s="74">
        <v>44923</v>
      </c>
      <c r="C1830">
        <v>60910.28</v>
      </c>
    </row>
    <row r="1831" spans="2:3">
      <c r="B1831" s="74">
        <v>44924</v>
      </c>
      <c r="C1831">
        <v>61133.88</v>
      </c>
    </row>
    <row r="1832" spans="2:3">
      <c r="B1832" s="74">
        <v>44925</v>
      </c>
      <c r="C1832">
        <v>60840.74</v>
      </c>
    </row>
    <row r="1833" spans="2:3">
      <c r="B1833" s="74">
        <v>44928</v>
      </c>
      <c r="C1833">
        <v>61167.79</v>
      </c>
    </row>
    <row r="1834" spans="2:3">
      <c r="B1834" s="74">
        <v>44929</v>
      </c>
      <c r="C1834">
        <v>61294.2</v>
      </c>
    </row>
    <row r="1835" spans="2:3">
      <c r="B1835" s="74">
        <v>44930</v>
      </c>
      <c r="C1835">
        <v>60657.45</v>
      </c>
    </row>
    <row r="1836" spans="2:3">
      <c r="B1836" s="74">
        <v>44931</v>
      </c>
      <c r="C1836">
        <v>60353.27</v>
      </c>
    </row>
    <row r="1837" spans="2:3">
      <c r="B1837" s="74">
        <v>44932</v>
      </c>
      <c r="C1837">
        <v>59900.37</v>
      </c>
    </row>
    <row r="1838" spans="2:3">
      <c r="B1838" s="74">
        <v>44935</v>
      </c>
      <c r="C1838">
        <v>60747.31</v>
      </c>
    </row>
    <row r="1839" spans="2:3">
      <c r="B1839" s="74">
        <v>44936</v>
      </c>
      <c r="C1839">
        <v>60115.48</v>
      </c>
    </row>
    <row r="1840" spans="2:3">
      <c r="B1840" s="74">
        <v>44937</v>
      </c>
      <c r="C1840">
        <v>60105.5</v>
      </c>
    </row>
    <row r="1841" spans="2:3">
      <c r="B1841" s="74">
        <v>44938</v>
      </c>
      <c r="C1841">
        <v>59958.03</v>
      </c>
    </row>
    <row r="1842" spans="2:3">
      <c r="B1842" s="74">
        <v>44939</v>
      </c>
      <c r="C1842">
        <v>60261.18</v>
      </c>
    </row>
    <row r="1843" spans="2:3">
      <c r="B1843" s="74">
        <v>44942</v>
      </c>
      <c r="C1843">
        <v>60092.97</v>
      </c>
    </row>
    <row r="1844" spans="2:3">
      <c r="B1844" s="74">
        <v>44943</v>
      </c>
      <c r="C1844">
        <v>60655.72</v>
      </c>
    </row>
    <row r="1845" spans="2:3">
      <c r="B1845" s="74">
        <v>44944</v>
      </c>
      <c r="C1845">
        <v>61045.74</v>
      </c>
    </row>
    <row r="1846" spans="2:3">
      <c r="B1846" s="74">
        <v>44945</v>
      </c>
      <c r="C1846">
        <v>60858.43</v>
      </c>
    </row>
    <row r="1847" spans="2:3">
      <c r="B1847" s="74">
        <v>44946</v>
      </c>
      <c r="C1847">
        <v>60621.77</v>
      </c>
    </row>
    <row r="1848" spans="2:3">
      <c r="B1848" s="74">
        <v>44949</v>
      </c>
      <c r="C1848">
        <v>60941.67</v>
      </c>
    </row>
    <row r="1849" spans="2:3">
      <c r="B1849" s="74">
        <v>44950</v>
      </c>
      <c r="C1849">
        <v>60978.75</v>
      </c>
    </row>
    <row r="1850" spans="2:3">
      <c r="B1850" s="74">
        <v>44951</v>
      </c>
      <c r="C1850">
        <v>60205.06</v>
      </c>
    </row>
    <row r="1851" spans="2:3">
      <c r="B1851" s="74">
        <v>44953</v>
      </c>
      <c r="C1851">
        <v>59330.9</v>
      </c>
    </row>
    <row r="1852" spans="2:3">
      <c r="B1852" s="74">
        <v>44956</v>
      </c>
      <c r="C1852">
        <v>59500.41</v>
      </c>
    </row>
    <row r="1853" spans="2:3">
      <c r="B1853" s="74">
        <v>44957</v>
      </c>
      <c r="C1853">
        <v>59549.9</v>
      </c>
    </row>
    <row r="1854" spans="2:3">
      <c r="B1854" s="74">
        <v>44958</v>
      </c>
      <c r="C1854">
        <v>59708.08</v>
      </c>
    </row>
    <row r="1855" spans="2:3">
      <c r="B1855" s="74">
        <v>44959</v>
      </c>
      <c r="C1855">
        <v>59932.24</v>
      </c>
    </row>
    <row r="1856" spans="2:3">
      <c r="B1856" s="74">
        <v>44960</v>
      </c>
      <c r="C1856">
        <v>60841.88</v>
      </c>
    </row>
    <row r="1857" spans="2:3">
      <c r="B1857" s="74">
        <v>44963</v>
      </c>
      <c r="C1857">
        <v>60506.9</v>
      </c>
    </row>
    <row r="1858" spans="2:3">
      <c r="B1858" s="74">
        <v>44964</v>
      </c>
      <c r="C1858">
        <v>60286.04</v>
      </c>
    </row>
    <row r="1859" spans="2:3">
      <c r="B1859" s="74">
        <v>44965</v>
      </c>
      <c r="C1859">
        <v>60663.79</v>
      </c>
    </row>
    <row r="1860" spans="2:3">
      <c r="B1860" s="74">
        <v>44966</v>
      </c>
      <c r="C1860">
        <v>60806.22</v>
      </c>
    </row>
    <row r="1861" spans="2:3">
      <c r="B1861" s="74">
        <v>44967</v>
      </c>
      <c r="C1861">
        <v>60682.7</v>
      </c>
    </row>
    <row r="1862" spans="2:3">
      <c r="B1862" s="74">
        <v>44970</v>
      </c>
      <c r="C1862">
        <v>60431.839999999997</v>
      </c>
    </row>
    <row r="1863" spans="2:3">
      <c r="B1863" s="74">
        <v>44971</v>
      </c>
      <c r="C1863">
        <v>61032.26</v>
      </c>
    </row>
    <row r="1864" spans="2:3">
      <c r="B1864" s="74">
        <v>44972</v>
      </c>
      <c r="C1864">
        <v>61275.09</v>
      </c>
    </row>
    <row r="1865" spans="2:3">
      <c r="B1865" s="74">
        <v>44973</v>
      </c>
      <c r="C1865">
        <v>61319.51</v>
      </c>
    </row>
    <row r="1866" spans="2:3">
      <c r="B1866" s="74">
        <v>44974</v>
      </c>
      <c r="C1866">
        <v>61002.57</v>
      </c>
    </row>
    <row r="1867" spans="2:3">
      <c r="B1867" s="74">
        <v>44977</v>
      </c>
      <c r="C1867">
        <v>60691.54</v>
      </c>
    </row>
    <row r="1868" spans="2:3">
      <c r="B1868" s="74">
        <v>44978</v>
      </c>
      <c r="C1868">
        <v>60672.72</v>
      </c>
    </row>
    <row r="1869" spans="2:3">
      <c r="B1869" s="74">
        <v>44979</v>
      </c>
      <c r="C1869">
        <v>59744.98</v>
      </c>
    </row>
    <row r="1870" spans="2:3">
      <c r="B1870" s="74">
        <v>44980</v>
      </c>
      <c r="C1870">
        <v>59605.8</v>
      </c>
    </row>
    <row r="1871" spans="2:3">
      <c r="B1871" s="74">
        <v>44981</v>
      </c>
      <c r="C1871">
        <v>59463.93</v>
      </c>
    </row>
    <row r="1872" spans="2:3">
      <c r="B1872" s="74">
        <v>44984</v>
      </c>
      <c r="C1872">
        <v>59288.35</v>
      </c>
    </row>
    <row r="1873" spans="2:3">
      <c r="B1873" s="74">
        <v>44985</v>
      </c>
      <c r="C1873">
        <v>58962.12</v>
      </c>
    </row>
    <row r="1874" spans="2:3">
      <c r="B1874" s="74">
        <v>44986</v>
      </c>
      <c r="C1874">
        <v>59411.08</v>
      </c>
    </row>
    <row r="1875" spans="2:3">
      <c r="B1875" s="74">
        <v>44987</v>
      </c>
      <c r="C1875">
        <v>58909.35</v>
      </c>
    </row>
    <row r="1876" spans="2:3">
      <c r="B1876" s="74">
        <v>44988</v>
      </c>
      <c r="C1876">
        <v>59808.97</v>
      </c>
    </row>
    <row r="1877" spans="2:3">
      <c r="B1877" s="74">
        <v>44991</v>
      </c>
      <c r="C1877">
        <v>60224.46</v>
      </c>
    </row>
    <row r="1878" spans="2:3">
      <c r="B1878" s="74">
        <v>44993</v>
      </c>
      <c r="C1878">
        <v>60348.09</v>
      </c>
    </row>
    <row r="1879" spans="2:3">
      <c r="B1879" s="74">
        <v>44994</v>
      </c>
      <c r="C1879">
        <v>59806.28</v>
      </c>
    </row>
    <row r="1880" spans="2:3">
      <c r="B1880" s="74">
        <v>44995</v>
      </c>
      <c r="C1880">
        <v>59135.13</v>
      </c>
    </row>
    <row r="1881" spans="2:3">
      <c r="B1881" s="74">
        <v>44998</v>
      </c>
      <c r="C1881">
        <v>58237.85</v>
      </c>
    </row>
    <row r="1882" spans="2:3">
      <c r="B1882" s="74">
        <v>44999</v>
      </c>
      <c r="C1882">
        <v>57900.19</v>
      </c>
    </row>
    <row r="1883" spans="2:3">
      <c r="B1883" s="74">
        <v>45000</v>
      </c>
      <c r="C1883">
        <v>57555.9</v>
      </c>
    </row>
    <row r="1884" spans="2:3">
      <c r="B1884" s="74">
        <v>45001</v>
      </c>
      <c r="C1884">
        <v>57634.84</v>
      </c>
    </row>
    <row r="1885" spans="2:3">
      <c r="B1885" s="74">
        <v>45002</v>
      </c>
      <c r="C1885">
        <v>57989.9</v>
      </c>
    </row>
    <row r="1886" spans="2:3">
      <c r="B1886" s="74">
        <v>45005</v>
      </c>
      <c r="C1886">
        <v>57628.95</v>
      </c>
    </row>
    <row r="1887" spans="2:3">
      <c r="B1887" s="74">
        <v>45006</v>
      </c>
      <c r="C1887">
        <v>58074.68</v>
      </c>
    </row>
    <row r="1888" spans="2:3">
      <c r="B1888" s="74">
        <v>45007</v>
      </c>
      <c r="C1888">
        <v>58214.59</v>
      </c>
    </row>
    <row r="1889" spans="2:3">
      <c r="B1889" s="74">
        <v>45008</v>
      </c>
      <c r="C1889">
        <v>57925.279999999999</v>
      </c>
    </row>
    <row r="1890" spans="2:3">
      <c r="B1890" s="74">
        <v>45009</v>
      </c>
      <c r="C1890">
        <v>57527.1</v>
      </c>
    </row>
    <row r="1891" spans="2:3">
      <c r="B1891" s="74">
        <v>45012</v>
      </c>
      <c r="C1891">
        <v>57653.86</v>
      </c>
    </row>
    <row r="1892" spans="2:3">
      <c r="B1892" s="74">
        <v>45013</v>
      </c>
      <c r="C1892">
        <v>57613.72</v>
      </c>
    </row>
    <row r="1893" spans="2:3">
      <c r="B1893" s="74">
        <v>45014</v>
      </c>
      <c r="C1893">
        <v>57960.09</v>
      </c>
    </row>
    <row r="1894" spans="2:3">
      <c r="B1894" s="74">
        <v>45016</v>
      </c>
      <c r="C1894">
        <v>58991.519999999997</v>
      </c>
    </row>
    <row r="1895" spans="2:3">
      <c r="B1895" s="74">
        <v>45019</v>
      </c>
      <c r="C1895">
        <v>59106.44</v>
      </c>
    </row>
    <row r="1896" spans="2:3">
      <c r="B1896" s="74">
        <v>45021</v>
      </c>
      <c r="C1896">
        <v>59689.31</v>
      </c>
    </row>
    <row r="1897" spans="2:3">
      <c r="B1897" s="74">
        <v>45022</v>
      </c>
      <c r="C1897">
        <v>59832.97</v>
      </c>
    </row>
    <row r="1898" spans="2:3">
      <c r="B1898" s="74">
        <v>45026</v>
      </c>
      <c r="C1898">
        <v>59846.51</v>
      </c>
    </row>
    <row r="1899" spans="2:3">
      <c r="B1899" s="74">
        <v>45027</v>
      </c>
      <c r="C1899">
        <v>60157.72</v>
      </c>
    </row>
    <row r="1900" spans="2:3">
      <c r="B1900" s="74">
        <v>45028</v>
      </c>
      <c r="C1900">
        <v>60392.77</v>
      </c>
    </row>
    <row r="1901" spans="2:3">
      <c r="B1901" s="74">
        <v>45029</v>
      </c>
      <c r="C1901">
        <v>60431</v>
      </c>
    </row>
    <row r="1902" spans="2:3">
      <c r="B1902" s="74">
        <v>45033</v>
      </c>
      <c r="C1902">
        <v>59910.75</v>
      </c>
    </row>
    <row r="1903" spans="2:3">
      <c r="B1903" s="74">
        <v>45034</v>
      </c>
      <c r="C1903">
        <v>59727.01</v>
      </c>
    </row>
    <row r="1904" spans="2:3">
      <c r="B1904" s="74">
        <v>45035</v>
      </c>
      <c r="C1904">
        <v>59567.8</v>
      </c>
    </row>
    <row r="1905" spans="2:3">
      <c r="B1905" s="74">
        <v>45036</v>
      </c>
      <c r="C1905">
        <v>59632.35</v>
      </c>
    </row>
    <row r="1906" spans="2:3">
      <c r="B1906" s="74">
        <v>45037</v>
      </c>
      <c r="C1906">
        <v>59655.06</v>
      </c>
    </row>
    <row r="1907" spans="2:3">
      <c r="B1907" s="74">
        <v>45040</v>
      </c>
      <c r="C1907">
        <v>60056.1</v>
      </c>
    </row>
    <row r="1908" spans="2:3">
      <c r="B1908" s="74">
        <v>45041</v>
      </c>
      <c r="C1908">
        <v>60130.71</v>
      </c>
    </row>
    <row r="1909" spans="2:3">
      <c r="B1909" s="74">
        <v>45042</v>
      </c>
      <c r="C1909">
        <v>60300.58</v>
      </c>
    </row>
    <row r="1910" spans="2:3">
      <c r="B1910" s="74">
        <v>45043</v>
      </c>
      <c r="C1910">
        <v>60649.38</v>
      </c>
    </row>
    <row r="1911" spans="2:3">
      <c r="B1911" s="74">
        <v>45044</v>
      </c>
      <c r="C1911">
        <v>61112.44</v>
      </c>
    </row>
    <row r="1912" spans="2:3">
      <c r="B1912" s="74">
        <v>45048</v>
      </c>
      <c r="C1912">
        <v>61354.71</v>
      </c>
    </row>
    <row r="1913" spans="2:3">
      <c r="B1913" s="74">
        <v>45049</v>
      </c>
      <c r="C1913">
        <v>61193.3</v>
      </c>
    </row>
    <row r="1914" spans="2:3">
      <c r="B1914" s="74">
        <v>45050</v>
      </c>
      <c r="C1914">
        <v>61749.25</v>
      </c>
    </row>
    <row r="1915" spans="2:3">
      <c r="B1915" s="74">
        <v>45051</v>
      </c>
      <c r="C1915">
        <v>61054.29</v>
      </c>
    </row>
    <row r="1916" spans="2:3">
      <c r="B1916" s="74">
        <v>45054</v>
      </c>
      <c r="C1916">
        <v>61764.25</v>
      </c>
    </row>
    <row r="1917" spans="2:3">
      <c r="B1917" s="74">
        <v>45055</v>
      </c>
      <c r="C1917">
        <v>61761.33</v>
      </c>
    </row>
    <row r="1918" spans="2:3">
      <c r="B1918" s="74">
        <v>45056</v>
      </c>
      <c r="C1918">
        <v>61940.2</v>
      </c>
    </row>
    <row r="1919" spans="2:3">
      <c r="B1919" s="74">
        <v>45057</v>
      </c>
      <c r="C1919">
        <v>61904.52</v>
      </c>
    </row>
    <row r="1920" spans="2:3">
      <c r="B1920" s="74">
        <v>45058</v>
      </c>
      <c r="C1920">
        <v>62027.9</v>
      </c>
    </row>
    <row r="1921" spans="2:3">
      <c r="B1921" s="74">
        <v>45061</v>
      </c>
      <c r="C1921">
        <v>62345.71</v>
      </c>
    </row>
    <row r="1922" spans="2:3">
      <c r="B1922" s="74">
        <v>45062</v>
      </c>
      <c r="C1922">
        <v>61932.47</v>
      </c>
    </row>
    <row r="1923" spans="2:3">
      <c r="B1923" s="74">
        <v>45063</v>
      </c>
      <c r="C1923">
        <v>61560.639999999999</v>
      </c>
    </row>
    <row r="1924" spans="2:3">
      <c r="B1924" s="74">
        <v>45064</v>
      </c>
      <c r="C1924">
        <v>61431.74</v>
      </c>
    </row>
    <row r="1925" spans="2:3">
      <c r="B1925" s="74">
        <v>45065</v>
      </c>
      <c r="C1925">
        <v>61729.68</v>
      </c>
    </row>
    <row r="1926" spans="2:3">
      <c r="B1926" s="74">
        <v>45068</v>
      </c>
      <c r="C1926">
        <v>61963.68</v>
      </c>
    </row>
    <row r="1927" spans="2:3">
      <c r="B1927" s="74">
        <v>45069</v>
      </c>
      <c r="C1927">
        <v>61981.79</v>
      </c>
    </row>
    <row r="1928" spans="2:3">
      <c r="B1928" s="74">
        <v>45070</v>
      </c>
      <c r="C1928">
        <v>61773.78</v>
      </c>
    </row>
    <row r="1929" spans="2:3">
      <c r="B1929" s="74">
        <v>45071</v>
      </c>
      <c r="C1929">
        <v>61872.62</v>
      </c>
    </row>
    <row r="1930" spans="2:3">
      <c r="B1930" s="74">
        <v>45072</v>
      </c>
      <c r="C1930">
        <v>62501.69</v>
      </c>
    </row>
    <row r="1931" spans="2:3">
      <c r="B1931" s="74">
        <v>45075</v>
      </c>
      <c r="C1931">
        <v>62846.38</v>
      </c>
    </row>
    <row r="1932" spans="2:3">
      <c r="B1932" s="74">
        <v>45076</v>
      </c>
      <c r="C1932">
        <v>62969.13</v>
      </c>
    </row>
    <row r="1933" spans="2:3">
      <c r="B1933" s="74">
        <v>45077</v>
      </c>
      <c r="C1933">
        <v>62622.239999999998</v>
      </c>
    </row>
    <row r="1934" spans="2:3">
      <c r="B1934" s="74">
        <v>45078</v>
      </c>
      <c r="C1934">
        <v>62428.54</v>
      </c>
    </row>
    <row r="1935" spans="2:3">
      <c r="B1935" s="74">
        <v>45079</v>
      </c>
      <c r="C1935">
        <v>62547.11</v>
      </c>
    </row>
    <row r="1936" spans="2:3">
      <c r="B1936" s="74">
        <v>45082</v>
      </c>
      <c r="C1936">
        <v>62787.47</v>
      </c>
    </row>
    <row r="1937" spans="2:3">
      <c r="B1937" s="74">
        <v>45083</v>
      </c>
      <c r="C1937">
        <v>62792.88</v>
      </c>
    </row>
    <row r="1938" spans="2:3">
      <c r="B1938" s="74">
        <v>45084</v>
      </c>
      <c r="C1938">
        <v>63142.96</v>
      </c>
    </row>
    <row r="1939" spans="2:3">
      <c r="B1939" s="74">
        <v>45085</v>
      </c>
      <c r="C1939">
        <v>62848.639999999999</v>
      </c>
    </row>
    <row r="1940" spans="2:3">
      <c r="B1940" s="74">
        <v>45086</v>
      </c>
      <c r="C1940">
        <v>62625.63</v>
      </c>
    </row>
    <row r="1941" spans="2:3">
      <c r="B1941" s="74">
        <v>45089</v>
      </c>
      <c r="C1941">
        <v>62724.71</v>
      </c>
    </row>
    <row r="1942" spans="2:3">
      <c r="B1942" s="74">
        <v>45090</v>
      </c>
      <c r="C1942">
        <v>63143.16</v>
      </c>
    </row>
    <row r="1943" spans="2:3">
      <c r="B1943" s="74">
        <v>45091</v>
      </c>
      <c r="C1943">
        <v>63228.51</v>
      </c>
    </row>
    <row r="1944" spans="2:3">
      <c r="B1944" s="74">
        <v>45092</v>
      </c>
      <c r="C1944">
        <v>62917.63</v>
      </c>
    </row>
    <row r="1945" spans="2:3">
      <c r="B1945" s="74">
        <v>45093</v>
      </c>
      <c r="C1945">
        <v>63384.58</v>
      </c>
    </row>
    <row r="1946" spans="2:3">
      <c r="B1946" s="74">
        <v>45096</v>
      </c>
      <c r="C1946">
        <v>63168.3</v>
      </c>
    </row>
    <row r="1947" spans="2:3">
      <c r="B1947" s="74">
        <v>45097</v>
      </c>
      <c r="C1947">
        <v>63327.7</v>
      </c>
    </row>
    <row r="1948" spans="2:3">
      <c r="B1948" s="74">
        <v>45098</v>
      </c>
      <c r="C1948">
        <v>63523.15</v>
      </c>
    </row>
    <row r="1949" spans="2:3">
      <c r="B1949" s="74">
        <v>45099</v>
      </c>
      <c r="C1949">
        <v>63238.89</v>
      </c>
    </row>
    <row r="1950" spans="2:3">
      <c r="B1950" s="74">
        <v>45100</v>
      </c>
      <c r="C1950">
        <v>62979.37</v>
      </c>
    </row>
    <row r="1951" spans="2:3">
      <c r="B1951" s="74">
        <v>45103</v>
      </c>
      <c r="C1951">
        <v>62970</v>
      </c>
    </row>
    <row r="1952" spans="2:3">
      <c r="B1952" s="74">
        <v>45104</v>
      </c>
      <c r="C1952">
        <v>63416.03</v>
      </c>
    </row>
    <row r="1953" spans="2:3">
      <c r="B1953" s="74">
        <v>45105</v>
      </c>
      <c r="C1953">
        <v>63915.42</v>
      </c>
    </row>
    <row r="1954" spans="2:3">
      <c r="B1954" s="74">
        <v>45107</v>
      </c>
      <c r="C1954">
        <v>64718.559999999998</v>
      </c>
    </row>
    <row r="1955" spans="2:3">
      <c r="B1955" s="74">
        <v>45110</v>
      </c>
      <c r="C1955">
        <v>65205.05</v>
      </c>
    </row>
    <row r="1956" spans="2:3">
      <c r="B1956" s="74">
        <v>45111</v>
      </c>
      <c r="C1956">
        <v>65479.05</v>
      </c>
    </row>
    <row r="1957" spans="2:3">
      <c r="B1957" s="74">
        <v>45112</v>
      </c>
      <c r="C1957">
        <v>65446.04</v>
      </c>
    </row>
    <row r="1958" spans="2:3">
      <c r="B1958" s="74">
        <v>45113</v>
      </c>
      <c r="C1958">
        <v>65785.64</v>
      </c>
    </row>
    <row r="1959" spans="2:3">
      <c r="B1959" s="74">
        <v>45114</v>
      </c>
      <c r="C1959">
        <v>65280.45</v>
      </c>
    </row>
    <row r="1960" spans="2:3">
      <c r="B1960" s="74">
        <v>45117</v>
      </c>
      <c r="C1960">
        <v>65344.17</v>
      </c>
    </row>
    <row r="1961" spans="2:3">
      <c r="B1961" s="74">
        <v>45118</v>
      </c>
      <c r="C1961">
        <v>65617.84</v>
      </c>
    </row>
    <row r="1962" spans="2:3">
      <c r="B1962" s="74">
        <v>45119</v>
      </c>
      <c r="C1962">
        <v>65393.9</v>
      </c>
    </row>
    <row r="1963" spans="2:3">
      <c r="B1963" s="74">
        <v>45120</v>
      </c>
      <c r="C1963">
        <v>65558.89</v>
      </c>
    </row>
    <row r="1964" spans="2:3">
      <c r="B1964" s="74">
        <v>45121</v>
      </c>
      <c r="C1964">
        <v>66060.899999999994</v>
      </c>
    </row>
    <row r="1965" spans="2:3">
      <c r="B1965" s="74">
        <v>45124</v>
      </c>
      <c r="C1965">
        <v>66589.929999999993</v>
      </c>
    </row>
    <row r="1966" spans="2:3">
      <c r="B1966" s="74">
        <v>45125</v>
      </c>
      <c r="C1966">
        <v>66795.14</v>
      </c>
    </row>
    <row r="1967" spans="2:3">
      <c r="B1967" s="74">
        <v>45126</v>
      </c>
      <c r="C1967">
        <v>67097.440000000002</v>
      </c>
    </row>
    <row r="1968" spans="2:3">
      <c r="B1968" s="74">
        <v>45127</v>
      </c>
      <c r="C1968">
        <v>67571.899999999994</v>
      </c>
    </row>
    <row r="1969" spans="2:3">
      <c r="B1969" s="74">
        <v>45128</v>
      </c>
      <c r="C1969">
        <v>66684.259999999995</v>
      </c>
    </row>
    <row r="1970" spans="2:3">
      <c r="B1970" s="74">
        <v>45131</v>
      </c>
      <c r="C1970">
        <v>66384.78</v>
      </c>
    </row>
    <row r="1971" spans="2:3">
      <c r="B1971" s="74">
        <v>45132</v>
      </c>
      <c r="C1971">
        <v>66355.710000000006</v>
      </c>
    </row>
    <row r="1972" spans="2:3">
      <c r="B1972" s="74">
        <v>45133</v>
      </c>
      <c r="C1972">
        <v>66707.199999999997</v>
      </c>
    </row>
    <row r="1973" spans="2:3">
      <c r="B1973" s="74">
        <v>45134</v>
      </c>
      <c r="C1973">
        <v>66266.820000000007</v>
      </c>
    </row>
    <row r="1974" spans="2:3">
      <c r="B1974" s="74">
        <v>45135</v>
      </c>
      <c r="C1974">
        <v>66160.2</v>
      </c>
    </row>
    <row r="1975" spans="2:3">
      <c r="B1975" s="74">
        <v>45138</v>
      </c>
      <c r="C1975">
        <v>66527.67</v>
      </c>
    </row>
    <row r="1976" spans="2:3">
      <c r="B1976" s="74">
        <v>45139</v>
      </c>
      <c r="C1976">
        <v>66459.31</v>
      </c>
    </row>
    <row r="1977" spans="2:3">
      <c r="B1977" s="74">
        <v>45140</v>
      </c>
      <c r="C1977">
        <v>65782.78</v>
      </c>
    </row>
    <row r="1978" spans="2:3">
      <c r="B1978" s="74">
        <v>45141</v>
      </c>
      <c r="C1978">
        <v>65240.68</v>
      </c>
    </row>
    <row r="1979" spans="2:3">
      <c r="B1979" s="74">
        <v>45142</v>
      </c>
      <c r="C1979">
        <v>65721.25</v>
      </c>
    </row>
    <row r="1980" spans="2:3">
      <c r="B1980" s="74">
        <v>45145</v>
      </c>
      <c r="C1980">
        <v>65953.48</v>
      </c>
    </row>
    <row r="1981" spans="2:3">
      <c r="B1981" s="74">
        <v>45146</v>
      </c>
      <c r="C1981">
        <v>65846.5</v>
      </c>
    </row>
    <row r="1982" spans="2:3">
      <c r="B1982" s="74">
        <v>45147</v>
      </c>
      <c r="C1982">
        <v>65995.81</v>
      </c>
    </row>
    <row r="1983" spans="2:3">
      <c r="B1983" s="74">
        <v>45148</v>
      </c>
      <c r="C1983">
        <v>65688.179999999993</v>
      </c>
    </row>
    <row r="1984" spans="2:3">
      <c r="B1984" s="74">
        <v>45149</v>
      </c>
      <c r="C1984">
        <v>65322.65</v>
      </c>
    </row>
    <row r="1985" spans="2:3">
      <c r="B1985" s="74">
        <v>45152</v>
      </c>
      <c r="C1985">
        <v>65401.919999999998</v>
      </c>
    </row>
    <row r="1986" spans="2:3">
      <c r="B1986" s="74">
        <v>45154</v>
      </c>
      <c r="C1986">
        <v>65539.42</v>
      </c>
    </row>
    <row r="1987" spans="2:3">
      <c r="B1987" s="74">
        <v>45155</v>
      </c>
      <c r="C1987">
        <v>65151.02</v>
      </c>
    </row>
    <row r="1988" spans="2:3">
      <c r="B1988" s="74">
        <v>45156</v>
      </c>
      <c r="C1988">
        <v>64948.66</v>
      </c>
    </row>
    <row r="1989" spans="2:3">
      <c r="B1989" s="74">
        <v>45159</v>
      </c>
      <c r="C1989">
        <v>65216.09</v>
      </c>
    </row>
    <row r="1990" spans="2:3">
      <c r="B1990" s="74">
        <v>45160</v>
      </c>
      <c r="C1990">
        <v>65220.03</v>
      </c>
    </row>
    <row r="1991" spans="2:3">
      <c r="B1991" s="74">
        <v>45161</v>
      </c>
      <c r="C1991">
        <v>65433.3</v>
      </c>
    </row>
    <row r="1992" spans="2:3">
      <c r="B1992" s="74">
        <v>45162</v>
      </c>
      <c r="C1992">
        <v>65252.34</v>
      </c>
    </row>
    <row r="1993" spans="2:3">
      <c r="B1993" s="74">
        <v>45163</v>
      </c>
      <c r="C1993">
        <v>64886.51</v>
      </c>
    </row>
    <row r="1994" spans="2:3">
      <c r="B1994" s="74">
        <v>45166</v>
      </c>
      <c r="C1994">
        <v>64996.6</v>
      </c>
    </row>
    <row r="1995" spans="2:3">
      <c r="B1995" s="74">
        <v>45167</v>
      </c>
      <c r="C1995">
        <v>65075.82</v>
      </c>
    </row>
    <row r="1996" spans="2:3">
      <c r="B1996" s="74">
        <v>45168</v>
      </c>
      <c r="C1996">
        <v>65087.25</v>
      </c>
    </row>
    <row r="1997" spans="2:3">
      <c r="B1997" s="74">
        <v>45169</v>
      </c>
      <c r="C1997">
        <v>64831.41</v>
      </c>
    </row>
    <row r="1998" spans="2:3">
      <c r="B1998" s="74">
        <v>45170</v>
      </c>
      <c r="C1998">
        <v>65387.16</v>
      </c>
    </row>
    <row r="1999" spans="2:3">
      <c r="B1999" s="74">
        <v>45173</v>
      </c>
      <c r="C1999">
        <v>65628.14</v>
      </c>
    </row>
    <row r="2000" spans="2:3">
      <c r="B2000" s="74">
        <v>45174</v>
      </c>
      <c r="C2000">
        <v>65780.259999999995</v>
      </c>
    </row>
    <row r="2001" spans="2:3">
      <c r="B2001" s="74">
        <v>45175</v>
      </c>
      <c r="C2001">
        <v>65880.52</v>
      </c>
    </row>
    <row r="2002" spans="2:3">
      <c r="B2002" s="74">
        <v>45176</v>
      </c>
      <c r="C2002">
        <v>66265.56</v>
      </c>
    </row>
    <row r="2003" spans="2:3">
      <c r="B2003" s="74">
        <v>45177</v>
      </c>
      <c r="C2003">
        <v>66598.91</v>
      </c>
    </row>
    <row r="2004" spans="2:3">
      <c r="B2004" s="74">
        <v>45180</v>
      </c>
      <c r="C2004">
        <v>67127.08</v>
      </c>
    </row>
    <row r="2005" spans="2:3">
      <c r="B2005" s="74">
        <v>45181</v>
      </c>
      <c r="C2005">
        <v>67221.13</v>
      </c>
    </row>
    <row r="2006" spans="2:3">
      <c r="B2006" s="74">
        <v>45182</v>
      </c>
      <c r="C2006">
        <v>67466.990000000005</v>
      </c>
    </row>
    <row r="2007" spans="2:3">
      <c r="B2007" s="74">
        <v>45183</v>
      </c>
      <c r="C2007">
        <v>67519</v>
      </c>
    </row>
    <row r="2008" spans="2:3">
      <c r="B2008" s="74">
        <v>45184</v>
      </c>
      <c r="C2008">
        <v>67838.63</v>
      </c>
    </row>
    <row r="2009" spans="2:3">
      <c r="B2009" s="74">
        <v>45187</v>
      </c>
      <c r="C2009">
        <v>67596.84</v>
      </c>
    </row>
    <row r="2010" spans="2:3">
      <c r="B2010" s="74">
        <v>45189</v>
      </c>
      <c r="C2010">
        <v>66800.84</v>
      </c>
    </row>
    <row r="2011" spans="2:3">
      <c r="B2011" s="74">
        <v>45190</v>
      </c>
      <c r="C2011">
        <v>66230.240000000005</v>
      </c>
    </row>
    <row r="2012" spans="2:3">
      <c r="B2012" s="74">
        <v>45191</v>
      </c>
      <c r="C2012">
        <v>66009.149999999994</v>
      </c>
    </row>
    <row r="2013" spans="2:3">
      <c r="B2013" s="74">
        <v>45194</v>
      </c>
      <c r="C2013">
        <v>66023.69</v>
      </c>
    </row>
    <row r="2014" spans="2:3">
      <c r="B2014" s="74">
        <v>45195</v>
      </c>
      <c r="C2014">
        <v>65945.47</v>
      </c>
    </row>
    <row r="2015" spans="2:3">
      <c r="B2015" s="74">
        <v>45196</v>
      </c>
      <c r="C2015">
        <v>66118.69</v>
      </c>
    </row>
    <row r="2016" spans="2:3">
      <c r="B2016" s="74">
        <v>45197</v>
      </c>
      <c r="C2016">
        <v>65508.32</v>
      </c>
    </row>
    <row r="2017" spans="2:3">
      <c r="B2017" s="74">
        <v>45198</v>
      </c>
      <c r="C2017">
        <v>65828.41</v>
      </c>
    </row>
    <row r="2018" spans="2:3">
      <c r="B2018" s="74">
        <v>45202</v>
      </c>
      <c r="C2018">
        <v>65512.1</v>
      </c>
    </row>
    <row r="2019" spans="2:3">
      <c r="B2019" s="74">
        <v>45203</v>
      </c>
      <c r="C2019">
        <v>65226.04</v>
      </c>
    </row>
    <row r="2020" spans="2:3">
      <c r="B2020" s="74">
        <v>45204</v>
      </c>
      <c r="C2020">
        <v>65631.570000000007</v>
      </c>
    </row>
    <row r="2021" spans="2:3">
      <c r="B2021" s="74">
        <v>45205</v>
      </c>
      <c r="C2021">
        <v>65995.63</v>
      </c>
    </row>
    <row r="2022" spans="2:3">
      <c r="B2022" s="74">
        <v>45208</v>
      </c>
      <c r="C2022">
        <v>65512.39</v>
      </c>
    </row>
    <row r="2023" spans="2:3">
      <c r="B2023" s="74">
        <v>45209</v>
      </c>
      <c r="C2023">
        <v>66079.360000000001</v>
      </c>
    </row>
    <row r="2024" spans="2:3">
      <c r="B2024" s="74">
        <v>45210</v>
      </c>
      <c r="C2024">
        <v>66473.05</v>
      </c>
    </row>
    <row r="2025" spans="2:3">
      <c r="B2025" s="74">
        <v>45211</v>
      </c>
      <c r="C2025">
        <v>66408.39</v>
      </c>
    </row>
    <row r="2026" spans="2:3">
      <c r="B2026" s="74">
        <v>45212</v>
      </c>
      <c r="C2026">
        <v>66282.740000000005</v>
      </c>
    </row>
    <row r="2027" spans="2:3">
      <c r="B2027" s="74">
        <v>45215</v>
      </c>
      <c r="C2027">
        <v>66166.929999999993</v>
      </c>
    </row>
    <row r="2028" spans="2:3">
      <c r="B2028" s="74">
        <v>45216</v>
      </c>
      <c r="C2028">
        <v>66428.09</v>
      </c>
    </row>
    <row r="2029" spans="2:3">
      <c r="B2029" s="74">
        <v>45217</v>
      </c>
      <c r="C2029">
        <v>65877.02</v>
      </c>
    </row>
    <row r="2030" spans="2:3">
      <c r="B2030" s="74">
        <v>45218</v>
      </c>
      <c r="C2030">
        <v>65629.240000000005</v>
      </c>
    </row>
    <row r="2031" spans="2:3">
      <c r="B2031" s="74">
        <v>45219</v>
      </c>
      <c r="C2031">
        <v>65397.62</v>
      </c>
    </row>
    <row r="2032" spans="2:3">
      <c r="B2032" s="74">
        <v>45222</v>
      </c>
      <c r="C2032">
        <v>64571.88</v>
      </c>
    </row>
    <row r="2033" spans="2:3">
      <c r="B2033" s="74">
        <v>45224</v>
      </c>
      <c r="C2033">
        <v>64049.06</v>
      </c>
    </row>
    <row r="2034" spans="2:3">
      <c r="B2034" s="74">
        <v>45225</v>
      </c>
      <c r="C2034">
        <v>63148.15</v>
      </c>
    </row>
    <row r="2035" spans="2:3">
      <c r="B2035" s="74">
        <v>45226</v>
      </c>
      <c r="C2035">
        <v>63782.8</v>
      </c>
    </row>
    <row r="2036" spans="2:3">
      <c r="B2036" s="74">
        <v>45229</v>
      </c>
      <c r="C2036">
        <v>64112.65</v>
      </c>
    </row>
    <row r="2037" spans="2:3">
      <c r="B2037" s="74">
        <v>45230</v>
      </c>
      <c r="C2037">
        <v>63874.93</v>
      </c>
    </row>
    <row r="2038" spans="2:3">
      <c r="B2038" s="74">
        <v>45231</v>
      </c>
      <c r="C2038">
        <v>63591.33</v>
      </c>
    </row>
    <row r="2039" spans="2:3">
      <c r="B2039" s="74">
        <v>45232</v>
      </c>
      <c r="C2039">
        <v>64080.9</v>
      </c>
    </row>
    <row r="2040" spans="2:3">
      <c r="B2040" s="74">
        <v>45233</v>
      </c>
      <c r="C2040">
        <v>64363.78</v>
      </c>
    </row>
    <row r="2041" spans="2:3">
      <c r="B2041" s="74">
        <v>45236</v>
      </c>
      <c r="C2041">
        <v>64958.69</v>
      </c>
    </row>
    <row r="2042" spans="2:3">
      <c r="B2042" s="74">
        <v>45237</v>
      </c>
      <c r="C2042">
        <v>64942.400000000001</v>
      </c>
    </row>
    <row r="2043" spans="2:3">
      <c r="B2043" s="74">
        <v>45238</v>
      </c>
      <c r="C2043">
        <v>64975.61</v>
      </c>
    </row>
    <row r="2044" spans="2:3">
      <c r="B2044" s="74">
        <v>45239</v>
      </c>
      <c r="C2044">
        <v>64832.2</v>
      </c>
    </row>
    <row r="2045" spans="2:3">
      <c r="B2045" s="74">
        <v>45240</v>
      </c>
      <c r="C2045">
        <v>64904.68</v>
      </c>
    </row>
    <row r="2046" spans="2:3">
      <c r="B2046" s="74">
        <v>45242</v>
      </c>
      <c r="C2046">
        <v>65259.45</v>
      </c>
    </row>
    <row r="2047" spans="2:3">
      <c r="B2047" s="74">
        <v>45243</v>
      </c>
      <c r="C2047">
        <v>64933.87</v>
      </c>
    </row>
    <row r="2048" spans="2:3">
      <c r="B2048" s="74">
        <v>45245</v>
      </c>
      <c r="C2048">
        <v>65675.929999999993</v>
      </c>
    </row>
    <row r="2049" spans="2:3">
      <c r="B2049" s="74">
        <v>45246</v>
      </c>
      <c r="C2049">
        <v>65982.48</v>
      </c>
    </row>
    <row r="2050" spans="2:3">
      <c r="B2050" s="74">
        <v>45247</v>
      </c>
      <c r="C2050">
        <v>65794.73</v>
      </c>
    </row>
    <row r="2051" spans="2:3">
      <c r="B2051" s="74">
        <v>45250</v>
      </c>
      <c r="C2051">
        <v>65655.149999999994</v>
      </c>
    </row>
    <row r="2052" spans="2:3">
      <c r="B2052" s="74">
        <v>45251</v>
      </c>
      <c r="C2052">
        <v>65930.77</v>
      </c>
    </row>
    <row r="2053" spans="2:3">
      <c r="B2053" s="74">
        <v>45252</v>
      </c>
      <c r="C2053">
        <v>66023.240000000005</v>
      </c>
    </row>
    <row r="2054" spans="2:3">
      <c r="B2054" s="74">
        <v>45253</v>
      </c>
      <c r="C2054">
        <v>66017.81</v>
      </c>
    </row>
    <row r="2055" spans="2:3">
      <c r="B2055" s="74">
        <v>45254</v>
      </c>
      <c r="C2055">
        <v>65970.039999999994</v>
      </c>
    </row>
    <row r="2056" spans="2:3">
      <c r="B2056" s="74">
        <v>45258</v>
      </c>
      <c r="C2056">
        <v>66174.2</v>
      </c>
    </row>
    <row r="2057" spans="2:3">
      <c r="B2057" s="74">
        <v>45259</v>
      </c>
      <c r="C2057">
        <v>66901.91</v>
      </c>
    </row>
    <row r="2058" spans="2:3">
      <c r="B2058" s="74">
        <v>45260</v>
      </c>
      <c r="C2058">
        <v>66988.44</v>
      </c>
    </row>
    <row r="2059" spans="2:3">
      <c r="B2059" s="74">
        <v>45261</v>
      </c>
      <c r="C2059">
        <v>67481.19</v>
      </c>
    </row>
    <row r="2060" spans="2:3">
      <c r="B2060" s="74">
        <v>45264</v>
      </c>
      <c r="C2060">
        <v>68865.119999999995</v>
      </c>
    </row>
    <row r="2061" spans="2:3">
      <c r="B2061" s="74">
        <v>45265</v>
      </c>
      <c r="C2061">
        <v>69296.14</v>
      </c>
    </row>
    <row r="2062" spans="2:3">
      <c r="B2062" s="74">
        <v>45266</v>
      </c>
      <c r="C2062">
        <v>69653.73</v>
      </c>
    </row>
    <row r="2063" spans="2:3">
      <c r="B2063" s="74">
        <v>45267</v>
      </c>
      <c r="C2063">
        <v>69521.69</v>
      </c>
    </row>
    <row r="2064" spans="2:3">
      <c r="B2064" s="74">
        <v>45268</v>
      </c>
      <c r="C2064">
        <v>69825.600000000006</v>
      </c>
    </row>
    <row r="2065" spans="2:3">
      <c r="B2065" s="74">
        <v>45271</v>
      </c>
      <c r="C2065">
        <v>69928.53</v>
      </c>
    </row>
    <row r="2066" spans="2:3">
      <c r="B2066" s="74">
        <v>45272</v>
      </c>
      <c r="C2066">
        <v>69551.03</v>
      </c>
    </row>
    <row r="2067" spans="2:3">
      <c r="B2067" s="74">
        <v>45273</v>
      </c>
      <c r="C2067">
        <v>69584.600000000006</v>
      </c>
    </row>
    <row r="2068" spans="2:3">
      <c r="B2068" s="74">
        <v>45274</v>
      </c>
      <c r="C2068">
        <v>70514.2</v>
      </c>
    </row>
    <row r="2069" spans="2:3">
      <c r="B2069" s="74">
        <v>45275</v>
      </c>
      <c r="C2069">
        <v>71483.75</v>
      </c>
    </row>
    <row r="2070" spans="2:3">
      <c r="B2070" s="74">
        <v>45278</v>
      </c>
      <c r="C2070">
        <v>71315.09</v>
      </c>
    </row>
    <row r="2071" spans="2:3">
      <c r="B2071" s="74">
        <v>45279</v>
      </c>
      <c r="C2071">
        <v>71437.19</v>
      </c>
    </row>
    <row r="2072" spans="2:3">
      <c r="B2072" s="74">
        <v>45280</v>
      </c>
      <c r="C2072">
        <v>70506.31</v>
      </c>
    </row>
    <row r="2073" spans="2:3">
      <c r="B2073" s="74">
        <v>45281</v>
      </c>
      <c r="C2073">
        <v>70865.100000000006</v>
      </c>
    </row>
    <row r="2074" spans="2:3">
      <c r="B2074" s="74">
        <v>45282</v>
      </c>
      <c r="C2074">
        <v>71106.960000000006</v>
      </c>
    </row>
    <row r="2075" spans="2:3">
      <c r="B2075" s="74">
        <v>45286</v>
      </c>
      <c r="C2075">
        <v>71336.800000000003</v>
      </c>
    </row>
    <row r="2076" spans="2:3">
      <c r="B2076" s="74">
        <v>45287</v>
      </c>
      <c r="C2076">
        <v>72038.429999999993</v>
      </c>
    </row>
    <row r="2077" spans="2:3">
      <c r="B2077" s="74">
        <v>45288</v>
      </c>
      <c r="C2077">
        <v>72410.38</v>
      </c>
    </row>
    <row r="2078" spans="2:3">
      <c r="B2078" s="74">
        <v>45289</v>
      </c>
      <c r="C2078">
        <v>72240.259999999995</v>
      </c>
    </row>
    <row r="2079" spans="2:3">
      <c r="B2079" s="74">
        <v>45292</v>
      </c>
      <c r="C2079">
        <v>72271.94</v>
      </c>
    </row>
    <row r="2080" spans="2:3">
      <c r="B2080" s="74">
        <v>45293</v>
      </c>
      <c r="C2080">
        <v>71892.479999999996</v>
      </c>
    </row>
    <row r="2081" spans="2:3">
      <c r="B2081" s="74">
        <v>45294</v>
      </c>
      <c r="C2081">
        <v>71356.600000000006</v>
      </c>
    </row>
    <row r="2082" spans="2:3">
      <c r="B2082" s="74">
        <v>45295</v>
      </c>
      <c r="C2082">
        <v>71847.570000000007</v>
      </c>
    </row>
    <row r="2083" spans="2:3">
      <c r="B2083" s="74">
        <v>45296</v>
      </c>
      <c r="C2083">
        <v>72026.149999999994</v>
      </c>
    </row>
    <row r="2084" spans="2:3">
      <c r="B2084" s="74">
        <v>45299</v>
      </c>
      <c r="C2084">
        <v>71355.22</v>
      </c>
    </row>
    <row r="2085" spans="2:3">
      <c r="B2085" s="74">
        <v>45300</v>
      </c>
      <c r="C2085">
        <v>71386.210000000006</v>
      </c>
    </row>
    <row r="2086" spans="2:3">
      <c r="B2086" s="74">
        <v>45301</v>
      </c>
      <c r="C2086">
        <v>71657.710000000006</v>
      </c>
    </row>
    <row r="2087" spans="2:3">
      <c r="B2087" s="74">
        <v>45302</v>
      </c>
      <c r="C2087">
        <v>71721.179999999993</v>
      </c>
    </row>
    <row r="2088" spans="2:3">
      <c r="B2088" s="74">
        <v>45303</v>
      </c>
      <c r="C2088">
        <v>72568.45</v>
      </c>
    </row>
    <row r="2089" spans="2:3">
      <c r="B2089" s="74">
        <v>45306</v>
      </c>
      <c r="C2089">
        <v>73327.94</v>
      </c>
    </row>
    <row r="2090" spans="2:3">
      <c r="B2090" s="74">
        <v>45307</v>
      </c>
      <c r="C2090">
        <v>73128.77</v>
      </c>
    </row>
    <row r="2091" spans="2:3">
      <c r="B2091" s="74">
        <v>45308</v>
      </c>
      <c r="C2091">
        <v>71500.759999999995</v>
      </c>
    </row>
    <row r="2092" spans="2:3">
      <c r="B2092" s="74">
        <v>45309</v>
      </c>
      <c r="C2092">
        <v>71186.86</v>
      </c>
    </row>
    <row r="2093" spans="2:3">
      <c r="B2093" s="74">
        <v>45310</v>
      </c>
      <c r="C2093">
        <v>71683.23</v>
      </c>
    </row>
    <row r="2094" spans="2:3">
      <c r="B2094" s="74">
        <v>45311</v>
      </c>
      <c r="C2094">
        <v>71423.649999999994</v>
      </c>
    </row>
    <row r="2095" spans="2:3">
      <c r="B2095" s="74">
        <v>45314</v>
      </c>
      <c r="C2095">
        <v>70370.55</v>
      </c>
    </row>
    <row r="2096" spans="2:3">
      <c r="B2096" s="74">
        <v>45315</v>
      </c>
      <c r="C2096">
        <v>71060.31</v>
      </c>
    </row>
    <row r="2097" spans="2:3">
      <c r="B2097" s="74">
        <v>45316</v>
      </c>
      <c r="C2097">
        <v>70700.67</v>
      </c>
    </row>
    <row r="2098" spans="2:3">
      <c r="B2098" s="74">
        <v>45320</v>
      </c>
      <c r="C2098">
        <v>71941.570000000007</v>
      </c>
    </row>
    <row r="2099" spans="2:3">
      <c r="B2099" s="74">
        <v>45321</v>
      </c>
      <c r="C2099">
        <v>71139.899999999994</v>
      </c>
    </row>
    <row r="2100" spans="2:3">
      <c r="B2100" s="74">
        <v>45322</v>
      </c>
      <c r="C2100">
        <v>71752.11</v>
      </c>
    </row>
    <row r="2101" spans="2:3">
      <c r="B2101" s="74">
        <v>45323</v>
      </c>
      <c r="C2101">
        <v>71645.3</v>
      </c>
    </row>
    <row r="2102" spans="2:3">
      <c r="B2102" s="74">
        <v>45324</v>
      </c>
      <c r="C2102">
        <v>72085.63</v>
      </c>
    </row>
    <row r="2103" spans="2:3">
      <c r="B2103" s="74">
        <v>45327</v>
      </c>
      <c r="C2103">
        <v>71731.42</v>
      </c>
    </row>
    <row r="2104" spans="2:3">
      <c r="B2104" s="74">
        <v>45328</v>
      </c>
      <c r="C2104">
        <v>72186.09</v>
      </c>
    </row>
    <row r="2105" spans="2:3">
      <c r="B2105" s="74">
        <v>45329</v>
      </c>
      <c r="C2105">
        <v>72152</v>
      </c>
    </row>
    <row r="2106" spans="2:3">
      <c r="B2106" s="74">
        <v>45330</v>
      </c>
      <c r="C2106">
        <v>71428.429999999993</v>
      </c>
    </row>
    <row r="2107" spans="2:3">
      <c r="B2107" s="74">
        <v>45331</v>
      </c>
      <c r="C2107">
        <v>71595.490000000005</v>
      </c>
    </row>
    <row r="2108" spans="2:3">
      <c r="B2108" s="74">
        <v>45334</v>
      </c>
      <c r="C2108">
        <v>71072.490000000005</v>
      </c>
    </row>
    <row r="2109" spans="2:3">
      <c r="B2109" s="74">
        <v>45335</v>
      </c>
      <c r="C2109">
        <v>71555.19</v>
      </c>
    </row>
    <row r="2110" spans="2:3">
      <c r="B2110" s="74">
        <v>45336</v>
      </c>
      <c r="C2110">
        <v>71822.83</v>
      </c>
    </row>
    <row r="2111" spans="2:3">
      <c r="B2111" s="74">
        <v>45337</v>
      </c>
      <c r="C2111">
        <v>72050.38</v>
      </c>
    </row>
    <row r="2112" spans="2:3">
      <c r="B2112" s="74">
        <v>45338</v>
      </c>
      <c r="C2112">
        <v>72426.64</v>
      </c>
    </row>
    <row r="2113" spans="2:3">
      <c r="B2113" s="74">
        <v>45341</v>
      </c>
      <c r="C2113">
        <v>72708.160000000003</v>
      </c>
    </row>
    <row r="2114" spans="2:3">
      <c r="B2114" s="74">
        <v>45342</v>
      </c>
      <c r="C2114">
        <v>73057.399999999994</v>
      </c>
    </row>
    <row r="2115" spans="2:3">
      <c r="B2115" s="74">
        <v>45343</v>
      </c>
      <c r="C2115">
        <v>72623.09</v>
      </c>
    </row>
    <row r="2116" spans="2:3">
      <c r="B2116" s="74">
        <v>45344</v>
      </c>
      <c r="C2116">
        <v>73158.240000000005</v>
      </c>
    </row>
    <row r="2117" spans="2:3">
      <c r="B2117" s="74">
        <v>45345</v>
      </c>
      <c r="C2117">
        <v>73142.8</v>
      </c>
    </row>
    <row r="2118" spans="2:3">
      <c r="B2118" s="74">
        <v>45348</v>
      </c>
      <c r="C2118">
        <v>72790.13</v>
      </c>
    </row>
    <row r="2119" spans="2:3">
      <c r="B2119" s="74">
        <v>45349</v>
      </c>
      <c r="C2119">
        <v>73095.22</v>
      </c>
    </row>
    <row r="2120" spans="2:3">
      <c r="B2120" s="74">
        <v>45350</v>
      </c>
      <c r="C2120">
        <v>72304.88</v>
      </c>
    </row>
    <row r="2121" spans="2:3">
      <c r="B2121" s="74">
        <v>45351</v>
      </c>
      <c r="C2121">
        <v>72500.3</v>
      </c>
    </row>
    <row r="2122" spans="2:3">
      <c r="B2122" s="74">
        <v>45352</v>
      </c>
      <c r="C2122">
        <v>73745.350000000006</v>
      </c>
    </row>
    <row r="2123" spans="2:3">
      <c r="B2123" s="74">
        <v>45353</v>
      </c>
      <c r="C2123">
        <v>73806.149999999994</v>
      </c>
    </row>
    <row r="2124" spans="2:3">
      <c r="B2124" s="74">
        <v>45355</v>
      </c>
      <c r="C2124">
        <v>73872.289999999994</v>
      </c>
    </row>
    <row r="2125" spans="2:3">
      <c r="B2125" s="74">
        <v>45356</v>
      </c>
      <c r="C2125">
        <v>73677.13</v>
      </c>
    </row>
    <row r="2126" spans="2:3">
      <c r="B2126" s="74">
        <v>45357</v>
      </c>
      <c r="C2126">
        <v>74085.990000000005</v>
      </c>
    </row>
    <row r="2127" spans="2:3">
      <c r="B2127" s="74">
        <v>45358</v>
      </c>
      <c r="C2127">
        <v>74119.39</v>
      </c>
    </row>
    <row r="2128" spans="2:3">
      <c r="B2128" s="74">
        <v>45362</v>
      </c>
      <c r="C2128">
        <v>73502.64</v>
      </c>
    </row>
    <row r="2129" spans="2:3">
      <c r="B2129" s="74">
        <v>45363</v>
      </c>
      <c r="C2129">
        <v>73667.960000000006</v>
      </c>
    </row>
    <row r="2130" spans="2:3">
      <c r="B2130" s="74">
        <v>45364</v>
      </c>
      <c r="C2130">
        <v>72761.89</v>
      </c>
    </row>
    <row r="2131" spans="2:3">
      <c r="B2131" s="74">
        <v>45365</v>
      </c>
      <c r="C2131">
        <v>73097.279999999999</v>
      </c>
    </row>
    <row r="2132" spans="2:3">
      <c r="B2132" s="74">
        <v>45366</v>
      </c>
      <c r="C2132">
        <v>72643.429999999993</v>
      </c>
    </row>
    <row r="2133" spans="2:3">
      <c r="B2133" s="74">
        <v>45369</v>
      </c>
      <c r="C2133">
        <v>72748.42</v>
      </c>
    </row>
    <row r="2134" spans="2:3">
      <c r="B2134" s="74">
        <v>45370</v>
      </c>
      <c r="C2134">
        <v>72012.05</v>
      </c>
    </row>
    <row r="2135" spans="2:3">
      <c r="B2135" s="74">
        <v>45371</v>
      </c>
      <c r="C2135">
        <v>72101.69</v>
      </c>
    </row>
    <row r="2136" spans="2:3">
      <c r="B2136" s="74">
        <v>45372</v>
      </c>
      <c r="C2136">
        <v>72641.19</v>
      </c>
    </row>
    <row r="2137" spans="2:3">
      <c r="B2137" s="74">
        <v>45373</v>
      </c>
      <c r="C2137">
        <v>72831.94</v>
      </c>
    </row>
    <row r="2138" spans="2:3">
      <c r="B2138" s="74">
        <v>45377</v>
      </c>
      <c r="C2138">
        <v>72470.3</v>
      </c>
    </row>
    <row r="2139" spans="2:3">
      <c r="B2139" s="74">
        <v>45378</v>
      </c>
      <c r="C2139">
        <v>72996.31</v>
      </c>
    </row>
    <row r="2140" spans="2:3">
      <c r="B2140" s="74">
        <v>45379</v>
      </c>
      <c r="C2140">
        <v>73651.350000000006</v>
      </c>
    </row>
    <row r="2141" spans="2:3">
      <c r="B2141" s="74">
        <v>45383</v>
      </c>
      <c r="C2141">
        <v>74014.55</v>
      </c>
    </row>
    <row r="2142" spans="2:3">
      <c r="B2142" s="74">
        <v>45384</v>
      </c>
      <c r="C2142">
        <v>73903.91</v>
      </c>
    </row>
    <row r="2143" spans="2:3">
      <c r="B2143" s="74">
        <v>45385</v>
      </c>
      <c r="C2143">
        <v>73876.820000000007</v>
      </c>
    </row>
    <row r="2144" spans="2:3">
      <c r="B2144" s="74">
        <v>45386</v>
      </c>
      <c r="C2144">
        <v>74227.63</v>
      </c>
    </row>
    <row r="2145" spans="2:3">
      <c r="B2145" s="74">
        <v>45387</v>
      </c>
      <c r="C2145">
        <v>74248.22</v>
      </c>
    </row>
    <row r="2146" spans="2:3">
      <c r="B2146" s="74">
        <v>45390</v>
      </c>
      <c r="C2146">
        <v>74742.5</v>
      </c>
    </row>
    <row r="2147" spans="2:3">
      <c r="B2147" s="74">
        <v>45391</v>
      </c>
      <c r="C2147">
        <v>74683.7</v>
      </c>
    </row>
    <row r="2148" spans="2:3">
      <c r="B2148" s="74">
        <v>45392</v>
      </c>
      <c r="C2148">
        <v>75038.149999999994</v>
      </c>
    </row>
    <row r="2149" spans="2:3">
      <c r="B2149" s="74">
        <v>45394</v>
      </c>
      <c r="C2149">
        <v>74244.899999999994</v>
      </c>
    </row>
    <row r="2150" spans="2:3">
      <c r="B2150" s="74">
        <v>45397</v>
      </c>
      <c r="C2150">
        <v>73399.78</v>
      </c>
    </row>
    <row r="2151" spans="2:3">
      <c r="B2151" s="74">
        <v>45398</v>
      </c>
      <c r="C2151">
        <v>72943.679999999993</v>
      </c>
    </row>
    <row r="2152" spans="2:3">
      <c r="B2152" s="74">
        <v>45400</v>
      </c>
      <c r="C2152">
        <v>72488.990000000005</v>
      </c>
    </row>
    <row r="2153" spans="2:3">
      <c r="B2153" s="74">
        <v>45401</v>
      </c>
      <c r="C2153">
        <v>73088.33</v>
      </c>
    </row>
    <row r="2154" spans="2:3">
      <c r="B2154" s="74">
        <v>45404</v>
      </c>
      <c r="C2154">
        <v>73648.62</v>
      </c>
    </row>
    <row r="2155" spans="2:3">
      <c r="B2155" s="74">
        <v>45405</v>
      </c>
      <c r="C2155">
        <v>73738.45</v>
      </c>
    </row>
    <row r="2156" spans="2:3">
      <c r="B2156" s="74">
        <v>45406</v>
      </c>
      <c r="C2156">
        <v>73852.94</v>
      </c>
    </row>
    <row r="2157" spans="2:3">
      <c r="B2157" s="74">
        <v>45407</v>
      </c>
      <c r="C2157">
        <v>74339.44</v>
      </c>
    </row>
    <row r="2158" spans="2:3">
      <c r="B2158" s="74">
        <v>45408</v>
      </c>
      <c r="C2158">
        <v>73730.16</v>
      </c>
    </row>
    <row r="2159" spans="2:3">
      <c r="B2159" s="74">
        <v>45411</v>
      </c>
      <c r="C2159">
        <v>74671.28</v>
      </c>
    </row>
    <row r="2160" spans="2:3">
      <c r="B2160" s="74">
        <v>45412</v>
      </c>
      <c r="C2160">
        <v>74482.78</v>
      </c>
    </row>
    <row r="2161" spans="2:3">
      <c r="B2161" s="74">
        <v>45414</v>
      </c>
      <c r="C2161">
        <v>74611.11</v>
      </c>
    </row>
    <row r="2162" spans="2:3">
      <c r="B2162" s="74">
        <v>45415</v>
      </c>
      <c r="C2162">
        <v>73878.149999999994</v>
      </c>
    </row>
    <row r="2163" spans="2:3">
      <c r="B2163" s="74">
        <v>45418</v>
      </c>
      <c r="C2163">
        <v>73895.539999999994</v>
      </c>
    </row>
    <row r="2164" spans="2:3">
      <c r="B2164" s="74">
        <v>45419</v>
      </c>
      <c r="C2164">
        <v>73511.850000000006</v>
      </c>
    </row>
    <row r="2165" spans="2:3">
      <c r="B2165" s="74">
        <v>45420</v>
      </c>
      <c r="C2165">
        <v>73466.39</v>
      </c>
    </row>
    <row r="2166" spans="2:3">
      <c r="B2166" s="74">
        <v>45421</v>
      </c>
      <c r="C2166">
        <v>72404.17</v>
      </c>
    </row>
    <row r="2167" spans="2:3">
      <c r="B2167" s="74">
        <v>45422</v>
      </c>
      <c r="C2167">
        <v>72664.47</v>
      </c>
    </row>
    <row r="2168" spans="2:3">
      <c r="B2168" s="74">
        <v>45425</v>
      </c>
      <c r="C2168">
        <v>72776.13</v>
      </c>
    </row>
    <row r="2169" spans="2:3">
      <c r="B2169" s="74">
        <v>45426</v>
      </c>
      <c r="C2169">
        <v>73104.61</v>
      </c>
    </row>
    <row r="2170" spans="2:3">
      <c r="B2170" s="74">
        <v>45427</v>
      </c>
      <c r="C2170">
        <v>72987.03</v>
      </c>
    </row>
    <row r="2171" spans="2:3">
      <c r="B2171" s="74">
        <v>45428</v>
      </c>
      <c r="C2171">
        <v>73663.72</v>
      </c>
    </row>
    <row r="2172" spans="2:3">
      <c r="B2172" s="74">
        <v>45429</v>
      </c>
      <c r="C2172">
        <v>73917.03</v>
      </c>
    </row>
    <row r="2173" spans="2:3">
      <c r="B2173" s="74">
        <v>45430</v>
      </c>
      <c r="C2173">
        <v>74005.94</v>
      </c>
    </row>
    <row r="2174" spans="2:3">
      <c r="B2174" s="74">
        <v>45433</v>
      </c>
      <c r="C2174">
        <v>73953.31</v>
      </c>
    </row>
    <row r="2175" spans="2:3">
      <c r="B2175" s="74">
        <v>45434</v>
      </c>
      <c r="C2175">
        <v>74221.06</v>
      </c>
    </row>
    <row r="2176" spans="2:3">
      <c r="B2176" s="74">
        <v>45435</v>
      </c>
      <c r="C2176">
        <v>75418.039999999994</v>
      </c>
    </row>
    <row r="2177" spans="2:3">
      <c r="B2177" s="74">
        <v>45436</v>
      </c>
      <c r="C2177">
        <v>75410.39</v>
      </c>
    </row>
    <row r="2178" spans="2:3">
      <c r="B2178" s="74">
        <v>45439</v>
      </c>
      <c r="C2178">
        <v>75390.5</v>
      </c>
    </row>
    <row r="2179" spans="2:3">
      <c r="B2179" s="74">
        <v>45440</v>
      </c>
      <c r="C2179">
        <v>75170.45</v>
      </c>
    </row>
    <row r="2180" spans="2:3">
      <c r="B2180" s="74">
        <v>45441</v>
      </c>
      <c r="C2180">
        <v>74502.899999999994</v>
      </c>
    </row>
    <row r="2181" spans="2:3">
      <c r="B2181" s="74">
        <v>45442</v>
      </c>
      <c r="C2181">
        <v>73885.600000000006</v>
      </c>
    </row>
    <row r="2182" spans="2:3">
      <c r="B2182" s="74">
        <v>45443</v>
      </c>
      <c r="C2182">
        <v>73961.31</v>
      </c>
    </row>
    <row r="2183" spans="2:3">
      <c r="B2183" s="74">
        <v>45446</v>
      </c>
      <c r="C2183">
        <v>76468.78</v>
      </c>
    </row>
    <row r="2184" spans="2:3">
      <c r="B2184" s="74">
        <v>45447</v>
      </c>
      <c r="C2184">
        <v>72079.05</v>
      </c>
    </row>
    <row r="2185" spans="2:3">
      <c r="B2185" s="74">
        <v>45448</v>
      </c>
      <c r="C2185">
        <v>74382.240000000005</v>
      </c>
    </row>
    <row r="2186" spans="2:3">
      <c r="B2186" s="74">
        <v>45449</v>
      </c>
      <c r="C2186">
        <v>75074.509999999995</v>
      </c>
    </row>
    <row r="2187" spans="2:3">
      <c r="B2187" s="74">
        <v>45450</v>
      </c>
      <c r="C2187">
        <v>76693.36</v>
      </c>
    </row>
    <row r="2188" spans="2:3">
      <c r="B2188" s="74">
        <v>45453</v>
      </c>
      <c r="C2188">
        <v>76490.080000000002</v>
      </c>
    </row>
    <row r="2189" spans="2:3">
      <c r="B2189" s="74">
        <v>45454</v>
      </c>
      <c r="C2189">
        <v>76456.59</v>
      </c>
    </row>
    <row r="2190" spans="2:3">
      <c r="B2190" s="74">
        <v>45455</v>
      </c>
      <c r="C2190">
        <v>76606.570000000007</v>
      </c>
    </row>
    <row r="2191" spans="2:3">
      <c r="B2191" s="74">
        <v>45456</v>
      </c>
      <c r="C2191">
        <v>76810.899999999994</v>
      </c>
    </row>
    <row r="2192" spans="2:3">
      <c r="B2192" s="74">
        <v>45457</v>
      </c>
      <c r="C2192">
        <v>76992.77</v>
      </c>
    </row>
    <row r="2193" spans="2:3">
      <c r="B2193" s="74">
        <v>45461</v>
      </c>
      <c r="C2193">
        <v>77301.14</v>
      </c>
    </row>
    <row r="2194" spans="2:3">
      <c r="B2194" s="74">
        <v>45462</v>
      </c>
      <c r="C2194">
        <v>77337.59</v>
      </c>
    </row>
    <row r="2195" spans="2:3">
      <c r="B2195" s="74">
        <v>45463</v>
      </c>
      <c r="C2195">
        <v>77478.929999999993</v>
      </c>
    </row>
    <row r="2196" spans="2:3">
      <c r="B2196" s="74">
        <v>45464</v>
      </c>
      <c r="C2196">
        <v>77209.899999999994</v>
      </c>
    </row>
    <row r="2197" spans="2:3">
      <c r="B2197" s="74">
        <v>45467</v>
      </c>
      <c r="C2197">
        <v>77341.08</v>
      </c>
    </row>
    <row r="2198" spans="2:3">
      <c r="B2198" s="74">
        <v>45468</v>
      </c>
      <c r="C2198">
        <v>78053.52</v>
      </c>
    </row>
    <row r="2199" spans="2:3">
      <c r="B2199" s="74">
        <v>45469</v>
      </c>
      <c r="C2199">
        <v>78674.25</v>
      </c>
    </row>
    <row r="2200" spans="2:3">
      <c r="B2200" s="74">
        <v>45470</v>
      </c>
      <c r="C2200">
        <v>79243.179999999993</v>
      </c>
    </row>
    <row r="2201" spans="2:3">
      <c r="B2201" s="74">
        <v>45471</v>
      </c>
      <c r="C2201">
        <v>79032.73</v>
      </c>
    </row>
    <row r="2202" spans="2:3">
      <c r="B2202" s="74">
        <v>45474</v>
      </c>
      <c r="C2202">
        <v>79476.19</v>
      </c>
    </row>
    <row r="2203" spans="2:3">
      <c r="B2203" s="74">
        <v>45475</v>
      </c>
      <c r="C2203">
        <v>79441.45</v>
      </c>
    </row>
    <row r="2204" spans="2:3">
      <c r="B2204" s="74">
        <v>45476</v>
      </c>
      <c r="C2204">
        <v>79986.8</v>
      </c>
    </row>
    <row r="2205" spans="2:3">
      <c r="B2205" s="74">
        <v>45477</v>
      </c>
      <c r="C2205">
        <v>80049.67</v>
      </c>
    </row>
    <row r="2206" spans="2:3">
      <c r="B2206" s="74">
        <v>45478</v>
      </c>
      <c r="C2206">
        <v>79996.600000000006</v>
      </c>
    </row>
    <row r="2207" spans="2:3">
      <c r="B2207" s="74">
        <v>45481</v>
      </c>
      <c r="C2207">
        <v>79960.38</v>
      </c>
    </row>
    <row r="2208" spans="2:3">
      <c r="B2208" s="74">
        <v>45482</v>
      </c>
      <c r="C2208">
        <v>80351.64</v>
      </c>
    </row>
    <row r="2209" spans="2:3">
      <c r="B2209" s="74">
        <v>45483</v>
      </c>
      <c r="C2209">
        <v>79924.77</v>
      </c>
    </row>
    <row r="2210" spans="2:3">
      <c r="B2210" s="74">
        <v>45484</v>
      </c>
      <c r="C2210">
        <v>79897.34</v>
      </c>
    </row>
    <row r="2211" spans="2:3">
      <c r="B2211" s="74">
        <v>45485</v>
      </c>
      <c r="C2211">
        <v>80519.34</v>
      </c>
    </row>
    <row r="2212" spans="2:3">
      <c r="B2212" s="74">
        <v>45488</v>
      </c>
      <c r="C2212">
        <v>80664.86</v>
      </c>
    </row>
    <row r="2213" spans="2:3">
      <c r="B2213" s="74">
        <v>45489</v>
      </c>
      <c r="C2213">
        <v>80716.55</v>
      </c>
    </row>
    <row r="2214" spans="2:3">
      <c r="B2214" s="74">
        <v>45491</v>
      </c>
      <c r="C2214">
        <v>81343.460000000006</v>
      </c>
    </row>
    <row r="2215" spans="2:3">
      <c r="B2215" s="74">
        <v>45492</v>
      </c>
      <c r="C2215">
        <v>80604.649999999994</v>
      </c>
    </row>
    <row r="2216" spans="2:3">
      <c r="B2216" s="74">
        <v>45495</v>
      </c>
      <c r="C2216">
        <v>80502.080000000002</v>
      </c>
    </row>
    <row r="2217" spans="2:3">
      <c r="B2217" s="74">
        <v>45496</v>
      </c>
      <c r="C2217">
        <v>80429.039999999994</v>
      </c>
    </row>
    <row r="2218" spans="2:3">
      <c r="B2218" s="74">
        <v>45497</v>
      </c>
      <c r="C2218">
        <v>80148.88</v>
      </c>
    </row>
    <row r="2219" spans="2:3">
      <c r="B2219" s="74">
        <v>45498</v>
      </c>
      <c r="C2219">
        <v>80039.8</v>
      </c>
    </row>
    <row r="2220" spans="2:3">
      <c r="B2220" s="74">
        <v>45499</v>
      </c>
      <c r="C2220">
        <v>81332.72</v>
      </c>
    </row>
    <row r="2221" spans="2:3">
      <c r="B2221" s="74">
        <v>45502</v>
      </c>
      <c r="C2221">
        <v>81355.839999999997</v>
      </c>
    </row>
    <row r="2222" spans="2:3">
      <c r="B2222" s="74">
        <v>45503</v>
      </c>
      <c r="C2222">
        <v>81455.399999999994</v>
      </c>
    </row>
    <row r="2223" spans="2:3">
      <c r="B2223" s="74">
        <v>45504</v>
      </c>
      <c r="C2223">
        <v>81741.34</v>
      </c>
    </row>
    <row r="2224" spans="2:3">
      <c r="B2224" s="74">
        <v>45505</v>
      </c>
      <c r="C2224">
        <v>81867.55</v>
      </c>
    </row>
    <row r="2225" spans="2:3">
      <c r="B2225" s="74">
        <v>45506</v>
      </c>
      <c r="C2225">
        <v>80981.95</v>
      </c>
    </row>
    <row r="2226" spans="2:3">
      <c r="B2226" s="74">
        <v>45509</v>
      </c>
      <c r="C2226">
        <v>78759.399999999994</v>
      </c>
    </row>
    <row r="2227" spans="2:3">
      <c r="B2227" s="74">
        <v>45510</v>
      </c>
      <c r="C2227">
        <v>78593.070000000007</v>
      </c>
    </row>
    <row r="2228" spans="2:3">
      <c r="B2228" s="74">
        <v>45511</v>
      </c>
      <c r="C2228">
        <v>79468.009999999995</v>
      </c>
    </row>
    <row r="2229" spans="2:3">
      <c r="B2229" s="74">
        <v>45512</v>
      </c>
      <c r="C2229">
        <v>78886.22</v>
      </c>
    </row>
    <row r="2230" spans="2:3">
      <c r="B2230" s="74">
        <v>45513</v>
      </c>
      <c r="C2230">
        <v>79705.91</v>
      </c>
    </row>
    <row r="2231" spans="2:3">
      <c r="B2231" s="74">
        <v>45516</v>
      </c>
      <c r="C2231">
        <v>79648.92</v>
      </c>
    </row>
    <row r="2232" spans="2:3">
      <c r="B2232" s="74">
        <v>45517</v>
      </c>
      <c r="C2232">
        <v>78956.03</v>
      </c>
    </row>
    <row r="2233" spans="2:3">
      <c r="B2233" s="74">
        <v>45518</v>
      </c>
      <c r="C2233">
        <v>79105.88</v>
      </c>
    </row>
    <row r="2234" spans="2:3">
      <c r="B2234" s="74">
        <v>45520</v>
      </c>
      <c r="C2234">
        <v>80436.84</v>
      </c>
    </row>
    <row r="2235" spans="2:3">
      <c r="B2235" s="74">
        <v>45523</v>
      </c>
      <c r="C2235">
        <v>80424.679999999993</v>
      </c>
    </row>
    <row r="2236" spans="2:3">
      <c r="B2236" s="74">
        <v>45524</v>
      </c>
      <c r="C2236">
        <v>80802.86</v>
      </c>
    </row>
    <row r="2237" spans="2:3">
      <c r="B2237" s="74">
        <v>45525</v>
      </c>
      <c r="C2237">
        <v>80905.3</v>
      </c>
    </row>
    <row r="2238" spans="2:3">
      <c r="B2238" s="74">
        <v>45526</v>
      </c>
      <c r="C2238">
        <v>81053.19</v>
      </c>
    </row>
    <row r="2239" spans="2:3">
      <c r="B2239" s="74">
        <v>45527</v>
      </c>
      <c r="C2239">
        <v>81086.210000000006</v>
      </c>
    </row>
    <row r="2240" spans="2:3">
      <c r="B2240" s="74">
        <v>45530</v>
      </c>
      <c r="C2240">
        <v>81698.11</v>
      </c>
    </row>
    <row r="2241" spans="2:3">
      <c r="B2241" s="74">
        <v>45531</v>
      </c>
      <c r="C2241">
        <v>81711.759999999995</v>
      </c>
    </row>
    <row r="2242" spans="2:3">
      <c r="B2242" s="74">
        <v>45532</v>
      </c>
      <c r="C2242">
        <v>81785.56</v>
      </c>
    </row>
    <row r="2243" spans="2:3">
      <c r="B2243" s="74">
        <v>45533</v>
      </c>
      <c r="C2243">
        <v>82134.61</v>
      </c>
    </row>
    <row r="2244" spans="2:3">
      <c r="B2244" s="74">
        <v>45534</v>
      </c>
      <c r="C2244">
        <v>82365.77</v>
      </c>
    </row>
    <row r="2245" spans="2:3">
      <c r="B2245" s="74">
        <v>45537</v>
      </c>
      <c r="C2245">
        <v>82559.839999999997</v>
      </c>
    </row>
    <row r="2246" spans="2:3">
      <c r="B2246" s="74">
        <v>45538</v>
      </c>
      <c r="C2246">
        <v>82555.44</v>
      </c>
    </row>
    <row r="2247" spans="2:3">
      <c r="B2247" s="74">
        <v>45539</v>
      </c>
      <c r="C2247">
        <v>82352.639999999999</v>
      </c>
    </row>
    <row r="2248" spans="2:3">
      <c r="B2248" s="74">
        <v>45540</v>
      </c>
      <c r="C2248">
        <v>82201.16</v>
      </c>
    </row>
    <row r="2249" spans="2:3">
      <c r="B2249" s="74">
        <v>45541</v>
      </c>
      <c r="C2249">
        <v>81183.929999999993</v>
      </c>
    </row>
    <row r="2250" spans="2:3">
      <c r="B2250" s="74">
        <v>45544</v>
      </c>
      <c r="C2250">
        <v>81559.539999999994</v>
      </c>
    </row>
    <row r="2251" spans="2:3">
      <c r="B2251" s="74">
        <v>45545</v>
      </c>
      <c r="C2251">
        <v>81921.289999999994</v>
      </c>
    </row>
    <row r="2252" spans="2:3">
      <c r="B2252" s="74">
        <v>45546</v>
      </c>
      <c r="C2252">
        <v>81523.16</v>
      </c>
    </row>
    <row r="2253" spans="2:3">
      <c r="B2253" s="74">
        <v>45547</v>
      </c>
      <c r="C2253">
        <v>82962.710000000006</v>
      </c>
    </row>
    <row r="2254" spans="2:3">
      <c r="B2254" s="74">
        <v>45548</v>
      </c>
      <c r="C2254">
        <v>82890.94</v>
      </c>
    </row>
    <row r="2255" spans="2:3">
      <c r="B2255" s="74">
        <v>45551</v>
      </c>
      <c r="C2255">
        <v>82988.78</v>
      </c>
    </row>
    <row r="2256" spans="2:3">
      <c r="B2256" s="74">
        <v>45552</v>
      </c>
      <c r="C2256">
        <v>83079.66</v>
      </c>
    </row>
    <row r="2257" spans="2:3">
      <c r="B2257" s="74">
        <v>45553</v>
      </c>
      <c r="C2257">
        <v>82948.23</v>
      </c>
    </row>
    <row r="2258" spans="2:3">
      <c r="B2258" s="74">
        <v>45554</v>
      </c>
      <c r="C2258">
        <v>83184.800000000003</v>
      </c>
    </row>
    <row r="2259" spans="2:3">
      <c r="B2259" s="74">
        <v>45555</v>
      </c>
      <c r="C2259">
        <v>84544.31</v>
      </c>
    </row>
    <row r="2260" spans="2:3">
      <c r="B2260" s="74">
        <v>45558</v>
      </c>
      <c r="C2260">
        <v>84928.61</v>
      </c>
    </row>
    <row r="2261" spans="2:3">
      <c r="B2261" s="74">
        <v>45559</v>
      </c>
      <c r="C2261">
        <v>84914.04</v>
      </c>
    </row>
    <row r="2262" spans="2:3">
      <c r="B2262" s="74">
        <v>45560</v>
      </c>
      <c r="C2262">
        <v>85169.87</v>
      </c>
    </row>
    <row r="2263" spans="2:3">
      <c r="B2263" s="74">
        <v>45561</v>
      </c>
      <c r="C2263">
        <v>85836.12</v>
      </c>
    </row>
    <row r="2264" spans="2:3">
      <c r="B2264" s="74">
        <v>45562</v>
      </c>
      <c r="C2264">
        <v>85571.85</v>
      </c>
    </row>
    <row r="2265" spans="2:3">
      <c r="B2265" s="74">
        <v>45565</v>
      </c>
      <c r="C2265">
        <v>84299.78</v>
      </c>
    </row>
    <row r="2266" spans="2:3">
      <c r="B2266" s="74">
        <v>45566</v>
      </c>
      <c r="C2266">
        <v>84266.29</v>
      </c>
    </row>
    <row r="2267" spans="2:3">
      <c r="B2267" s="74">
        <v>45568</v>
      </c>
      <c r="C2267">
        <v>82497.100000000006</v>
      </c>
    </row>
    <row r="2268" spans="2:3">
      <c r="B2268" s="74">
        <v>45569</v>
      </c>
      <c r="C2268">
        <v>81688.45</v>
      </c>
    </row>
    <row r="2269" spans="2:3">
      <c r="B2269" s="74">
        <v>45572</v>
      </c>
      <c r="C2269">
        <v>81050</v>
      </c>
    </row>
    <row r="2270" spans="2:3">
      <c r="B2270" s="74">
        <v>45573</v>
      </c>
      <c r="C2270">
        <v>81634.81</v>
      </c>
    </row>
    <row r="2271" spans="2:3">
      <c r="B2271" s="74">
        <v>45574</v>
      </c>
      <c r="C2271">
        <v>81467.100000000006</v>
      </c>
    </row>
    <row r="2272" spans="2:3">
      <c r="B2272" s="74">
        <v>45575</v>
      </c>
      <c r="C2272">
        <v>81611.41</v>
      </c>
    </row>
    <row r="2273" spans="2:3">
      <c r="B2273" s="74">
        <v>45576</v>
      </c>
      <c r="C2273">
        <v>81381.36</v>
      </c>
    </row>
    <row r="2274" spans="2:3">
      <c r="B2274" s="74">
        <v>45579</v>
      </c>
      <c r="C2274">
        <v>81973.05</v>
      </c>
    </row>
    <row r="2275" spans="2:3">
      <c r="B2275" s="74">
        <v>45580</v>
      </c>
      <c r="C2275">
        <v>81820.12</v>
      </c>
    </row>
    <row r="2276" spans="2:3">
      <c r="B2276" s="74">
        <v>45581</v>
      </c>
      <c r="C2276">
        <v>81501.36</v>
      </c>
    </row>
    <row r="2277" spans="2:3">
      <c r="B2277" s="74">
        <v>45582</v>
      </c>
      <c r="C2277">
        <v>81006.61</v>
      </c>
    </row>
    <row r="2278" spans="2:3">
      <c r="B2278" s="74">
        <v>45583</v>
      </c>
      <c r="C2278">
        <v>81224.75</v>
      </c>
    </row>
    <row r="2279" spans="2:3">
      <c r="B2279" s="74">
        <v>45586</v>
      </c>
      <c r="C2279">
        <v>81151.27</v>
      </c>
    </row>
    <row r="2280" spans="2:3">
      <c r="B2280" s="74">
        <v>45587</v>
      </c>
      <c r="C2280">
        <v>80220.72</v>
      </c>
    </row>
    <row r="2281" spans="2:3">
      <c r="B2281" s="74">
        <v>45588</v>
      </c>
      <c r="C2281">
        <v>80081.98</v>
      </c>
    </row>
    <row r="2282" spans="2:3">
      <c r="B2282" s="74">
        <v>45589</v>
      </c>
      <c r="C2282">
        <v>80065.16</v>
      </c>
    </row>
    <row r="2283" spans="2:3">
      <c r="B2283" s="74">
        <v>45590</v>
      </c>
      <c r="C2283">
        <v>79402.289999999994</v>
      </c>
    </row>
    <row r="2284" spans="2:3">
      <c r="B2284" s="74">
        <v>45593</v>
      </c>
      <c r="C2284">
        <v>80005.039999999994</v>
      </c>
    </row>
    <row r="2285" spans="2:3">
      <c r="B2285" s="74">
        <v>45594</v>
      </c>
      <c r="C2285">
        <v>80369.03</v>
      </c>
    </row>
    <row r="2286" spans="2:3">
      <c r="B2286" s="74">
        <v>45595</v>
      </c>
      <c r="C2286">
        <v>79942.179999999993</v>
      </c>
    </row>
    <row r="2287" spans="2:3">
      <c r="B2287" s="74">
        <v>45596</v>
      </c>
      <c r="C2287">
        <v>79389.06</v>
      </c>
    </row>
    <row r="2288" spans="2:3">
      <c r="B2288" s="74">
        <v>45597</v>
      </c>
      <c r="C2288">
        <v>79724.12</v>
      </c>
    </row>
    <row r="2289" spans="2:3">
      <c r="B2289" s="74">
        <v>45600</v>
      </c>
      <c r="C2289">
        <v>78782.240000000005</v>
      </c>
    </row>
    <row r="2290" spans="2:3">
      <c r="B2290" s="74">
        <v>45601</v>
      </c>
      <c r="C2290">
        <v>79476.63</v>
      </c>
    </row>
    <row r="2291" spans="2:3">
      <c r="B2291" s="74">
        <v>45602</v>
      </c>
      <c r="C2291">
        <v>80378.13</v>
      </c>
    </row>
    <row r="2292" spans="2:3">
      <c r="B2292" s="74">
        <v>45603</v>
      </c>
      <c r="C2292">
        <v>79541.789999999994</v>
      </c>
    </row>
    <row r="2293" spans="2:3">
      <c r="B2293" s="74">
        <v>45604</v>
      </c>
      <c r="C2293">
        <v>79486.320000000007</v>
      </c>
    </row>
    <row r="2294" spans="2:3">
      <c r="B2294" s="74">
        <v>45607</v>
      </c>
      <c r="C2294">
        <v>79496.149999999994</v>
      </c>
    </row>
    <row r="2295" spans="2:3">
      <c r="B2295" s="74">
        <v>45608</v>
      </c>
      <c r="C2295">
        <v>78675.179999999993</v>
      </c>
    </row>
    <row r="2296" spans="2:3">
      <c r="B2296" s="74">
        <v>45609</v>
      </c>
      <c r="C2296">
        <v>77690.95</v>
      </c>
    </row>
    <row r="2297" spans="2:3">
      <c r="B2297" s="74">
        <v>45610</v>
      </c>
      <c r="C2297">
        <v>77580.31</v>
      </c>
    </row>
    <row r="2298" spans="2:3">
      <c r="B2298" s="74">
        <v>45614</v>
      </c>
      <c r="C2298">
        <v>77339.009999999995</v>
      </c>
    </row>
    <row r="2299" spans="2:3">
      <c r="B2299" s="74">
        <v>45615</v>
      </c>
      <c r="C2299">
        <v>77578.38</v>
      </c>
    </row>
    <row r="2300" spans="2:3">
      <c r="B2300" s="74">
        <v>45617</v>
      </c>
      <c r="C2300">
        <v>77155.789999999994</v>
      </c>
    </row>
    <row r="2301" spans="2:3">
      <c r="B2301" s="74">
        <v>45618</v>
      </c>
      <c r="C2301">
        <v>79117.11</v>
      </c>
    </row>
    <row r="2302" spans="2:3">
      <c r="B2302" s="74">
        <v>45621</v>
      </c>
      <c r="C2302">
        <v>80109.850000000006</v>
      </c>
    </row>
    <row r="2303" spans="2:3">
      <c r="B2303" s="74">
        <v>45622</v>
      </c>
      <c r="C2303">
        <v>80004.06</v>
      </c>
    </row>
    <row r="2304" spans="2:3">
      <c r="B2304" s="74">
        <v>45623</v>
      </c>
      <c r="C2304">
        <v>80234.080000000002</v>
      </c>
    </row>
    <row r="2305" spans="2:3">
      <c r="B2305" s="74">
        <v>45624</v>
      </c>
      <c r="C2305">
        <v>79043.740000000005</v>
      </c>
    </row>
    <row r="2306" spans="2:3">
      <c r="B2306" s="74">
        <v>45625</v>
      </c>
      <c r="C2306">
        <v>79802.789999999994</v>
      </c>
    </row>
    <row r="2307" spans="2:3">
      <c r="B2307" s="74">
        <v>45628</v>
      </c>
      <c r="C2307">
        <v>80248.08</v>
      </c>
    </row>
    <row r="2308" spans="2:3">
      <c r="B2308" s="74">
        <v>45629</v>
      </c>
      <c r="C2308">
        <v>80845.75</v>
      </c>
    </row>
    <row r="2309" spans="2:3">
      <c r="B2309" s="74">
        <v>45630</v>
      </c>
      <c r="C2309">
        <v>80956.33</v>
      </c>
    </row>
    <row r="2310" spans="2:3">
      <c r="B2310" s="74">
        <v>45631</v>
      </c>
      <c r="C2310">
        <v>81765.86</v>
      </c>
    </row>
    <row r="2311" spans="2:3">
      <c r="B2311" s="74">
        <v>45632</v>
      </c>
      <c r="C2311">
        <v>81709.119999999995</v>
      </c>
    </row>
    <row r="2312" spans="2:3">
      <c r="B2312" s="74">
        <v>45635</v>
      </c>
      <c r="C2312">
        <v>81508.460000000006</v>
      </c>
    </row>
    <row r="2313" spans="2:3">
      <c r="B2313" s="74">
        <v>45636</v>
      </c>
      <c r="C2313">
        <v>81510.05</v>
      </c>
    </row>
    <row r="2314" spans="2:3">
      <c r="B2314" s="74">
        <v>45637</v>
      </c>
      <c r="C2314">
        <v>81526.14</v>
      </c>
    </row>
    <row r="2315" spans="2:3">
      <c r="B2315" s="74">
        <v>45638</v>
      </c>
      <c r="C2315">
        <v>81289.960000000006</v>
      </c>
    </row>
    <row r="2316" spans="2:3">
      <c r="B2316" s="74">
        <v>45639</v>
      </c>
      <c r="C2316">
        <v>82133.119999999995</v>
      </c>
    </row>
    <row r="2317" spans="2:3">
      <c r="B2317" s="74">
        <v>45642</v>
      </c>
      <c r="C2317">
        <v>81748.570000000007</v>
      </c>
    </row>
    <row r="2318" spans="2:3">
      <c r="B2318" s="74">
        <v>45643</v>
      </c>
      <c r="C2318">
        <v>80684.45</v>
      </c>
    </row>
    <row r="2319" spans="2:3">
      <c r="B2319" s="74">
        <v>45644</v>
      </c>
      <c r="C2319">
        <v>80182.2</v>
      </c>
    </row>
    <row r="2320" spans="2:3">
      <c r="B2320" s="74">
        <v>45645</v>
      </c>
      <c r="C2320">
        <v>79218.05</v>
      </c>
    </row>
    <row r="2321" spans="2:3">
      <c r="B2321" s="74">
        <v>45646</v>
      </c>
      <c r="C2321">
        <v>78041.59</v>
      </c>
    </row>
    <row r="2322" spans="2:3">
      <c r="B2322" s="74">
        <v>45649</v>
      </c>
      <c r="C2322">
        <v>78540.17</v>
      </c>
    </row>
    <row r="2323" spans="2:3">
      <c r="B2323" s="74">
        <v>45650</v>
      </c>
      <c r="C2323">
        <v>78472.87</v>
      </c>
    </row>
    <row r="2324" spans="2:3">
      <c r="B2324" s="74">
        <v>45652</v>
      </c>
      <c r="C2324">
        <v>78472.479999999996</v>
      </c>
    </row>
    <row r="2325" spans="2:3">
      <c r="B2325" s="74">
        <v>45653</v>
      </c>
      <c r="C2325">
        <v>78699.070000000007</v>
      </c>
    </row>
    <row r="2326" spans="2:3">
      <c r="B2326" s="74">
        <v>45656</v>
      </c>
      <c r="C2326">
        <v>78248.13</v>
      </c>
    </row>
    <row r="2327" spans="2:3">
      <c r="B2327" s="74">
        <v>45657</v>
      </c>
      <c r="C2327">
        <v>78139.009999999995</v>
      </c>
    </row>
    <row r="2328" spans="2:3">
      <c r="B2328" s="74">
        <v>45658</v>
      </c>
      <c r="C2328">
        <v>78507.41</v>
      </c>
    </row>
    <row r="2329" spans="2:3">
      <c r="B2329" s="74">
        <v>45659</v>
      </c>
      <c r="C2329">
        <v>79943.710000000006</v>
      </c>
    </row>
    <row r="2330" spans="2:3">
      <c r="B2330" s="74">
        <v>45660</v>
      </c>
      <c r="C2330">
        <v>79223.11</v>
      </c>
    </row>
    <row r="2331" spans="2:3">
      <c r="B2331" s="74">
        <v>45663</v>
      </c>
      <c r="C2331">
        <v>77964.990000000005</v>
      </c>
    </row>
    <row r="2332" spans="2:3">
      <c r="B2332" s="74">
        <v>45664</v>
      </c>
      <c r="C2332">
        <v>78199.11</v>
      </c>
    </row>
    <row r="2333" spans="2:3">
      <c r="B2333" s="74">
        <v>45665</v>
      </c>
      <c r="C2333">
        <v>78148.490000000005</v>
      </c>
    </row>
    <row r="2334" spans="2:3">
      <c r="B2334" s="74">
        <v>45666</v>
      </c>
      <c r="C2334">
        <v>77620.210000000006</v>
      </c>
    </row>
    <row r="2335" spans="2:3">
      <c r="B2335" s="74">
        <v>45667</v>
      </c>
      <c r="C2335">
        <v>77378.91</v>
      </c>
    </row>
    <row r="2336" spans="2:3">
      <c r="B2336" s="74">
        <v>45670</v>
      </c>
      <c r="C2336">
        <v>76330.009999999995</v>
      </c>
    </row>
    <row r="2337" spans="2:3">
      <c r="B2337" s="74">
        <v>45671</v>
      </c>
      <c r="C2337">
        <v>76499.63</v>
      </c>
    </row>
    <row r="2338" spans="2:3">
      <c r="B2338" s="74">
        <v>45672</v>
      </c>
      <c r="C2338">
        <v>76724.08</v>
      </c>
    </row>
    <row r="2339" spans="2:3">
      <c r="B2339" s="74">
        <v>45673</v>
      </c>
      <c r="C2339">
        <v>77042.820000000007</v>
      </c>
    </row>
    <row r="2340" spans="2:3">
      <c r="B2340" s="74">
        <v>45674</v>
      </c>
      <c r="C2340">
        <v>76619.33</v>
      </c>
    </row>
    <row r="2341" spans="2:3">
      <c r="B2341" s="74">
        <v>45677</v>
      </c>
      <c r="C2341">
        <v>77073.440000000002</v>
      </c>
    </row>
    <row r="2342" spans="2:3">
      <c r="B2342" s="74">
        <v>45678</v>
      </c>
      <c r="C2342">
        <v>75838.36</v>
      </c>
    </row>
    <row r="2343" spans="2:3">
      <c r="B2343" s="74">
        <v>45679</v>
      </c>
      <c r="C2343">
        <v>76404.990000000005</v>
      </c>
    </row>
    <row r="2344" spans="2:3">
      <c r="B2344" s="74">
        <v>45680</v>
      </c>
      <c r="C2344">
        <v>76520.38</v>
      </c>
    </row>
    <row r="2345" spans="2:3">
      <c r="B2345" s="74">
        <v>45681</v>
      </c>
      <c r="C2345">
        <v>76190.460000000006</v>
      </c>
    </row>
    <row r="2346" spans="2:3">
      <c r="B2346" s="74">
        <v>45684</v>
      </c>
      <c r="C2346">
        <v>75366.17</v>
      </c>
    </row>
    <row r="2347" spans="2:3">
      <c r="B2347" s="74">
        <v>45685</v>
      </c>
      <c r="C2347">
        <v>75901.41</v>
      </c>
    </row>
    <row r="2348" spans="2:3">
      <c r="B2348" s="74">
        <v>45686</v>
      </c>
      <c r="C2348">
        <v>76532.960000000006</v>
      </c>
    </row>
    <row r="2349" spans="2:3">
      <c r="B2349" s="74">
        <v>45687</v>
      </c>
      <c r="C2349">
        <v>76759.81</v>
      </c>
    </row>
    <row r="2350" spans="2:3">
      <c r="B2350" s="74">
        <v>45688</v>
      </c>
      <c r="C2350">
        <v>77500.570000000007</v>
      </c>
    </row>
    <row r="2351" spans="2:3">
      <c r="B2351" s="74">
        <v>45689</v>
      </c>
      <c r="C2351">
        <v>77505.960000000006</v>
      </c>
    </row>
    <row r="2352" spans="2:3">
      <c r="B2352" s="74">
        <v>45691</v>
      </c>
      <c r="C2352">
        <v>77186.740000000005</v>
      </c>
    </row>
    <row r="2353" spans="2:3">
      <c r="B2353" s="74">
        <v>45692</v>
      </c>
      <c r="C2353">
        <v>78583.81</v>
      </c>
    </row>
    <row r="2354" spans="2:3">
      <c r="B2354" s="74">
        <v>45693</v>
      </c>
      <c r="C2354">
        <v>78271.28</v>
      </c>
    </row>
    <row r="2355" spans="2:3">
      <c r="B2355" s="74">
        <v>45694</v>
      </c>
      <c r="C2355">
        <v>78058.16</v>
      </c>
    </row>
    <row r="2356" spans="2:3">
      <c r="B2356" s="74">
        <v>45695</v>
      </c>
      <c r="C2356">
        <v>77860.19</v>
      </c>
    </row>
    <row r="2357" spans="2:3">
      <c r="B2357" s="74">
        <v>45698</v>
      </c>
      <c r="C2357">
        <v>77311.8</v>
      </c>
    </row>
    <row r="2358" spans="2:3">
      <c r="B2358" s="74">
        <v>45699</v>
      </c>
      <c r="C2358">
        <v>76293.600000000006</v>
      </c>
    </row>
    <row r="2359" spans="2:3">
      <c r="B2359" s="74">
        <v>45700</v>
      </c>
      <c r="C2359">
        <v>76171.08</v>
      </c>
    </row>
    <row r="2360" spans="2:3">
      <c r="B2360" s="74">
        <v>45701</v>
      </c>
      <c r="C2360">
        <v>76138.97</v>
      </c>
    </row>
    <row r="2361" spans="2:3">
      <c r="B2361" s="74">
        <v>45702</v>
      </c>
      <c r="C2361">
        <v>75939.210000000006</v>
      </c>
    </row>
    <row r="2362" spans="2:3">
      <c r="B2362" s="74">
        <v>45705</v>
      </c>
      <c r="C2362">
        <v>75996.86</v>
      </c>
    </row>
    <row r="2363" spans="2:3">
      <c r="B2363" s="74">
        <v>45706</v>
      </c>
      <c r="C2363">
        <v>75967.39</v>
      </c>
    </row>
    <row r="2364" spans="2:3">
      <c r="B2364" s="74">
        <v>45707</v>
      </c>
      <c r="C2364">
        <v>75939.179999999993</v>
      </c>
    </row>
    <row r="2365" spans="2:3">
      <c r="B2365" s="74">
        <v>45708</v>
      </c>
      <c r="C2365">
        <v>75735.960000000006</v>
      </c>
    </row>
    <row r="2366" spans="2:3">
      <c r="B2366" s="74">
        <v>45709</v>
      </c>
      <c r="C2366">
        <v>75311.06</v>
      </c>
    </row>
    <row r="2367" spans="2:3">
      <c r="B2367" s="74">
        <v>45712</v>
      </c>
      <c r="C2367">
        <v>74454.41</v>
      </c>
    </row>
    <row r="2368" spans="2:3">
      <c r="B2368" s="74">
        <v>45713</v>
      </c>
      <c r="C2368">
        <v>74602.12</v>
      </c>
    </row>
    <row r="2369" spans="2:3">
      <c r="B2369" s="74">
        <v>45715</v>
      </c>
      <c r="C2369">
        <v>74612.429999999993</v>
      </c>
    </row>
    <row r="2370" spans="2:3">
      <c r="B2370" s="74">
        <v>45716</v>
      </c>
      <c r="C2370">
        <v>73198.100000000006</v>
      </c>
    </row>
    <row r="2371" spans="2:3">
      <c r="B2371" s="74">
        <v>45719</v>
      </c>
      <c r="C2371">
        <v>73085.94</v>
      </c>
    </row>
    <row r="2372" spans="2:3">
      <c r="B2372" s="74">
        <v>45720</v>
      </c>
      <c r="C2372">
        <v>72989.929999999993</v>
      </c>
    </row>
    <row r="2373" spans="2:3">
      <c r="B2373" s="74">
        <v>45721</v>
      </c>
      <c r="C2373">
        <v>73730.23</v>
      </c>
    </row>
    <row r="2374" spans="2:3">
      <c r="B2374" s="74">
        <v>45722</v>
      </c>
      <c r="C2374">
        <v>74340.09</v>
      </c>
    </row>
    <row r="2375" spans="2:3">
      <c r="B2375" s="74">
        <v>45723</v>
      </c>
      <c r="C2375">
        <v>74332.58</v>
      </c>
    </row>
    <row r="2376" spans="2:3">
      <c r="B2376" s="74">
        <v>45726</v>
      </c>
      <c r="C2376">
        <v>74115.17</v>
      </c>
    </row>
    <row r="2377" spans="2:3">
      <c r="B2377" s="74">
        <v>45727</v>
      </c>
      <c r="C2377">
        <v>74102.320000000007</v>
      </c>
    </row>
    <row r="2378" spans="2:3">
      <c r="B2378" s="74">
        <v>45728</v>
      </c>
      <c r="C2378">
        <v>74029.759999999995</v>
      </c>
    </row>
    <row r="2379" spans="2:3">
      <c r="B2379" s="74">
        <v>45729</v>
      </c>
      <c r="C2379">
        <v>73828.91</v>
      </c>
    </row>
    <row r="2380" spans="2:3">
      <c r="B2380" s="74">
        <v>45733</v>
      </c>
      <c r="C2380">
        <v>74169.95</v>
      </c>
    </row>
    <row r="2381" spans="2:3">
      <c r="B2381" s="74">
        <v>45734</v>
      </c>
      <c r="C2381">
        <v>75301.259999999995</v>
      </c>
    </row>
    <row r="2382" spans="2:3">
      <c r="B2382" s="74">
        <v>45735</v>
      </c>
      <c r="C2382">
        <v>75449.05</v>
      </c>
    </row>
    <row r="2383" spans="2:3">
      <c r="B2383" s="74">
        <v>45736</v>
      </c>
      <c r="C2383">
        <v>76348.06</v>
      </c>
    </row>
    <row r="2384" spans="2:3">
      <c r="B2384" s="74">
        <v>45737</v>
      </c>
      <c r="C2384">
        <v>76905.509999999995</v>
      </c>
    </row>
    <row r="2385" spans="2:3">
      <c r="B2385" s="74">
        <v>45740</v>
      </c>
      <c r="C2385">
        <v>77984.38</v>
      </c>
    </row>
    <row r="2386" spans="2:3">
      <c r="B2386" s="74">
        <v>45741</v>
      </c>
      <c r="C2386">
        <v>78017.19</v>
      </c>
    </row>
    <row r="2387" spans="2:3">
      <c r="B2387" s="74">
        <v>45742</v>
      </c>
      <c r="C2387">
        <v>77288.5</v>
      </c>
    </row>
    <row r="2388" spans="2:3">
      <c r="B2388" s="74">
        <v>45743</v>
      </c>
      <c r="C2388">
        <v>77606.429999999993</v>
      </c>
    </row>
    <row r="2389" spans="2:3">
      <c r="B2389" s="74">
        <v>45744</v>
      </c>
      <c r="C2389">
        <v>77414.92</v>
      </c>
    </row>
    <row r="2390" spans="2:3">
      <c r="B2390" s="74">
        <v>45748</v>
      </c>
      <c r="C2390">
        <v>76024.509999999995</v>
      </c>
    </row>
    <row r="2391" spans="2:3">
      <c r="B2391" s="74">
        <v>45749</v>
      </c>
      <c r="C2391">
        <v>76617.440000000002</v>
      </c>
    </row>
    <row r="2392" spans="2:3">
      <c r="B2392" s="74">
        <v>45750</v>
      </c>
      <c r="C2392">
        <v>76295.360000000001</v>
      </c>
    </row>
    <row r="2393" spans="2:3">
      <c r="B2393" s="74">
        <v>45751</v>
      </c>
      <c r="C2393">
        <v>75364.69</v>
      </c>
    </row>
    <row r="2394" spans="2:3">
      <c r="B2394" s="74">
        <v>45754</v>
      </c>
      <c r="C2394">
        <v>73137.899999999994</v>
      </c>
    </row>
    <row r="2395" spans="2:3">
      <c r="B2395" s="74">
        <v>45755</v>
      </c>
      <c r="C2395">
        <v>74227.08</v>
      </c>
    </row>
    <row r="2396" spans="2:3">
      <c r="B2396" s="74">
        <v>45756</v>
      </c>
      <c r="C2396">
        <v>73847.149999999994</v>
      </c>
    </row>
    <row r="2397" spans="2:3">
      <c r="B2397" s="74">
        <v>45758</v>
      </c>
      <c r="C2397">
        <v>75157.259999999995</v>
      </c>
    </row>
    <row r="2398" spans="2:3">
      <c r="B2398" s="74">
        <v>45762</v>
      </c>
      <c r="C2398">
        <v>76734.89</v>
      </c>
    </row>
    <row r="2399" spans="2:3">
      <c r="B2399" s="74">
        <v>45763</v>
      </c>
      <c r="C2399">
        <v>77044.289999999994</v>
      </c>
    </row>
    <row r="2400" spans="2:3">
      <c r="B2400" s="74">
        <v>45764</v>
      </c>
      <c r="C2400">
        <v>78553.2</v>
      </c>
    </row>
    <row r="2401" spans="2:3">
      <c r="B2401" s="74">
        <v>45768</v>
      </c>
      <c r="C2401">
        <v>79408.5</v>
      </c>
    </row>
    <row r="2402" spans="2:3">
      <c r="B2402" s="74">
        <v>45769</v>
      </c>
      <c r="C2402">
        <v>79595.59</v>
      </c>
    </row>
    <row r="2403" spans="2:3">
      <c r="B2403" s="74">
        <v>45770</v>
      </c>
      <c r="C2403">
        <v>80116.490000000005</v>
      </c>
    </row>
    <row r="2404" spans="2:3">
      <c r="B2404" s="74">
        <v>45771</v>
      </c>
      <c r="C2404">
        <v>79801.429999999993</v>
      </c>
    </row>
    <row r="2405" spans="2:3">
      <c r="B2405" s="74">
        <v>45772</v>
      </c>
      <c r="C2405">
        <v>79212.53</v>
      </c>
    </row>
    <row r="2406" spans="2:3">
      <c r="B2406" s="74">
        <v>45775</v>
      </c>
      <c r="C2406">
        <v>80218.37</v>
      </c>
    </row>
    <row r="2407" spans="2:3">
      <c r="B2407" s="74">
        <v>45776</v>
      </c>
      <c r="C2407">
        <v>80288.38</v>
      </c>
    </row>
    <row r="2408" spans="2:3">
      <c r="B2408" s="74">
        <v>45777</v>
      </c>
      <c r="C2408">
        <v>80242.240000000005</v>
      </c>
    </row>
    <row r="2409" spans="2:3">
      <c r="B2409" s="74">
        <v>45779</v>
      </c>
      <c r="C2409">
        <v>80501.990000000005</v>
      </c>
    </row>
    <row r="2410" spans="2:3">
      <c r="B2410" s="74">
        <v>45782</v>
      </c>
      <c r="C2410">
        <v>80796.84</v>
      </c>
    </row>
    <row r="2411" spans="2:3">
      <c r="B2411" s="74">
        <v>45783</v>
      </c>
      <c r="C2411">
        <v>80641.070000000007</v>
      </c>
    </row>
    <row r="2412" spans="2:3">
      <c r="B2412" s="74">
        <v>45784</v>
      </c>
      <c r="C2412">
        <v>80746.78</v>
      </c>
    </row>
    <row r="2413" spans="2:3">
      <c r="B2413" s="74">
        <v>45785</v>
      </c>
      <c r="C2413">
        <v>80334.81</v>
      </c>
    </row>
    <row r="2414" spans="2:3">
      <c r="B2414" s="74">
        <v>45786</v>
      </c>
      <c r="C2414">
        <v>79454.47</v>
      </c>
    </row>
    <row r="2415" spans="2:3">
      <c r="B2415" s="74">
        <v>45789</v>
      </c>
      <c r="C2415">
        <v>82429.899999999994</v>
      </c>
    </row>
    <row r="2416" spans="2:3">
      <c r="B2416" s="74">
        <v>45790</v>
      </c>
      <c r="C2416">
        <v>81148.22</v>
      </c>
    </row>
    <row r="2417" spans="2:3">
      <c r="B2417" s="74">
        <v>45791</v>
      </c>
      <c r="C2417">
        <v>81330.559999999998</v>
      </c>
    </row>
    <row r="2418" spans="2:3">
      <c r="B2418" s="74">
        <v>45792</v>
      </c>
      <c r="C2418">
        <v>82530.740000000005</v>
      </c>
    </row>
    <row r="2419" spans="2:3">
      <c r="B2419" s="74">
        <v>45793</v>
      </c>
      <c r="C2419">
        <v>82330.59</v>
      </c>
    </row>
    <row r="2420" spans="2:3">
      <c r="B2420" s="74">
        <v>45796</v>
      </c>
      <c r="C2420">
        <v>82059.42</v>
      </c>
    </row>
    <row r="2421" spans="2:3">
      <c r="B2421" s="74">
        <v>45797</v>
      </c>
      <c r="C2421">
        <v>81186.44</v>
      </c>
    </row>
    <row r="2422" spans="2:3">
      <c r="B2422" s="74">
        <v>45798</v>
      </c>
      <c r="C2422">
        <v>81596.63</v>
      </c>
    </row>
    <row r="2423" spans="2:3">
      <c r="B2423" s="74">
        <v>45799</v>
      </c>
      <c r="C2423">
        <v>80951.990000000005</v>
      </c>
    </row>
    <row r="2424" spans="2:3">
      <c r="B2424" s="74">
        <v>45800</v>
      </c>
      <c r="C2424">
        <v>81721.08</v>
      </c>
    </row>
    <row r="2425" spans="2:3">
      <c r="B2425" s="74">
        <v>45803</v>
      </c>
      <c r="C2425">
        <v>82176.45</v>
      </c>
    </row>
    <row r="2426" spans="2:3">
      <c r="B2426" s="74">
        <v>45804</v>
      </c>
      <c r="C2426">
        <v>81551.63</v>
      </c>
    </row>
    <row r="2427" spans="2:3">
      <c r="B2427" s="74">
        <v>45805</v>
      </c>
      <c r="C2427">
        <v>81312.320000000007</v>
      </c>
    </row>
    <row r="2428" spans="2:3">
      <c r="B2428" s="74">
        <v>45806</v>
      </c>
      <c r="C2428">
        <v>81633.02</v>
      </c>
    </row>
    <row r="2429" spans="2:3">
      <c r="B2429" s="74">
        <v>45807</v>
      </c>
      <c r="C2429">
        <v>81451.009999999995</v>
      </c>
    </row>
    <row r="2430" spans="2:3">
      <c r="B2430" s="74">
        <v>45810</v>
      </c>
      <c r="C2430">
        <v>81373.75</v>
      </c>
    </row>
    <row r="2431" spans="2:3">
      <c r="B2431" s="74">
        <v>45811</v>
      </c>
      <c r="C2431">
        <v>80737.509999999995</v>
      </c>
    </row>
    <row r="2432" spans="2:3">
      <c r="B2432" s="74">
        <v>45812</v>
      </c>
      <c r="C2432">
        <v>80998.25</v>
      </c>
    </row>
    <row r="2433" spans="2:3">
      <c r="B2433" s="74">
        <v>45813</v>
      </c>
      <c r="C2433">
        <v>81442.039999999994</v>
      </c>
    </row>
    <row r="2434" spans="2:3">
      <c r="B2434" s="74">
        <v>45814</v>
      </c>
      <c r="C2434">
        <v>82188.990000000005</v>
      </c>
    </row>
    <row r="2435" spans="2:3">
      <c r="B2435" s="74">
        <v>45817</v>
      </c>
      <c r="C2435">
        <v>82445.210000000006</v>
      </c>
    </row>
    <row r="2436" spans="2:3">
      <c r="B2436" s="74">
        <v>45818</v>
      </c>
      <c r="C2436">
        <v>82391.72</v>
      </c>
    </row>
    <row r="2437" spans="2:3">
      <c r="B2437" s="74">
        <v>45819</v>
      </c>
      <c r="C2437">
        <v>82515.14</v>
      </c>
    </row>
    <row r="2438" spans="2:3">
      <c r="B2438" s="74">
        <v>45820</v>
      </c>
      <c r="C2438">
        <v>81691.98</v>
      </c>
    </row>
    <row r="2439" spans="2:3">
      <c r="B2439" s="74">
        <v>45821</v>
      </c>
      <c r="C2439">
        <v>81118.600000000006</v>
      </c>
    </row>
    <row r="2440" spans="2:3">
      <c r="B2440" s="74">
        <v>45824</v>
      </c>
      <c r="C2440">
        <v>81796.149999999994</v>
      </c>
    </row>
    <row r="2441" spans="2:3">
      <c r="B2441" s="74">
        <v>45825</v>
      </c>
      <c r="C2441">
        <v>81583.3</v>
      </c>
    </row>
    <row r="2442" spans="2:3">
      <c r="B2442" s="74">
        <v>45826</v>
      </c>
      <c r="C2442">
        <v>81444.66</v>
      </c>
    </row>
    <row r="2443" spans="2:3">
      <c r="B2443" s="74">
        <v>45827</v>
      </c>
      <c r="C2443">
        <v>81361.87</v>
      </c>
    </row>
    <row r="2444" spans="2:3">
      <c r="B2444" s="74">
        <v>45828</v>
      </c>
      <c r="C2444">
        <v>82408.17</v>
      </c>
    </row>
    <row r="2445" spans="2:3">
      <c r="B2445" s="74">
        <v>45831</v>
      </c>
      <c r="C2445">
        <v>81896.789999999994</v>
      </c>
    </row>
    <row r="2446" spans="2:3">
      <c r="B2446" s="74">
        <v>45832</v>
      </c>
      <c r="C2446">
        <v>82055.11</v>
      </c>
    </row>
    <row r="2447" spans="2:3">
      <c r="B2447" s="74">
        <v>45833</v>
      </c>
      <c r="C2447">
        <v>82755.509999999995</v>
      </c>
    </row>
    <row r="2448" spans="2:3">
      <c r="B2448" s="74">
        <v>45834</v>
      </c>
      <c r="C2448">
        <v>83755.87</v>
      </c>
    </row>
    <row r="2449" spans="2:3">
      <c r="B2449" s="74">
        <v>45835</v>
      </c>
      <c r="C2449">
        <v>84058.9</v>
      </c>
    </row>
    <row r="2450" spans="2:3">
      <c r="B2450" s="74">
        <v>45838</v>
      </c>
      <c r="C2450">
        <v>83606.460000000006</v>
      </c>
    </row>
    <row r="2451" spans="2:3">
      <c r="B2451" s="74">
        <v>45839</v>
      </c>
      <c r="C2451">
        <v>83697.289999999994</v>
      </c>
    </row>
    <row r="2452" spans="2:3">
      <c r="B2452" s="74">
        <v>45840</v>
      </c>
      <c r="C2452">
        <v>83409.69</v>
      </c>
    </row>
    <row r="2453" spans="2:3">
      <c r="B2453" s="74">
        <v>45841</v>
      </c>
      <c r="C2453">
        <v>83239.47</v>
      </c>
    </row>
    <row r="2454" spans="2:3">
      <c r="B2454" s="74">
        <v>45842</v>
      </c>
      <c r="C2454">
        <v>83432.89</v>
      </c>
    </row>
    <row r="2455" spans="2:3">
      <c r="B2455" s="74">
        <v>45845</v>
      </c>
      <c r="C2455">
        <v>83442.5</v>
      </c>
    </row>
    <row r="2456" spans="2:3">
      <c r="B2456" s="74">
        <v>45846</v>
      </c>
      <c r="C2456">
        <v>83712.509999999995</v>
      </c>
    </row>
    <row r="2457" spans="2:3">
      <c r="B2457" s="74">
        <v>45847</v>
      </c>
      <c r="C2457">
        <v>83536.08</v>
      </c>
    </row>
    <row r="2458" spans="2:3">
      <c r="B2458" s="74">
        <v>45848</v>
      </c>
      <c r="C2458">
        <v>83190.28</v>
      </c>
    </row>
    <row r="2459" spans="2:3">
      <c r="B2459" s="74">
        <v>45849</v>
      </c>
      <c r="C2459">
        <v>82500.47</v>
      </c>
    </row>
    <row r="2460" spans="2:3">
      <c r="B2460" s="74">
        <v>45852</v>
      </c>
      <c r="C2460">
        <v>82253.460000000006</v>
      </c>
    </row>
    <row r="2461" spans="2:3">
      <c r="B2461" s="74">
        <v>45853</v>
      </c>
      <c r="C2461">
        <v>82570.91</v>
      </c>
    </row>
    <row r="2462" spans="2:3">
      <c r="B2462" s="74">
        <v>45854</v>
      </c>
      <c r="C2462">
        <v>82634.48</v>
      </c>
    </row>
    <row r="2463" spans="2:3">
      <c r="B2463" s="74">
        <v>45855</v>
      </c>
      <c r="C2463">
        <v>82259.240000000005</v>
      </c>
    </row>
    <row r="2464" spans="2:3">
      <c r="B2464" s="74">
        <v>45856</v>
      </c>
      <c r="C2464">
        <v>81757.73</v>
      </c>
    </row>
    <row r="2465" spans="2:3">
      <c r="B2465" s="74">
        <v>45859</v>
      </c>
      <c r="C2465">
        <v>82200.34</v>
      </c>
    </row>
    <row r="2466" spans="2:3">
      <c r="B2466" s="74">
        <v>45860</v>
      </c>
      <c r="C2466">
        <v>82186.81</v>
      </c>
    </row>
    <row r="2467" spans="2:3">
      <c r="B2467" s="74">
        <v>45861</v>
      </c>
      <c r="C2467">
        <v>82726.64</v>
      </c>
    </row>
    <row r="2468" spans="2:3">
      <c r="B2468" s="74">
        <v>45862</v>
      </c>
      <c r="C2468">
        <v>82184.17</v>
      </c>
    </row>
    <row r="2469" spans="2:3">
      <c r="B2469" s="74">
        <v>45863</v>
      </c>
      <c r="C2469">
        <v>81463.09</v>
      </c>
    </row>
    <row r="2470" spans="2:3">
      <c r="B2470" s="74">
        <v>45866</v>
      </c>
      <c r="C2470">
        <v>80891.02</v>
      </c>
    </row>
    <row r="2471" spans="2:3">
      <c r="B2471" s="74">
        <v>45867</v>
      </c>
      <c r="C2471">
        <v>81337.95</v>
      </c>
    </row>
    <row r="2472" spans="2:3">
      <c r="B2472" s="74">
        <v>45868</v>
      </c>
      <c r="C2472">
        <v>81481.86</v>
      </c>
    </row>
    <row r="2473" spans="2:3">
      <c r="B2473" s="74">
        <v>45869</v>
      </c>
      <c r="C2473">
        <v>81185.58</v>
      </c>
    </row>
    <row r="2474" spans="2:3">
      <c r="B2474" s="74">
        <v>45870</v>
      </c>
      <c r="C2474">
        <v>80599.91</v>
      </c>
    </row>
    <row r="2475" spans="2:3">
      <c r="B2475" s="74">
        <v>45873</v>
      </c>
      <c r="C2475">
        <v>81018.720000000001</v>
      </c>
    </row>
    <row r="2476" spans="2:3">
      <c r="B2476" s="74">
        <v>45874</v>
      </c>
      <c r="C2476">
        <v>80710.25</v>
      </c>
    </row>
    <row r="2477" spans="2:3">
      <c r="B2477" s="74">
        <v>45875</v>
      </c>
      <c r="C2477">
        <v>80543.990000000005</v>
      </c>
    </row>
    <row r="2478" spans="2:3">
      <c r="B2478" s="74">
        <v>45876</v>
      </c>
      <c r="C2478">
        <v>80623.259999999995</v>
      </c>
    </row>
    <row r="2479" spans="2:3">
      <c r="B2479" s="74">
        <v>45877</v>
      </c>
      <c r="C2479">
        <v>79857.789999999994</v>
      </c>
    </row>
    <row r="2480" spans="2:3">
      <c r="B2480" s="74">
        <v>45880</v>
      </c>
      <c r="C2480">
        <v>80604.08</v>
      </c>
    </row>
    <row r="2481" spans="2:3">
      <c r="B2481" s="74">
        <v>45881</v>
      </c>
      <c r="C2481">
        <v>80235.59</v>
      </c>
    </row>
    <row r="2482" spans="2:3">
      <c r="B2482" s="74">
        <v>45882</v>
      </c>
      <c r="C2482">
        <v>80539.91</v>
      </c>
    </row>
    <row r="2483" spans="2:3">
      <c r="B2483" s="74">
        <v>45883</v>
      </c>
      <c r="C2483">
        <v>80597.66</v>
      </c>
    </row>
    <row r="2484" spans="2:3">
      <c r="B2484" s="74">
        <v>45887</v>
      </c>
      <c r="C2484">
        <v>81273.75</v>
      </c>
    </row>
    <row r="2485" spans="2:3">
      <c r="B2485" s="74">
        <v>45888</v>
      </c>
      <c r="C2485">
        <v>81644.39</v>
      </c>
    </row>
    <row r="2486" spans="2:3">
      <c r="B2486" s="74">
        <v>45889</v>
      </c>
      <c r="C2486">
        <v>81857.84</v>
      </c>
    </row>
  </sheetData>
  <mergeCells count="1">
    <mergeCell ref="B8:F8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R48"/>
  <sheetViews>
    <sheetView showGridLines="0" topLeftCell="A24" workbookViewId="0">
      <selection activeCell="L40" sqref="L40"/>
    </sheetView>
  </sheetViews>
  <sheetFormatPr defaultRowHeight="15"/>
  <cols>
    <col min="1" max="1" width="1.85546875" customWidth="1"/>
    <col min="11" max="11" width="21.5703125" bestFit="1" customWidth="1"/>
  </cols>
  <sheetData>
    <row r="6" spans="2:11" ht="15.75" thickBot="1">
      <c r="B6" s="222" t="s">
        <v>217</v>
      </c>
      <c r="C6" s="222"/>
      <c r="D6" s="222"/>
      <c r="E6" s="222"/>
      <c r="F6" s="222"/>
      <c r="G6" s="222"/>
      <c r="H6" s="222"/>
      <c r="I6" s="222"/>
      <c r="J6" s="222"/>
      <c r="K6" s="222"/>
    </row>
    <row r="9" spans="2:11">
      <c r="B9" s="55" t="s">
        <v>210</v>
      </c>
      <c r="C9" s="56" t="s">
        <v>212</v>
      </c>
      <c r="D9" s="57" t="s">
        <v>213</v>
      </c>
      <c r="F9" s="58" t="s">
        <v>214</v>
      </c>
      <c r="G9" s="57" t="s">
        <v>213</v>
      </c>
    </row>
    <row r="10" spans="2:11" ht="15.75" thickBot="1">
      <c r="B10" s="59"/>
      <c r="C10" s="60" t="s">
        <v>215</v>
      </c>
      <c r="D10" s="61" t="s">
        <v>216</v>
      </c>
      <c r="F10" s="62" t="s">
        <v>215</v>
      </c>
      <c r="G10" s="61" t="s">
        <v>216</v>
      </c>
    </row>
    <row r="11" spans="2:11" ht="15.75" thickBot="1">
      <c r="B11" s="63">
        <v>44774</v>
      </c>
      <c r="C11" s="64">
        <v>59537.07</v>
      </c>
      <c r="F11" s="66">
        <v>54.25</v>
      </c>
    </row>
    <row r="12" spans="2:11">
      <c r="B12" s="63">
        <v>44805</v>
      </c>
      <c r="C12" s="64">
        <v>57426.92</v>
      </c>
      <c r="D12" s="65">
        <f>C12/C11-1</f>
        <v>-3.5442624233943731E-2</v>
      </c>
      <c r="F12" s="66">
        <v>62</v>
      </c>
      <c r="G12" s="65">
        <f>F12/F11-1</f>
        <v>0.14285714285714279</v>
      </c>
      <c r="J12" s="239" t="s">
        <v>217</v>
      </c>
      <c r="K12" s="240">
        <f>SLOPE(G12:G47,D12:D47)</f>
        <v>0.44211359854280846</v>
      </c>
    </row>
    <row r="13" spans="2:11">
      <c r="B13" s="63">
        <v>44835</v>
      </c>
      <c r="C13" s="64">
        <v>60746.59</v>
      </c>
      <c r="D13" s="65">
        <f t="shared" ref="D13:D47" si="0">C13/C12-1</f>
        <v>5.7806861311733293E-2</v>
      </c>
      <c r="F13" s="66">
        <v>59.35</v>
      </c>
      <c r="G13" s="65">
        <f t="shared" ref="G13:G47" si="1">F13/F12-1</f>
        <v>-4.2741935483870952E-2</v>
      </c>
      <c r="J13" s="241" t="s">
        <v>217</v>
      </c>
      <c r="K13" s="242">
        <f>_xlfn.COVARIANCE.S(G12:G47,D12:D47)/_xlfn.VAR.S(D12:D47)</f>
        <v>0.44211359854280835</v>
      </c>
    </row>
    <row r="14" spans="2:11" ht="15.75" thickBot="1">
      <c r="B14" s="63">
        <v>44866</v>
      </c>
      <c r="C14" s="64">
        <v>63099.65</v>
      </c>
      <c r="D14" s="65">
        <f t="shared" si="0"/>
        <v>3.8735672241026364E-2</v>
      </c>
      <c r="F14" s="66">
        <v>56.75</v>
      </c>
      <c r="G14" s="65">
        <f t="shared" si="1"/>
        <v>-4.3807919123841632E-2</v>
      </c>
      <c r="J14" s="243" t="s">
        <v>217</v>
      </c>
      <c r="K14" s="244">
        <f>K34</f>
        <v>0.44211359854280863</v>
      </c>
    </row>
    <row r="15" spans="2:11">
      <c r="B15" s="63">
        <v>44896</v>
      </c>
      <c r="C15" s="64">
        <v>60840.74</v>
      </c>
      <c r="D15" s="65">
        <f t="shared" si="0"/>
        <v>-3.5799089218403024E-2</v>
      </c>
      <c r="F15" s="66">
        <v>58.9</v>
      </c>
      <c r="G15" s="65">
        <f t="shared" si="1"/>
        <v>3.7885462555065974E-2</v>
      </c>
    </row>
    <row r="16" spans="2:11" ht="15.75" thickBot="1">
      <c r="B16" s="63">
        <v>44927</v>
      </c>
      <c r="C16" s="64">
        <v>59549.9</v>
      </c>
      <c r="D16" s="65">
        <f t="shared" si="0"/>
        <v>-2.1216704464804281E-2</v>
      </c>
      <c r="F16" s="66">
        <v>62.75</v>
      </c>
      <c r="G16" s="65">
        <f t="shared" si="1"/>
        <v>6.5365025466893156E-2</v>
      </c>
    </row>
    <row r="17" spans="2:18">
      <c r="B17" s="63">
        <v>44958</v>
      </c>
      <c r="C17" s="64">
        <v>58962.12</v>
      </c>
      <c r="D17" s="65">
        <f t="shared" si="0"/>
        <v>-9.8703776160833367E-3</v>
      </c>
      <c r="F17" s="66">
        <v>54.45</v>
      </c>
      <c r="G17" s="65">
        <f t="shared" si="1"/>
        <v>-0.13227091633466126</v>
      </c>
      <c r="J17" s="71" t="s">
        <v>218</v>
      </c>
      <c r="K17" s="245"/>
      <c r="L17" s="245"/>
      <c r="M17" s="245"/>
      <c r="N17" s="245"/>
      <c r="O17" s="245"/>
      <c r="P17" s="245"/>
      <c r="Q17" s="245"/>
      <c r="R17" s="246"/>
    </row>
    <row r="18" spans="2:18" ht="15.75" thickBot="1">
      <c r="B18" s="63">
        <v>44986</v>
      </c>
      <c r="C18" s="64">
        <v>58991.519999999997</v>
      </c>
      <c r="D18" s="65">
        <f t="shared" si="0"/>
        <v>4.9862521903887291E-4</v>
      </c>
      <c r="F18" s="66">
        <v>50.32</v>
      </c>
      <c r="G18" s="65">
        <f t="shared" si="1"/>
        <v>-7.5849403122130399E-2</v>
      </c>
      <c r="J18" s="72"/>
      <c r="K18" s="48"/>
      <c r="L18" s="48"/>
      <c r="M18" s="48"/>
      <c r="N18" s="48"/>
      <c r="O18" s="48"/>
      <c r="P18" s="48"/>
      <c r="Q18" s="48"/>
      <c r="R18" s="227"/>
    </row>
    <row r="19" spans="2:18">
      <c r="B19" s="63">
        <v>45017</v>
      </c>
      <c r="C19" s="64">
        <v>61112.44</v>
      </c>
      <c r="D19" s="65">
        <f t="shared" si="0"/>
        <v>3.5952964087041739E-2</v>
      </c>
      <c r="F19" s="66">
        <v>51.63</v>
      </c>
      <c r="G19" s="65">
        <f t="shared" si="1"/>
        <v>2.603338632750396E-2</v>
      </c>
      <c r="J19" s="247" t="s">
        <v>219</v>
      </c>
      <c r="K19" s="70"/>
      <c r="L19" s="48"/>
      <c r="M19" s="48"/>
      <c r="N19" s="48"/>
      <c r="O19" s="48"/>
      <c r="P19" s="48"/>
      <c r="Q19" s="48"/>
      <c r="R19" s="227"/>
    </row>
    <row r="20" spans="2:18">
      <c r="B20" s="63">
        <v>45047</v>
      </c>
      <c r="C20" s="64">
        <v>62622.239999999998</v>
      </c>
      <c r="D20" s="65">
        <f t="shared" si="0"/>
        <v>2.4705280954254061E-2</v>
      </c>
      <c r="F20" s="66">
        <v>54.02</v>
      </c>
      <c r="G20" s="65">
        <f t="shared" si="1"/>
        <v>4.629091613403058E-2</v>
      </c>
      <c r="J20" s="248" t="s">
        <v>220</v>
      </c>
      <c r="K20" s="67">
        <v>0.11054372091584869</v>
      </c>
      <c r="L20" s="48"/>
      <c r="M20" s="48"/>
      <c r="N20" s="48"/>
      <c r="O20" s="48"/>
      <c r="P20" s="48"/>
      <c r="Q20" s="48"/>
      <c r="R20" s="227"/>
    </row>
    <row r="21" spans="2:18">
      <c r="B21" s="63">
        <v>45078</v>
      </c>
      <c r="C21" s="64">
        <v>64718.559999999998</v>
      </c>
      <c r="D21" s="65">
        <f t="shared" si="0"/>
        <v>3.3475646990589913E-2</v>
      </c>
      <c r="F21" s="66">
        <v>63.18</v>
      </c>
      <c r="G21" s="65">
        <f t="shared" si="1"/>
        <v>0.16956682710107351</v>
      </c>
      <c r="J21" s="248" t="s">
        <v>221</v>
      </c>
      <c r="K21" s="67">
        <v>1.2219914233921042E-2</v>
      </c>
      <c r="L21" s="48"/>
      <c r="M21" s="48"/>
      <c r="N21" s="48"/>
      <c r="O21" s="48"/>
      <c r="P21" s="48"/>
      <c r="Q21" s="48"/>
      <c r="R21" s="227"/>
    </row>
    <row r="22" spans="2:18">
      <c r="B22" s="63">
        <v>45108</v>
      </c>
      <c r="C22" s="64">
        <v>66527.67</v>
      </c>
      <c r="D22" s="65">
        <f t="shared" si="0"/>
        <v>2.7953495875062684E-2</v>
      </c>
      <c r="F22" s="66">
        <v>64.97</v>
      </c>
      <c r="G22" s="65">
        <f t="shared" si="1"/>
        <v>2.8331750553972856E-2</v>
      </c>
      <c r="J22" s="248" t="s">
        <v>222</v>
      </c>
      <c r="K22" s="67">
        <v>-1.6832441229787162E-2</v>
      </c>
      <c r="L22" s="48"/>
      <c r="M22" s="48"/>
      <c r="N22" s="48"/>
      <c r="O22" s="48"/>
      <c r="P22" s="48"/>
      <c r="Q22" s="48"/>
      <c r="R22" s="227"/>
    </row>
    <row r="23" spans="2:18">
      <c r="B23" s="63">
        <v>45139</v>
      </c>
      <c r="C23" s="64">
        <v>64831.41</v>
      </c>
      <c r="D23" s="65">
        <f t="shared" si="0"/>
        <v>-2.5497060095445945E-2</v>
      </c>
      <c r="F23" s="66">
        <v>70.430000000000007</v>
      </c>
      <c r="G23" s="65">
        <f t="shared" si="1"/>
        <v>8.4038787132522774E-2</v>
      </c>
      <c r="J23" s="248" t="s">
        <v>223</v>
      </c>
      <c r="K23" s="67">
        <v>0.13530529970635077</v>
      </c>
      <c r="L23" s="48"/>
      <c r="M23" s="48"/>
      <c r="N23" s="48"/>
      <c r="O23" s="48"/>
      <c r="P23" s="48"/>
      <c r="Q23" s="48"/>
      <c r="R23" s="227"/>
    </row>
    <row r="24" spans="2:18" ht="15.75" thickBot="1">
      <c r="B24" s="63">
        <v>45170</v>
      </c>
      <c r="C24" s="64">
        <v>65828.41</v>
      </c>
      <c r="D24" s="65">
        <f t="shared" si="0"/>
        <v>1.5378348242001794E-2</v>
      </c>
      <c r="F24" s="66">
        <v>71.63</v>
      </c>
      <c r="G24" s="65">
        <f t="shared" si="1"/>
        <v>1.7038193951441016E-2</v>
      </c>
      <c r="J24" s="249" t="s">
        <v>224</v>
      </c>
      <c r="K24" s="68">
        <v>36</v>
      </c>
      <c r="L24" s="48"/>
      <c r="M24" s="48"/>
      <c r="N24" s="48"/>
      <c r="O24" s="48"/>
      <c r="P24" s="48"/>
      <c r="Q24" s="48"/>
      <c r="R24" s="227"/>
    </row>
    <row r="25" spans="2:18">
      <c r="B25" s="63">
        <v>45200</v>
      </c>
      <c r="C25" s="64">
        <v>63874.93</v>
      </c>
      <c r="D25" s="65">
        <f t="shared" si="0"/>
        <v>-2.9675333188208586E-2</v>
      </c>
      <c r="F25" s="66">
        <v>61.42</v>
      </c>
      <c r="G25" s="65">
        <f t="shared" si="1"/>
        <v>-0.14253804271953086</v>
      </c>
      <c r="J25" s="72"/>
      <c r="K25" s="48"/>
      <c r="L25" s="48"/>
      <c r="M25" s="48"/>
      <c r="N25" s="48"/>
      <c r="O25" s="48"/>
      <c r="P25" s="48"/>
      <c r="Q25" s="48"/>
      <c r="R25" s="227"/>
    </row>
    <row r="26" spans="2:18" ht="15.75" thickBot="1">
      <c r="B26" s="63">
        <v>45231</v>
      </c>
      <c r="C26" s="64">
        <v>66988.44</v>
      </c>
      <c r="D26" s="65">
        <f t="shared" si="0"/>
        <v>4.8743849895412916E-2</v>
      </c>
      <c r="F26" s="66">
        <v>65.12</v>
      </c>
      <c r="G26" s="65">
        <f t="shared" si="1"/>
        <v>6.024096385542177E-2</v>
      </c>
      <c r="J26" s="72" t="s">
        <v>225</v>
      </c>
      <c r="K26" s="48"/>
      <c r="L26" s="48"/>
      <c r="M26" s="48"/>
      <c r="N26" s="48"/>
      <c r="O26" s="48"/>
      <c r="P26" s="48"/>
      <c r="Q26" s="48"/>
      <c r="R26" s="227"/>
    </row>
    <row r="27" spans="2:18">
      <c r="B27" s="63">
        <v>45261</v>
      </c>
      <c r="C27" s="64">
        <v>72240.259999999995</v>
      </c>
      <c r="D27" s="65">
        <f t="shared" si="0"/>
        <v>7.8398899869887906E-2</v>
      </c>
      <c r="F27" s="66">
        <v>67.86</v>
      </c>
      <c r="G27" s="65">
        <f t="shared" si="1"/>
        <v>4.2076167076166904E-2</v>
      </c>
      <c r="J27" s="250"/>
      <c r="K27" s="69" t="s">
        <v>229</v>
      </c>
      <c r="L27" s="69" t="s">
        <v>230</v>
      </c>
      <c r="M27" s="69" t="s">
        <v>231</v>
      </c>
      <c r="N27" s="69" t="s">
        <v>232</v>
      </c>
      <c r="O27" s="69" t="s">
        <v>233</v>
      </c>
      <c r="P27" s="48"/>
      <c r="Q27" s="48"/>
      <c r="R27" s="227"/>
    </row>
    <row r="28" spans="2:18">
      <c r="B28" s="63">
        <v>45292</v>
      </c>
      <c r="C28" s="64">
        <v>71752.11</v>
      </c>
      <c r="D28" s="65">
        <f t="shared" si="0"/>
        <v>-6.7573123352545617E-3</v>
      </c>
      <c r="F28" s="66">
        <v>79.69</v>
      </c>
      <c r="G28" s="65">
        <f t="shared" si="1"/>
        <v>0.17432950191570873</v>
      </c>
      <c r="J28" s="248" t="s">
        <v>226</v>
      </c>
      <c r="K28" s="67">
        <v>1</v>
      </c>
      <c r="L28" s="67">
        <v>7.7004556469338903E-3</v>
      </c>
      <c r="M28" s="67">
        <v>7.7004556469338903E-3</v>
      </c>
      <c r="N28" s="67">
        <v>0.42061698746547377</v>
      </c>
      <c r="O28" s="67">
        <v>0.52098594142754218</v>
      </c>
      <c r="P28" s="48"/>
      <c r="Q28" s="48"/>
      <c r="R28" s="227"/>
    </row>
    <row r="29" spans="2:18">
      <c r="B29" s="63">
        <v>45323</v>
      </c>
      <c r="C29" s="64">
        <v>72500.3</v>
      </c>
      <c r="D29" s="65">
        <f t="shared" si="0"/>
        <v>1.0427428545306983E-2</v>
      </c>
      <c r="F29" s="66">
        <v>76.03</v>
      </c>
      <c r="G29" s="65">
        <f t="shared" si="1"/>
        <v>-4.5927970887187808E-2</v>
      </c>
      <c r="J29" s="248" t="s">
        <v>227</v>
      </c>
      <c r="K29" s="67">
        <v>34</v>
      </c>
      <c r="L29" s="67">
        <v>0.62245582037326375</v>
      </c>
      <c r="M29" s="67">
        <v>1.8307524128625404E-2</v>
      </c>
      <c r="N29" s="67"/>
      <c r="O29" s="67"/>
      <c r="P29" s="48"/>
      <c r="Q29" s="48"/>
      <c r="R29" s="227"/>
    </row>
    <row r="30" spans="2:18" ht="15.75" thickBot="1">
      <c r="B30" s="63">
        <v>45352</v>
      </c>
      <c r="C30" s="64">
        <v>73651.350000000006</v>
      </c>
      <c r="D30" s="65">
        <f t="shared" si="0"/>
        <v>1.5876486028333803E-2</v>
      </c>
      <c r="F30" s="66">
        <v>66.39</v>
      </c>
      <c r="G30" s="65">
        <f t="shared" si="1"/>
        <v>-0.12679205576746022</v>
      </c>
      <c r="J30" s="249" t="s">
        <v>72</v>
      </c>
      <c r="K30" s="68">
        <v>35</v>
      </c>
      <c r="L30" s="68">
        <v>0.63015627602019764</v>
      </c>
      <c r="M30" s="68"/>
      <c r="N30" s="68"/>
      <c r="O30" s="68"/>
      <c r="P30" s="48"/>
      <c r="Q30" s="48"/>
      <c r="R30" s="227"/>
    </row>
    <row r="31" spans="2:18" ht="15.75" thickBot="1">
      <c r="B31" s="63">
        <v>45383</v>
      </c>
      <c r="C31" s="64">
        <v>74482.78</v>
      </c>
      <c r="D31" s="65">
        <f t="shared" si="0"/>
        <v>1.1288727226316908E-2</v>
      </c>
      <c r="F31" s="66">
        <v>69.86</v>
      </c>
      <c r="G31" s="65">
        <f t="shared" si="1"/>
        <v>5.2266907666817186E-2</v>
      </c>
      <c r="J31" s="72"/>
      <c r="K31" s="48"/>
      <c r="L31" s="48"/>
      <c r="M31" s="48"/>
      <c r="N31" s="48"/>
      <c r="O31" s="48"/>
      <c r="P31" s="48"/>
      <c r="Q31" s="48"/>
      <c r="R31" s="227"/>
    </row>
    <row r="32" spans="2:18">
      <c r="B32" s="63">
        <v>45413</v>
      </c>
      <c r="C32" s="64">
        <v>73961.31</v>
      </c>
      <c r="D32" s="65">
        <f t="shared" si="0"/>
        <v>-7.0012155829843881E-3</v>
      </c>
      <c r="F32" s="66">
        <v>69.900000000000006</v>
      </c>
      <c r="G32" s="65">
        <f t="shared" si="1"/>
        <v>5.7257371886643149E-4</v>
      </c>
      <c r="J32" s="250"/>
      <c r="K32" s="69" t="s">
        <v>234</v>
      </c>
      <c r="L32" s="69" t="s">
        <v>223</v>
      </c>
      <c r="M32" s="69" t="s">
        <v>235</v>
      </c>
      <c r="N32" s="69" t="s">
        <v>236</v>
      </c>
      <c r="O32" s="69" t="s">
        <v>237</v>
      </c>
      <c r="P32" s="69" t="s">
        <v>238</v>
      </c>
      <c r="Q32" s="69" t="s">
        <v>239</v>
      </c>
      <c r="R32" s="251" t="s">
        <v>240</v>
      </c>
    </row>
    <row r="33" spans="2:18">
      <c r="B33" s="63">
        <v>45444</v>
      </c>
      <c r="C33" s="64">
        <v>79032.73</v>
      </c>
      <c r="D33" s="65">
        <f t="shared" si="0"/>
        <v>6.8568552936663751E-2</v>
      </c>
      <c r="F33" s="66">
        <v>83.47</v>
      </c>
      <c r="G33" s="65">
        <f t="shared" si="1"/>
        <v>0.19413447782546478</v>
      </c>
      <c r="J33" s="248" t="s">
        <v>228</v>
      </c>
      <c r="K33" s="67">
        <v>4.2976447479775103E-2</v>
      </c>
      <c r="L33" s="67">
        <v>2.3434957422105475E-2</v>
      </c>
      <c r="M33" s="67">
        <v>1.8338607024409075</v>
      </c>
      <c r="N33" s="67">
        <v>7.5440279958713552E-2</v>
      </c>
      <c r="O33" s="67">
        <v>-4.6491160673932733E-3</v>
      </c>
      <c r="P33" s="67">
        <v>9.0602011026943485E-2</v>
      </c>
      <c r="Q33" s="67">
        <v>-4.6491160673932733E-3</v>
      </c>
      <c r="R33" s="252">
        <v>9.0602011026943485E-2</v>
      </c>
    </row>
    <row r="34" spans="2:18" ht="15.75" thickBot="1">
      <c r="B34" s="63">
        <v>45474</v>
      </c>
      <c r="C34" s="64">
        <v>81741.34</v>
      </c>
      <c r="D34" s="65">
        <f t="shared" si="0"/>
        <v>3.427200351044446E-2</v>
      </c>
      <c r="F34" s="66">
        <v>91.88</v>
      </c>
      <c r="G34" s="65">
        <f t="shared" si="1"/>
        <v>0.10075476219000845</v>
      </c>
      <c r="J34" s="249" t="s">
        <v>241</v>
      </c>
      <c r="K34" s="68">
        <v>0.44211359854280863</v>
      </c>
      <c r="L34" s="68">
        <v>0.68169556549167554</v>
      </c>
      <c r="M34" s="68">
        <v>0.64854991131405193</v>
      </c>
      <c r="N34" s="68">
        <v>0.52098594142754684</v>
      </c>
      <c r="O34" s="68">
        <v>-0.94325847145388653</v>
      </c>
      <c r="P34" s="68">
        <v>1.8274856685395038</v>
      </c>
      <c r="Q34" s="68">
        <v>-0.94325847145388653</v>
      </c>
      <c r="R34" s="253">
        <v>1.8274856685395038</v>
      </c>
    </row>
    <row r="35" spans="2:18">
      <c r="B35" s="63">
        <v>45505</v>
      </c>
      <c r="C35" s="64">
        <v>82365.77</v>
      </c>
      <c r="D35" s="65">
        <f t="shared" si="0"/>
        <v>7.6390966920778514E-3</v>
      </c>
      <c r="F35" s="66">
        <v>83.33</v>
      </c>
      <c r="G35" s="65">
        <f t="shared" si="1"/>
        <v>-9.305616020896823E-2</v>
      </c>
    </row>
    <row r="36" spans="2:18">
      <c r="B36" s="63">
        <v>45536</v>
      </c>
      <c r="C36" s="64">
        <v>84299.78</v>
      </c>
      <c r="D36" s="65">
        <f t="shared" si="0"/>
        <v>2.3480749345268004E-2</v>
      </c>
      <c r="F36" s="66">
        <v>82.87</v>
      </c>
      <c r="G36" s="65">
        <f t="shared" si="1"/>
        <v>-5.520220808832299E-3</v>
      </c>
    </row>
    <row r="37" spans="2:18">
      <c r="B37" s="63">
        <v>45566</v>
      </c>
      <c r="C37" s="64">
        <v>79389.06</v>
      </c>
      <c r="D37" s="65">
        <f t="shared" si="0"/>
        <v>-5.8253058311658723E-2</v>
      </c>
      <c r="F37" s="66">
        <v>104.61</v>
      </c>
      <c r="G37" s="65">
        <f t="shared" si="1"/>
        <v>0.26233860263062625</v>
      </c>
    </row>
    <row r="38" spans="2:18">
      <c r="B38" s="63">
        <v>45597</v>
      </c>
      <c r="C38" s="64">
        <v>79802.789999999994</v>
      </c>
      <c r="D38" s="65">
        <f t="shared" si="0"/>
        <v>5.2114233371700625E-3</v>
      </c>
      <c r="F38" s="66">
        <v>111.1</v>
      </c>
      <c r="G38" s="65">
        <f t="shared" si="1"/>
        <v>6.2039957939011625E-2</v>
      </c>
    </row>
    <row r="39" spans="2:18">
      <c r="B39" s="63">
        <v>45627</v>
      </c>
      <c r="C39" s="64">
        <v>78139.009999999995</v>
      </c>
      <c r="D39" s="65">
        <f t="shared" si="0"/>
        <v>-2.0848644514809611E-2</v>
      </c>
      <c r="F39" s="66">
        <v>110.2</v>
      </c>
      <c r="G39" s="65">
        <f t="shared" si="1"/>
        <v>-8.1008100810080474E-3</v>
      </c>
    </row>
    <row r="40" spans="2:18">
      <c r="B40" s="63">
        <v>45658</v>
      </c>
      <c r="C40" s="64">
        <v>77500.570000000007</v>
      </c>
      <c r="D40" s="65">
        <f t="shared" si="0"/>
        <v>-8.1705667885987321E-3</v>
      </c>
      <c r="F40" s="66">
        <v>112.8</v>
      </c>
      <c r="G40" s="65">
        <f t="shared" si="1"/>
        <v>2.3593466424682408E-2</v>
      </c>
    </row>
    <row r="41" spans="2:18">
      <c r="B41" s="63">
        <v>45689</v>
      </c>
      <c r="C41" s="64">
        <v>73198.100000000006</v>
      </c>
      <c r="D41" s="65">
        <f t="shared" si="0"/>
        <v>-5.5515333629159169E-2</v>
      </c>
      <c r="F41" s="66">
        <v>86.85</v>
      </c>
      <c r="G41" s="65">
        <f t="shared" si="1"/>
        <v>-0.23005319148936176</v>
      </c>
    </row>
    <row r="42" spans="2:18">
      <c r="B42" s="63">
        <v>45717</v>
      </c>
      <c r="C42" s="64">
        <v>77414.92</v>
      </c>
      <c r="D42" s="65">
        <f t="shared" si="0"/>
        <v>5.760832589916931E-2</v>
      </c>
      <c r="F42" s="66">
        <v>103.29</v>
      </c>
      <c r="G42" s="65">
        <f t="shared" si="1"/>
        <v>0.18929188255613139</v>
      </c>
    </row>
    <row r="43" spans="2:18">
      <c r="B43" s="63">
        <v>45748</v>
      </c>
      <c r="C43" s="64">
        <v>80242.240000000005</v>
      </c>
      <c r="D43" s="65">
        <f t="shared" si="0"/>
        <v>3.652164208139741E-2</v>
      </c>
      <c r="F43" s="66">
        <v>143.69999999999999</v>
      </c>
      <c r="G43" s="65">
        <f t="shared" si="1"/>
        <v>0.39122857972698211</v>
      </c>
    </row>
    <row r="44" spans="2:18">
      <c r="B44" s="63">
        <v>45778</v>
      </c>
      <c r="C44" s="64">
        <v>81451.009999999995</v>
      </c>
      <c r="D44" s="65">
        <f t="shared" si="0"/>
        <v>1.5064011174164449E-2</v>
      </c>
      <c r="F44" s="66">
        <v>173.45</v>
      </c>
      <c r="G44" s="65">
        <f t="shared" si="1"/>
        <v>0.20702853166318724</v>
      </c>
    </row>
    <row r="45" spans="2:18">
      <c r="B45" s="63">
        <v>45809</v>
      </c>
      <c r="C45" s="64">
        <v>83606.460000000006</v>
      </c>
      <c r="D45" s="65">
        <f t="shared" si="0"/>
        <v>2.6463146374735125E-2</v>
      </c>
      <c r="F45" s="66">
        <v>160</v>
      </c>
      <c r="G45" s="65">
        <f t="shared" si="1"/>
        <v>-7.7543960795618316E-2</v>
      </c>
    </row>
    <row r="46" spans="2:18">
      <c r="B46" s="63">
        <v>45839</v>
      </c>
      <c r="C46" s="64">
        <v>81185.58</v>
      </c>
      <c r="D46" s="65">
        <f t="shared" si="0"/>
        <v>-2.89556572542361E-2</v>
      </c>
      <c r="F46" s="66">
        <v>215.35</v>
      </c>
      <c r="G46" s="65">
        <f t="shared" si="1"/>
        <v>0.34593750000000001</v>
      </c>
    </row>
    <row r="47" spans="2:18">
      <c r="B47" s="63">
        <v>45870</v>
      </c>
      <c r="C47" s="64">
        <v>81644.39</v>
      </c>
      <c r="D47" s="65">
        <f t="shared" si="0"/>
        <v>5.6513730640341819E-3</v>
      </c>
      <c r="F47" s="66">
        <v>214.7</v>
      </c>
      <c r="G47" s="65">
        <f t="shared" si="1"/>
        <v>-3.0183422335733345E-3</v>
      </c>
    </row>
    <row r="48" spans="2:18">
      <c r="D48" s="65"/>
    </row>
  </sheetData>
  <mergeCells count="2">
    <mergeCell ref="B9:B10"/>
    <mergeCell ref="B6:K6"/>
  </mergeCells>
  <conditionalFormatting sqref="D12:D4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{75AF06A8-DD00-4625-ABDD-1B38E9A2C912}</x14:id>
        </ext>
      </extLst>
    </cfRule>
  </conditionalFormatting>
  <conditionalFormatting sqref="D12:D4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{1655EF44-3DD3-4B29-8718-6C93472D5974}</x14:id>
        </ext>
      </extLst>
    </cfRule>
  </conditionalFormatting>
  <conditionalFormatting sqref="G12:G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{60353CFB-F23E-43C0-A799-163184D416A5}</x14:id>
        </ext>
      </extLst>
    </cfRule>
  </conditionalFormatting>
  <conditionalFormatting sqref="G12:G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{18B917FD-452A-464A-B09C-1B077ACD19F0}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AF06A8-DD00-4625-ABDD-1B38E9A2C9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D12:D48</xm:sqref>
        </x14:conditionalFormatting>
        <x14:conditionalFormatting xmlns:xm="http://schemas.microsoft.com/office/excel/2006/main">
          <x14:cfRule type="dataBar" id="{1655EF44-3DD3-4B29-8718-6C93472D59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D12:D48</xm:sqref>
        </x14:conditionalFormatting>
        <x14:conditionalFormatting xmlns:xm="http://schemas.microsoft.com/office/excel/2006/main">
          <x14:cfRule type="dataBar" id="{60353CFB-F23E-43C0-A799-163184D416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G12:G47</xm:sqref>
        </x14:conditionalFormatting>
        <x14:conditionalFormatting xmlns:xm="http://schemas.microsoft.com/office/excel/2006/main">
          <x14:cfRule type="dataBar" id="{18B917FD-452A-464A-B09C-1B077ACD19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G12:G47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P20"/>
  <sheetViews>
    <sheetView showGridLines="0" workbookViewId="0">
      <selection activeCell="C1" sqref="C1"/>
    </sheetView>
  </sheetViews>
  <sheetFormatPr defaultRowHeight="15"/>
  <cols>
    <col min="1" max="1" width="1.5703125" customWidth="1"/>
    <col min="3" max="3" width="17.28515625" bestFit="1" customWidth="1"/>
  </cols>
  <sheetData>
    <row r="6" spans="3:16" ht="15.75" thickBot="1"/>
    <row r="7" spans="3:16">
      <c r="C7" s="224" t="s">
        <v>348</v>
      </c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6"/>
    </row>
    <row r="8" spans="3:16">
      <c r="C8" s="72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227"/>
    </row>
    <row r="9" spans="3:16">
      <c r="C9" s="72" t="s">
        <v>244</v>
      </c>
      <c r="D9" s="48" t="s">
        <v>245</v>
      </c>
      <c r="E9" s="48" t="s">
        <v>246</v>
      </c>
      <c r="F9" s="48" t="s">
        <v>247</v>
      </c>
      <c r="G9" s="48" t="s">
        <v>248</v>
      </c>
      <c r="H9" s="48" t="s">
        <v>249</v>
      </c>
      <c r="I9" s="48" t="s">
        <v>250</v>
      </c>
      <c r="J9" s="48" t="s">
        <v>251</v>
      </c>
      <c r="K9" s="48" t="s">
        <v>252</v>
      </c>
      <c r="L9" s="48" t="s">
        <v>253</v>
      </c>
      <c r="M9" s="48" t="s">
        <v>254</v>
      </c>
      <c r="N9" s="48" t="s">
        <v>255</v>
      </c>
      <c r="O9" s="48" t="s">
        <v>256</v>
      </c>
      <c r="P9" s="227" t="s">
        <v>257</v>
      </c>
    </row>
    <row r="10" spans="3:16">
      <c r="C10" s="72" t="s">
        <v>258</v>
      </c>
      <c r="D10" s="48">
        <v>2466.1999999999998</v>
      </c>
      <c r="E10" s="48">
        <v>29.48</v>
      </c>
      <c r="F10" s="48">
        <v>780.38</v>
      </c>
      <c r="G10" s="48">
        <v>3538.34</v>
      </c>
      <c r="H10" s="48">
        <v>2054.71</v>
      </c>
      <c r="I10" s="48">
        <v>24085.24</v>
      </c>
      <c r="J10" s="48">
        <v>290.39</v>
      </c>
      <c r="K10" s="48">
        <v>2545.58</v>
      </c>
      <c r="L10" s="48">
        <v>21.49</v>
      </c>
      <c r="M10" s="48">
        <v>69954.990000000005</v>
      </c>
      <c r="N10" s="48">
        <v>72712.95</v>
      </c>
      <c r="O10" s="48">
        <v>736.01</v>
      </c>
      <c r="P10" s="227">
        <v>36.65</v>
      </c>
    </row>
    <row r="11" spans="3:16">
      <c r="C11" s="72" t="s">
        <v>259</v>
      </c>
      <c r="D11" s="48">
        <v>1018.5</v>
      </c>
      <c r="E11" s="48">
        <v>64.709999999999994</v>
      </c>
      <c r="F11" s="48">
        <v>1804.63</v>
      </c>
      <c r="G11" s="48">
        <v>2777.37</v>
      </c>
      <c r="H11" s="48">
        <v>41.23</v>
      </c>
      <c r="I11" s="48">
        <v>4050.91</v>
      </c>
      <c r="J11" s="48">
        <v>36.619999999999997</v>
      </c>
      <c r="K11" s="48">
        <v>274.67</v>
      </c>
      <c r="L11" s="48">
        <v>165.52</v>
      </c>
      <c r="M11" s="48">
        <v>64931.54</v>
      </c>
      <c r="N11" s="48">
        <v>65904.28</v>
      </c>
      <c r="O11" s="48">
        <v>30.97</v>
      </c>
      <c r="P11" s="227">
        <v>813.22</v>
      </c>
    </row>
    <row r="12" spans="3:16">
      <c r="C12" s="72" t="s">
        <v>260</v>
      </c>
      <c r="D12" s="48">
        <v>559.75</v>
      </c>
      <c r="E12" s="48">
        <v>40.07</v>
      </c>
      <c r="F12" s="48">
        <v>98.76</v>
      </c>
      <c r="G12" s="48">
        <v>236.32</v>
      </c>
      <c r="H12" s="48">
        <v>1649.39</v>
      </c>
      <c r="I12" s="48">
        <v>16646.2</v>
      </c>
      <c r="J12" s="48">
        <v>330.15</v>
      </c>
      <c r="K12" s="48">
        <v>2400.88</v>
      </c>
      <c r="L12" s="48">
        <v>7.87</v>
      </c>
      <c r="M12" s="48">
        <v>22288.97</v>
      </c>
      <c r="N12" s="48">
        <v>22426.53</v>
      </c>
      <c r="O12" s="48">
        <v>739.42</v>
      </c>
      <c r="P12" s="227">
        <v>12.79</v>
      </c>
    </row>
    <row r="13" spans="3:16">
      <c r="C13" s="72" t="s">
        <v>262</v>
      </c>
      <c r="D13" s="48">
        <v>157.9</v>
      </c>
      <c r="E13" s="48">
        <v>55.17</v>
      </c>
      <c r="F13" s="48">
        <v>2762.21</v>
      </c>
      <c r="G13" s="48">
        <v>1035.74</v>
      </c>
      <c r="H13" s="48">
        <v>242.45</v>
      </c>
      <c r="I13" s="48">
        <v>16933.64</v>
      </c>
      <c r="J13" s="48">
        <v>262.76</v>
      </c>
      <c r="K13" s="48">
        <v>577.63</v>
      </c>
      <c r="L13" s="48">
        <v>11.71</v>
      </c>
      <c r="M13" s="48">
        <v>10437.64</v>
      </c>
      <c r="N13" s="48">
        <v>8711.17</v>
      </c>
      <c r="O13" s="48">
        <v>101.02</v>
      </c>
      <c r="P13" s="227">
        <v>30.73</v>
      </c>
    </row>
    <row r="14" spans="3:16">
      <c r="C14" s="72" t="s">
        <v>263</v>
      </c>
      <c r="D14" s="48">
        <v>212.85</v>
      </c>
      <c r="E14" s="48">
        <v>39.85</v>
      </c>
      <c r="F14" s="48">
        <v>1.76</v>
      </c>
      <c r="G14" s="48">
        <v>1907.28</v>
      </c>
      <c r="H14" s="48">
        <v>591.16</v>
      </c>
      <c r="I14" s="48">
        <v>9533.9599999999991</v>
      </c>
      <c r="J14" s="48">
        <v>192.02</v>
      </c>
      <c r="K14" s="48">
        <v>766.36</v>
      </c>
      <c r="L14" s="48">
        <v>6.34</v>
      </c>
      <c r="M14" s="48">
        <v>6576.06</v>
      </c>
      <c r="N14" s="48">
        <v>8481.58</v>
      </c>
      <c r="O14" s="48">
        <v>185.72</v>
      </c>
      <c r="P14" s="227">
        <v>13.24</v>
      </c>
    </row>
    <row r="15" spans="3:16">
      <c r="C15" s="72" t="s">
        <v>264</v>
      </c>
      <c r="D15" s="48">
        <v>97.78</v>
      </c>
      <c r="E15" s="48">
        <v>49.06</v>
      </c>
      <c r="F15" s="48">
        <v>2001.05</v>
      </c>
      <c r="G15" s="48">
        <v>32.78</v>
      </c>
      <c r="H15" s="48">
        <v>183.98</v>
      </c>
      <c r="I15" s="48">
        <v>19794.5</v>
      </c>
      <c r="J15" s="48">
        <v>373</v>
      </c>
      <c r="K15" s="48">
        <v>437.48</v>
      </c>
      <c r="L15" s="48">
        <v>9.1300000000000008</v>
      </c>
      <c r="M15" s="48">
        <v>6765.2</v>
      </c>
      <c r="N15" s="48">
        <v>4796.93</v>
      </c>
      <c r="O15" s="48">
        <v>27.77</v>
      </c>
      <c r="P15" s="227">
        <v>31.32</v>
      </c>
    </row>
    <row r="16" spans="3:16">
      <c r="C16" s="72" t="s">
        <v>265</v>
      </c>
      <c r="D16" s="48">
        <v>358.25</v>
      </c>
      <c r="E16" s="48">
        <v>11.85</v>
      </c>
      <c r="F16" s="48">
        <v>741.28</v>
      </c>
      <c r="G16" s="48">
        <v>132.5</v>
      </c>
      <c r="H16" s="48">
        <v>143.71</v>
      </c>
      <c r="I16" s="48">
        <v>3331.9</v>
      </c>
      <c r="J16" s="48">
        <v>76.12</v>
      </c>
      <c r="K16" s="48">
        <v>290.61</v>
      </c>
      <c r="L16" s="48">
        <v>13.32</v>
      </c>
      <c r="M16" s="48">
        <v>4854.8</v>
      </c>
      <c r="N16" s="48">
        <v>4246.0200000000004</v>
      </c>
      <c r="O16" s="48">
        <v>59.5</v>
      </c>
      <c r="P16" s="227">
        <v>26.36</v>
      </c>
    </row>
    <row r="17" spans="3:16">
      <c r="C17" s="72" t="s">
        <v>266</v>
      </c>
      <c r="D17" s="48">
        <v>444.05</v>
      </c>
      <c r="E17" s="48">
        <v>8.76</v>
      </c>
      <c r="F17" s="48">
        <v>318.36</v>
      </c>
      <c r="G17" s="48">
        <v>11.88</v>
      </c>
      <c r="H17" s="48">
        <v>57.48</v>
      </c>
      <c r="I17" s="48">
        <v>1057.6099999999999</v>
      </c>
      <c r="J17" s="48">
        <v>33.99</v>
      </c>
      <c r="K17" s="48">
        <v>122.7</v>
      </c>
      <c r="L17" s="48">
        <v>23.13</v>
      </c>
      <c r="M17" s="48">
        <v>4197.58</v>
      </c>
      <c r="N17" s="48">
        <v>3891.1</v>
      </c>
      <c r="O17" s="48">
        <v>46.6</v>
      </c>
      <c r="P17" s="227">
        <v>52.46</v>
      </c>
    </row>
    <row r="18" spans="3:16">
      <c r="C18" s="72" t="s">
        <v>267</v>
      </c>
      <c r="D18" s="48">
        <v>587.4</v>
      </c>
      <c r="E18" s="48">
        <v>6.06</v>
      </c>
      <c r="F18" s="48">
        <v>376.21</v>
      </c>
      <c r="G18" s="48">
        <v>27.84</v>
      </c>
      <c r="H18" s="48">
        <v>86.54</v>
      </c>
      <c r="I18" s="48">
        <v>1358.24</v>
      </c>
      <c r="J18" s="48">
        <v>31.18</v>
      </c>
      <c r="K18" s="48">
        <v>162.71</v>
      </c>
      <c r="L18" s="48">
        <v>17.79</v>
      </c>
      <c r="M18" s="48">
        <v>3905.21</v>
      </c>
      <c r="N18" s="48">
        <v>3556.84</v>
      </c>
      <c r="O18" s="48">
        <v>51.14</v>
      </c>
      <c r="P18" s="227">
        <v>35.33</v>
      </c>
    </row>
    <row r="19" spans="3:16">
      <c r="C19" s="72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227"/>
    </row>
    <row r="20" spans="3:16" ht="15.75" thickBot="1">
      <c r="C20" s="73" t="s">
        <v>261</v>
      </c>
      <c r="D20" s="228">
        <v>221</v>
      </c>
      <c r="E20" s="228">
        <v>81.540000000000006</v>
      </c>
      <c r="F20" s="228">
        <v>4358.46</v>
      </c>
      <c r="G20" s="228">
        <v>903.8</v>
      </c>
      <c r="H20" s="228">
        <v>551.79</v>
      </c>
      <c r="I20" s="228">
        <v>13820.21</v>
      </c>
      <c r="J20" s="228">
        <v>251.81</v>
      </c>
      <c r="K20" s="228">
        <v>1114.71</v>
      </c>
      <c r="L20" s="228">
        <v>12.68</v>
      </c>
      <c r="M20" s="228">
        <v>21474.04</v>
      </c>
      <c r="N20" s="228">
        <v>18019.38</v>
      </c>
      <c r="O20" s="228">
        <v>278.77999999999997</v>
      </c>
      <c r="P20" s="229">
        <v>22.42</v>
      </c>
    </row>
  </sheetData>
  <mergeCells count="1">
    <mergeCell ref="C7:P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X42"/>
  <sheetViews>
    <sheetView showGridLines="0" topLeftCell="A21" workbookViewId="0">
      <selection activeCell="B1" sqref="B1"/>
    </sheetView>
  </sheetViews>
  <sheetFormatPr defaultRowHeight="15"/>
  <cols>
    <col min="1" max="1" width="1.85546875" customWidth="1"/>
    <col min="4" max="4" width="2.85546875" customWidth="1"/>
    <col min="7" max="7" width="11" bestFit="1" customWidth="1"/>
    <col min="8" max="8" width="12.140625" bestFit="1" customWidth="1"/>
    <col min="9" max="9" width="13.28515625" customWidth="1"/>
    <col min="10" max="10" width="11.28515625" bestFit="1" customWidth="1"/>
    <col min="11" max="11" width="1.5703125" customWidth="1"/>
    <col min="12" max="12" width="12.7109375" bestFit="1" customWidth="1"/>
    <col min="15" max="15" width="3.140625" customWidth="1"/>
  </cols>
  <sheetData>
    <row r="6" spans="2:24" ht="15.75" thickBot="1">
      <c r="B6" s="222" t="s">
        <v>349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</row>
    <row r="8" spans="2:24" ht="15.75" thickBot="1">
      <c r="B8" s="129" t="s">
        <v>268</v>
      </c>
      <c r="C8" s="129"/>
      <c r="D8" s="75"/>
      <c r="E8" s="129" t="s">
        <v>269</v>
      </c>
      <c r="F8" s="129"/>
      <c r="G8" s="129"/>
      <c r="H8" s="129"/>
      <c r="I8" s="129"/>
      <c r="J8" s="129"/>
      <c r="K8" s="76"/>
      <c r="L8" s="129" t="s">
        <v>270</v>
      </c>
      <c r="M8" s="129"/>
      <c r="N8" s="129"/>
      <c r="O8" s="77"/>
      <c r="P8" s="129" t="s">
        <v>271</v>
      </c>
      <c r="Q8" s="129"/>
      <c r="R8" s="129"/>
    </row>
    <row r="9" spans="2:24" ht="15.75" thickTop="1">
      <c r="B9" s="130"/>
      <c r="C9" s="131"/>
      <c r="D9" s="78"/>
      <c r="E9" s="134" t="s">
        <v>272</v>
      </c>
      <c r="F9" s="135" t="s">
        <v>273</v>
      </c>
      <c r="G9" s="136" t="s">
        <v>274</v>
      </c>
      <c r="H9" s="136" t="s">
        <v>275</v>
      </c>
      <c r="I9" s="136" t="s">
        <v>276</v>
      </c>
      <c r="J9" s="136" t="s">
        <v>277</v>
      </c>
      <c r="K9" s="79"/>
      <c r="L9" s="137" t="s">
        <v>278</v>
      </c>
      <c r="M9" s="137" t="s">
        <v>187</v>
      </c>
      <c r="N9" s="137" t="s">
        <v>279</v>
      </c>
      <c r="O9" s="79"/>
      <c r="P9" s="137" t="s">
        <v>280</v>
      </c>
      <c r="Q9" s="137" t="s">
        <v>281</v>
      </c>
      <c r="R9" s="137" t="s">
        <v>257</v>
      </c>
    </row>
    <row r="10" spans="2:24">
      <c r="B10" s="132" t="s">
        <v>282</v>
      </c>
      <c r="C10" s="133"/>
      <c r="D10" s="80"/>
      <c r="E10" s="134" t="s">
        <v>283</v>
      </c>
      <c r="F10" s="135" t="s">
        <v>285</v>
      </c>
      <c r="G10" s="135" t="s">
        <v>285</v>
      </c>
      <c r="H10" s="135" t="s">
        <v>285</v>
      </c>
      <c r="I10" s="135" t="s">
        <v>285</v>
      </c>
      <c r="J10" s="135" t="s">
        <v>285</v>
      </c>
      <c r="K10" s="79"/>
      <c r="L10" s="135" t="s">
        <v>285</v>
      </c>
      <c r="M10" s="135" t="s">
        <v>285</v>
      </c>
      <c r="N10" s="135" t="s">
        <v>285</v>
      </c>
      <c r="O10" s="79"/>
      <c r="P10" s="137" t="s">
        <v>284</v>
      </c>
      <c r="Q10" s="137" t="s">
        <v>284</v>
      </c>
      <c r="R10" s="137" t="s">
        <v>284</v>
      </c>
    </row>
    <row r="11" spans="2:24">
      <c r="B11" s="18" t="str">
        <f>'Comps Data'!C10</f>
        <v>Coromandel Inter</v>
      </c>
      <c r="C11" s="18"/>
      <c r="D11" s="18"/>
      <c r="E11" s="18">
        <f>'Comps Data'!D10</f>
        <v>2466.1999999999998</v>
      </c>
      <c r="F11" s="18">
        <v>2948</v>
      </c>
      <c r="G11" s="18">
        <f>F11*E11</f>
        <v>7270357.5999999996</v>
      </c>
      <c r="H11" s="18">
        <v>78038</v>
      </c>
      <c r="I11" s="18">
        <v>353834</v>
      </c>
      <c r="J11" s="18">
        <f>G11+H11-I11</f>
        <v>6994561.5999999996</v>
      </c>
      <c r="K11" s="18"/>
      <c r="L11" s="18">
        <v>2408524</v>
      </c>
      <c r="M11" s="18">
        <v>283597</v>
      </c>
      <c r="N11" s="18">
        <v>205471</v>
      </c>
      <c r="O11" s="18"/>
      <c r="P11" s="152">
        <f>J11/L11</f>
        <v>2.9040863200864928</v>
      </c>
      <c r="Q11" s="152">
        <f>J11/M11</f>
        <v>24.66373621723784</v>
      </c>
      <c r="R11" s="152">
        <f>G11/N11</f>
        <v>35.383862442875149</v>
      </c>
    </row>
    <row r="12" spans="2:24">
      <c r="B12" s="18" t="str">
        <f>'Comps Data'!C12</f>
        <v>Chambal Fert.</v>
      </c>
      <c r="C12" s="18"/>
      <c r="D12" s="18"/>
      <c r="E12" s="18">
        <f>'Comps Data'!D12</f>
        <v>559.75</v>
      </c>
      <c r="F12" s="18">
        <v>4007</v>
      </c>
      <c r="G12" s="18">
        <f t="shared" ref="G12:G18" si="0">F12*E12</f>
        <v>2242918.25</v>
      </c>
      <c r="H12" s="18">
        <v>9876</v>
      </c>
      <c r="I12" s="18">
        <v>23632</v>
      </c>
      <c r="J12" s="18">
        <f t="shared" ref="J12:J18" si="1">G12+H12-I12</f>
        <v>2229162.25</v>
      </c>
      <c r="K12" s="18"/>
      <c r="L12" s="18">
        <v>1664620</v>
      </c>
      <c r="M12" s="18">
        <v>273103</v>
      </c>
      <c r="N12" s="18">
        <v>164939</v>
      </c>
      <c r="O12" s="18"/>
      <c r="P12" s="152">
        <f t="shared" ref="P12:P18" si="2">J12/L12</f>
        <v>1.3391418161502324</v>
      </c>
      <c r="Q12" s="152">
        <f t="shared" ref="Q12:Q18" si="3">J12/M12</f>
        <v>8.1623499192612314</v>
      </c>
      <c r="R12" s="152">
        <f t="shared" ref="R12:R18" si="4">G12/N12</f>
        <v>13.598471253008688</v>
      </c>
    </row>
    <row r="13" spans="2:24">
      <c r="B13" s="18" t="str">
        <f>'Comps Data'!C13</f>
        <v>R C F</v>
      </c>
      <c r="C13" s="18"/>
      <c r="D13" s="18"/>
      <c r="E13" s="18">
        <f>'Comps Data'!D13</f>
        <v>157.9</v>
      </c>
      <c r="F13" s="18">
        <v>5517</v>
      </c>
      <c r="G13" s="18">
        <f t="shared" si="0"/>
        <v>871134.3</v>
      </c>
      <c r="H13" s="18">
        <v>276221</v>
      </c>
      <c r="I13" s="18">
        <v>103574</v>
      </c>
      <c r="J13" s="18">
        <f t="shared" si="1"/>
        <v>1043781.3</v>
      </c>
      <c r="K13" s="18"/>
      <c r="L13" s="18">
        <v>1693364</v>
      </c>
      <c r="M13" s="18">
        <v>84039</v>
      </c>
      <c r="N13" s="18">
        <v>24245</v>
      </c>
      <c r="O13" s="18"/>
      <c r="P13" s="152">
        <f t="shared" si="2"/>
        <v>0.61639511646639478</v>
      </c>
      <c r="Q13" s="152">
        <f t="shared" si="3"/>
        <v>12.42020133509442</v>
      </c>
      <c r="R13" s="152">
        <f t="shared" si="4"/>
        <v>35.930472262322127</v>
      </c>
    </row>
    <row r="14" spans="2:24">
      <c r="B14" s="18" t="str">
        <f>'Comps Data'!C14</f>
        <v>G S F C</v>
      </c>
      <c r="C14" s="18"/>
      <c r="D14" s="18"/>
      <c r="E14" s="18">
        <f>'Comps Data'!D14</f>
        <v>212.85</v>
      </c>
      <c r="F14" s="18">
        <v>3985</v>
      </c>
      <c r="G14" s="18">
        <f t="shared" si="0"/>
        <v>848207.25</v>
      </c>
      <c r="H14" s="18">
        <v>176</v>
      </c>
      <c r="I14" s="18">
        <v>190728</v>
      </c>
      <c r="J14" s="18">
        <f t="shared" si="1"/>
        <v>657655.25</v>
      </c>
      <c r="K14" s="18"/>
      <c r="L14" s="18">
        <v>953395.99999999988</v>
      </c>
      <c r="M14" s="18">
        <v>95838</v>
      </c>
      <c r="N14" s="18">
        <v>59116</v>
      </c>
      <c r="O14" s="18"/>
      <c r="P14" s="152">
        <f t="shared" si="2"/>
        <v>0.68980282065374732</v>
      </c>
      <c r="Q14" s="152">
        <f>J14/M14</f>
        <v>6.862155408084476</v>
      </c>
      <c r="R14" s="152">
        <f t="shared" si="4"/>
        <v>14.348184078760402</v>
      </c>
      <c r="X14">
        <v>100</v>
      </c>
    </row>
    <row r="15" spans="2:24">
      <c r="B15" s="18" t="str">
        <f>'Comps Data'!C15</f>
        <v>Natl.Fertilizer</v>
      </c>
      <c r="C15" s="18"/>
      <c r="D15" s="18"/>
      <c r="E15" s="18">
        <f>'Comps Data'!D15</f>
        <v>97.78</v>
      </c>
      <c r="F15" s="18">
        <v>4906</v>
      </c>
      <c r="G15" s="18">
        <f t="shared" si="0"/>
        <v>479708.68</v>
      </c>
      <c r="H15" s="18">
        <v>200105</v>
      </c>
      <c r="I15" s="18">
        <v>3278</v>
      </c>
      <c r="J15" s="18">
        <f t="shared" si="1"/>
        <v>676535.67999999993</v>
      </c>
      <c r="K15" s="18"/>
      <c r="L15" s="18">
        <v>1979450</v>
      </c>
      <c r="M15" s="18">
        <v>81048</v>
      </c>
      <c r="N15" s="18">
        <v>18398</v>
      </c>
      <c r="O15" s="18"/>
      <c r="P15" s="152">
        <f t="shared" si="2"/>
        <v>0.3417796256535906</v>
      </c>
      <c r="Q15" s="152">
        <f t="shared" si="3"/>
        <v>8.3473457704076583</v>
      </c>
      <c r="R15" s="152">
        <f t="shared" si="4"/>
        <v>26.073958038917272</v>
      </c>
    </row>
    <row r="16" spans="2:24">
      <c r="B16" s="18" t="str">
        <f>'Comps Data'!C16</f>
        <v>Mangalore Chem.</v>
      </c>
      <c r="C16" s="18"/>
      <c r="D16" s="18"/>
      <c r="E16" s="18">
        <f>'Comps Data'!D16</f>
        <v>358.25</v>
      </c>
      <c r="F16" s="18">
        <v>1185</v>
      </c>
      <c r="G16" s="18">
        <f t="shared" si="0"/>
        <v>424526.25</v>
      </c>
      <c r="H16" s="18">
        <v>74128</v>
      </c>
      <c r="I16" s="18">
        <v>13250</v>
      </c>
      <c r="J16" s="18">
        <f t="shared" si="1"/>
        <v>485404.25</v>
      </c>
      <c r="K16" s="18"/>
      <c r="L16" s="18">
        <v>333190</v>
      </c>
      <c r="M16" s="18">
        <v>36673</v>
      </c>
      <c r="N16" s="18">
        <v>14371</v>
      </c>
      <c r="O16" s="18"/>
      <c r="P16" s="152">
        <f t="shared" si="2"/>
        <v>1.4568391908520664</v>
      </c>
      <c r="Q16" s="152">
        <f t="shared" si="3"/>
        <v>13.236011507103319</v>
      </c>
      <c r="R16" s="152">
        <f t="shared" si="4"/>
        <v>29.540480829448196</v>
      </c>
    </row>
    <row r="17" spans="2:18">
      <c r="B17" s="18" t="str">
        <f>'Comps Data'!C17</f>
        <v>M B Agro Prod.</v>
      </c>
      <c r="C17" s="18"/>
      <c r="D17" s="18"/>
      <c r="E17" s="18">
        <f>'Comps Data'!D17</f>
        <v>444.05</v>
      </c>
      <c r="F17" s="18">
        <v>876</v>
      </c>
      <c r="G17" s="18">
        <f t="shared" si="0"/>
        <v>388987.8</v>
      </c>
      <c r="H17" s="18">
        <v>31836</v>
      </c>
      <c r="I17" s="18">
        <v>1188</v>
      </c>
      <c r="J17" s="18">
        <f t="shared" si="1"/>
        <v>419635.8</v>
      </c>
      <c r="K17" s="18"/>
      <c r="L17" s="18">
        <v>105760.99999999999</v>
      </c>
      <c r="M17" s="18">
        <v>15669</v>
      </c>
      <c r="N17" s="18">
        <v>5748</v>
      </c>
      <c r="O17" s="18"/>
      <c r="P17" s="152">
        <f t="shared" si="2"/>
        <v>3.9677745104528137</v>
      </c>
      <c r="Q17" s="152">
        <f t="shared" si="3"/>
        <v>26.781275129236072</v>
      </c>
      <c r="R17" s="152">
        <f t="shared" si="4"/>
        <v>67.673590814196245</v>
      </c>
    </row>
    <row r="18" spans="2:18">
      <c r="B18" s="18" t="str">
        <f>'Comps Data'!C18</f>
        <v>Krishana Phosch.</v>
      </c>
      <c r="C18" s="18"/>
      <c r="D18" s="18"/>
      <c r="E18" s="18">
        <f>'Comps Data'!D18</f>
        <v>587.4</v>
      </c>
      <c r="F18" s="18">
        <v>606</v>
      </c>
      <c r="G18" s="18">
        <f t="shared" si="0"/>
        <v>355964.39999999997</v>
      </c>
      <c r="H18" s="18">
        <v>37621</v>
      </c>
      <c r="I18" s="18">
        <v>2784</v>
      </c>
      <c r="J18" s="18">
        <f t="shared" si="1"/>
        <v>390801.39999999997</v>
      </c>
      <c r="K18" s="18"/>
      <c r="L18" s="18">
        <v>135824</v>
      </c>
      <c r="M18" s="18">
        <v>19389</v>
      </c>
      <c r="N18" s="18">
        <v>8654</v>
      </c>
      <c r="O18" s="18"/>
      <c r="P18" s="152">
        <f t="shared" si="2"/>
        <v>2.877263222994463</v>
      </c>
      <c r="Q18" s="152">
        <f t="shared" si="3"/>
        <v>20.15583062561246</v>
      </c>
      <c r="R18" s="152">
        <f t="shared" si="4"/>
        <v>41.132932747862256</v>
      </c>
    </row>
    <row r="21" spans="2:18">
      <c r="B21" s="138" t="s">
        <v>286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>
        <f>MAX(P11:P18)</f>
        <v>3.9677745104528137</v>
      </c>
      <c r="Q21" s="139">
        <f>MAX(Q11:Q18)</f>
        <v>26.781275129236072</v>
      </c>
      <c r="R21" s="139">
        <f>MAX(R11:R18)</f>
        <v>67.673590814196245</v>
      </c>
    </row>
    <row r="22" spans="2:18">
      <c r="B22" s="138" t="s">
        <v>287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9">
        <f>QUARTILE(P11:P18,3)</f>
        <v>2.8839689972674707</v>
      </c>
      <c r="Q22" s="139">
        <f>QUARTILE(Q11:Q18,3)</f>
        <v>21.282807023518806</v>
      </c>
      <c r="R22" s="139">
        <f>QUARTILE(R11:R18,3)</f>
        <v>37.231087383707163</v>
      </c>
    </row>
    <row r="23" spans="2:18">
      <c r="B23" s="142" t="s">
        <v>288</v>
      </c>
      <c r="C23" s="143"/>
      <c r="D23" s="143"/>
      <c r="E23" s="143"/>
      <c r="F23" s="143"/>
      <c r="G23" s="143"/>
      <c r="H23" s="144"/>
      <c r="I23" s="144"/>
      <c r="J23" s="144"/>
      <c r="K23" s="144"/>
      <c r="L23" s="144"/>
      <c r="M23" s="144"/>
      <c r="N23" s="143"/>
      <c r="O23" s="143"/>
      <c r="P23" s="145">
        <f>AVERAGE(P11:P18)</f>
        <v>1.7741353279137251</v>
      </c>
      <c r="Q23" s="145">
        <f>AVERAGE(Q11:Q18)</f>
        <v>15.078613239004682</v>
      </c>
      <c r="R23" s="145">
        <f>AVERAGE(R11:R18)</f>
        <v>32.96024405842379</v>
      </c>
    </row>
    <row r="24" spans="2:18">
      <c r="B24" s="142" t="s">
        <v>289</v>
      </c>
      <c r="C24" s="143"/>
      <c r="D24" s="143"/>
      <c r="E24" s="143"/>
      <c r="F24" s="143"/>
      <c r="G24" s="143"/>
      <c r="H24" s="144"/>
      <c r="I24" s="144"/>
      <c r="J24" s="144"/>
      <c r="K24" s="144"/>
      <c r="L24" s="144"/>
      <c r="M24" s="144"/>
      <c r="N24" s="143"/>
      <c r="O24" s="143"/>
      <c r="P24" s="145">
        <f>MEDIAN(P11:P18)</f>
        <v>1.3979905035011493</v>
      </c>
      <c r="Q24" s="145">
        <f>MEDIAN(Q11:Q18)</f>
        <v>12.82810642109887</v>
      </c>
      <c r="R24" s="145">
        <f>MEDIAN(R11:R18)</f>
        <v>32.462171636161671</v>
      </c>
    </row>
    <row r="25" spans="2:18">
      <c r="B25" s="140" t="s">
        <v>290</v>
      </c>
      <c r="C25" s="138"/>
      <c r="D25" s="138"/>
      <c r="E25" s="138"/>
      <c r="F25" s="138"/>
      <c r="G25" s="138"/>
      <c r="H25" s="141"/>
      <c r="I25" s="141"/>
      <c r="J25" s="141"/>
      <c r="K25" s="141"/>
      <c r="L25" s="141"/>
      <c r="M25" s="141"/>
      <c r="N25" s="138"/>
      <c r="O25" s="138"/>
      <c r="P25" s="139">
        <f>QUARTILE(P11:P18,1)</f>
        <v>0.67145089460690921</v>
      </c>
      <c r="Q25" s="139">
        <f>QUARTILE(Q11:Q18,1)</f>
        <v>8.3010968076210521</v>
      </c>
      <c r="R25" s="139">
        <f>QUARTILE(R11:R18,1)</f>
        <v>23.142514548878054</v>
      </c>
    </row>
    <row r="26" spans="2:18">
      <c r="B26" s="140" t="s">
        <v>291</v>
      </c>
      <c r="C26" s="138"/>
      <c r="D26" s="138"/>
      <c r="E26" s="138"/>
      <c r="F26" s="138"/>
      <c r="G26" s="138"/>
      <c r="H26" s="141"/>
      <c r="I26" s="141"/>
      <c r="J26" s="141"/>
      <c r="K26" s="141"/>
      <c r="L26" s="141"/>
      <c r="M26" s="141"/>
      <c r="N26" s="138"/>
      <c r="O26" s="138"/>
      <c r="P26" s="139">
        <f>MIN(P11:P18)</f>
        <v>0.3417796256535906</v>
      </c>
      <c r="Q26" s="139">
        <f t="shared" ref="Q26:R26" si="5">MIN(Q11:Q18)</f>
        <v>6.862155408084476</v>
      </c>
      <c r="R26" s="139">
        <f t="shared" si="5"/>
        <v>13.598471253008688</v>
      </c>
    </row>
    <row r="28" spans="2:18">
      <c r="B28" s="11" t="s">
        <v>261</v>
      </c>
      <c r="C28" s="11"/>
      <c r="D28" s="11"/>
      <c r="E28" s="11">
        <f>Assumption!C23</f>
        <v>220.13</v>
      </c>
      <c r="F28" s="81">
        <f>Assumption!C21</f>
        <v>8147.7860000000001</v>
      </c>
      <c r="G28" s="11">
        <f>E28*F28</f>
        <v>1793572.13218</v>
      </c>
      <c r="H28" s="11">
        <v>435846</v>
      </c>
      <c r="I28" s="11">
        <v>90380</v>
      </c>
      <c r="J28" s="11">
        <f t="shared" ref="J28" si="6">G28+H28-I28</f>
        <v>2139038.1321799997</v>
      </c>
      <c r="K28" s="11"/>
      <c r="L28" s="11">
        <v>1382021</v>
      </c>
      <c r="M28" s="11">
        <v>136652</v>
      </c>
      <c r="N28" s="11">
        <v>55179</v>
      </c>
      <c r="O28" s="11"/>
      <c r="P28" s="82">
        <f t="shared" ref="P28" si="7">J28/L28</f>
        <v>1.5477609473227973</v>
      </c>
      <c r="Q28" s="82">
        <f t="shared" ref="Q28" si="8">J28/M28</f>
        <v>15.653178381436055</v>
      </c>
      <c r="R28" s="82">
        <f t="shared" ref="R28" si="9">G28/N28</f>
        <v>32.504614657387776</v>
      </c>
    </row>
    <row r="31" spans="2:18">
      <c r="B31" s="1" t="s">
        <v>289</v>
      </c>
    </row>
    <row r="32" spans="2:18">
      <c r="B32" s="146" t="s">
        <v>292</v>
      </c>
      <c r="C32" s="147"/>
      <c r="D32" s="147"/>
      <c r="E32" s="147" t="s">
        <v>293</v>
      </c>
      <c r="F32" s="147" t="s">
        <v>277</v>
      </c>
      <c r="G32" s="147" t="s">
        <v>294</v>
      </c>
      <c r="H32" s="148" t="s">
        <v>295</v>
      </c>
      <c r="I32" s="148" t="s">
        <v>296</v>
      </c>
      <c r="J32" s="148" t="s">
        <v>297</v>
      </c>
      <c r="L32" s="148" t="s">
        <v>298</v>
      </c>
    </row>
    <row r="33" spans="2:12">
      <c r="B33" s="44" t="s">
        <v>299</v>
      </c>
      <c r="C33" s="149"/>
      <c r="D33" s="149"/>
      <c r="E33" s="150">
        <v>1.3979905035011493</v>
      </c>
      <c r="F33" s="149">
        <f>E33*L28</f>
        <v>1932052.2336391618</v>
      </c>
      <c r="G33" s="149">
        <f>$H$28-$I$28</f>
        <v>345466</v>
      </c>
      <c r="H33" s="151">
        <f>F33-G33</f>
        <v>1586586.2336391618</v>
      </c>
      <c r="I33" s="151">
        <f>$F$28</f>
        <v>8147.7860000000001</v>
      </c>
      <c r="J33" s="151">
        <f>H33/I33</f>
        <v>194.72605608924459</v>
      </c>
      <c r="L33" s="220" t="str">
        <f>IF(J33&gt;$E$28,"UnderValued","OverValued")</f>
        <v>OverValued</v>
      </c>
    </row>
    <row r="34" spans="2:12">
      <c r="B34" s="83" t="s">
        <v>281</v>
      </c>
      <c r="C34" s="18"/>
      <c r="D34" s="18"/>
      <c r="E34" s="152">
        <v>12.82810642109887</v>
      </c>
      <c r="F34" s="18">
        <f>E34*M28</f>
        <v>1752986.3986560027</v>
      </c>
      <c r="G34" s="18">
        <f t="shared" ref="G34:G35" si="10">$H$28-$I$28</f>
        <v>345466</v>
      </c>
      <c r="H34" s="153">
        <f t="shared" ref="H34:H35" si="11">F34-G34</f>
        <v>1407520.3986560027</v>
      </c>
      <c r="I34" s="153">
        <f t="shared" ref="I34:I35" si="12">$F$28</f>
        <v>8147.7860000000001</v>
      </c>
      <c r="J34" s="153">
        <f t="shared" ref="J34:J35" si="13">H34/I34</f>
        <v>172.74881773478128</v>
      </c>
      <c r="L34" s="221" t="str">
        <f t="shared" ref="L34:L35" si="14">IF(J34&gt;$E$28,"UnderValued","OverValued")</f>
        <v>OverValued</v>
      </c>
    </row>
    <row r="35" spans="2:12">
      <c r="B35" s="84" t="s">
        <v>257</v>
      </c>
      <c r="C35" s="18"/>
      <c r="D35" s="18"/>
      <c r="E35" s="152">
        <v>32.462171636161671</v>
      </c>
      <c r="F35" s="153">
        <f>H35+G35</f>
        <v>2136696.1687117647</v>
      </c>
      <c r="G35" s="18">
        <f t="shared" si="10"/>
        <v>345466</v>
      </c>
      <c r="H35" s="153">
        <f>E35*N28</f>
        <v>1791230.1687117647</v>
      </c>
      <c r="I35" s="153">
        <f t="shared" si="12"/>
        <v>8147.7860000000001</v>
      </c>
      <c r="J35" s="153">
        <f t="shared" si="13"/>
        <v>219.84256443551226</v>
      </c>
      <c r="L35" s="221" t="str">
        <f t="shared" si="14"/>
        <v>OverValued</v>
      </c>
    </row>
    <row r="38" spans="2:12">
      <c r="B38" s="1" t="s">
        <v>288</v>
      </c>
    </row>
    <row r="39" spans="2:12">
      <c r="B39" s="146" t="s">
        <v>292</v>
      </c>
      <c r="C39" s="147"/>
      <c r="D39" s="147"/>
      <c r="E39" s="147" t="s">
        <v>293</v>
      </c>
      <c r="F39" s="147" t="s">
        <v>277</v>
      </c>
      <c r="G39" s="147" t="s">
        <v>294</v>
      </c>
      <c r="H39" s="148" t="s">
        <v>295</v>
      </c>
      <c r="I39" s="148" t="s">
        <v>296</v>
      </c>
      <c r="J39" s="148" t="s">
        <v>297</v>
      </c>
      <c r="L39" s="148" t="s">
        <v>298</v>
      </c>
    </row>
    <row r="40" spans="2:12">
      <c r="B40" s="44" t="s">
        <v>299</v>
      </c>
      <c r="C40" s="149"/>
      <c r="D40" s="149"/>
      <c r="E40" s="150">
        <v>1.7741353279137251</v>
      </c>
      <c r="F40" s="149">
        <f>E40*L28</f>
        <v>2451892.2800186542</v>
      </c>
      <c r="G40" s="149">
        <f t="shared" ref="G40:G42" si="15">$H$28-$I$28</f>
        <v>345466</v>
      </c>
      <c r="H40" s="151">
        <f>F40-G40</f>
        <v>2106426.2800186542</v>
      </c>
      <c r="I40" s="151">
        <f>$F$28</f>
        <v>8147.7860000000001</v>
      </c>
      <c r="J40" s="151">
        <f>H40/I40</f>
        <v>258.52744291745688</v>
      </c>
      <c r="L40" s="220" t="str">
        <f>IF(J40&gt;$E$28,"UnderValued","OverValued")</f>
        <v>UnderValued</v>
      </c>
    </row>
    <row r="41" spans="2:12">
      <c r="B41" s="83" t="s">
        <v>281</v>
      </c>
      <c r="C41" s="18"/>
      <c r="D41" s="18"/>
      <c r="E41" s="152">
        <v>15.078613239004682</v>
      </c>
      <c r="F41" s="18">
        <f>E41*M28</f>
        <v>2060522.6563364677</v>
      </c>
      <c r="G41" s="18">
        <f t="shared" si="15"/>
        <v>345466</v>
      </c>
      <c r="H41" s="153">
        <f t="shared" ref="H41:H42" si="16">F41-G41</f>
        <v>1715056.6563364677</v>
      </c>
      <c r="I41" s="153">
        <f t="shared" ref="I41:I42" si="17">$F$28</f>
        <v>8147.7860000000001</v>
      </c>
      <c r="J41" s="153">
        <f t="shared" ref="J41:J42" si="18">H41/I41</f>
        <v>210.49358148783824</v>
      </c>
      <c r="L41" s="221" t="str">
        <f t="shared" ref="L41:L42" si="19">IF(J41&gt;$E$28,"UnderValued","OverValued")</f>
        <v>OverValued</v>
      </c>
    </row>
    <row r="42" spans="2:12">
      <c r="B42" s="84" t="s">
        <v>257</v>
      </c>
      <c r="C42" s="18"/>
      <c r="D42" s="18"/>
      <c r="E42" s="152">
        <v>32.96024405842379</v>
      </c>
      <c r="F42" s="18">
        <f>H42+G42</f>
        <v>2164179.3068997664</v>
      </c>
      <c r="G42" s="18">
        <f t="shared" si="15"/>
        <v>345466</v>
      </c>
      <c r="H42" s="153">
        <f>E42*N28</f>
        <v>1818713.3068997662</v>
      </c>
      <c r="I42" s="153">
        <f t="shared" si="17"/>
        <v>8147.7860000000001</v>
      </c>
      <c r="J42" s="153">
        <f t="shared" si="18"/>
        <v>223.2156449494091</v>
      </c>
      <c r="L42" s="221" t="str">
        <f t="shared" si="19"/>
        <v>UnderValued</v>
      </c>
    </row>
  </sheetData>
  <mergeCells count="5">
    <mergeCell ref="B8:C8"/>
    <mergeCell ref="E8:J8"/>
    <mergeCell ref="L8:N8"/>
    <mergeCell ref="P8:R8"/>
    <mergeCell ref="B6:R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C28"/>
  <sheetViews>
    <sheetView showGridLines="0" workbookViewId="0">
      <selection activeCell="I13" sqref="I13"/>
    </sheetView>
  </sheetViews>
  <sheetFormatPr defaultRowHeight="15"/>
  <cols>
    <col min="1" max="1" width="1.85546875" customWidth="1"/>
    <col min="2" max="2" width="20.85546875" bestFit="1" customWidth="1"/>
    <col min="3" max="3" width="13.7109375" customWidth="1"/>
  </cols>
  <sheetData>
    <row r="8" spans="2:3" ht="15.75" thickBot="1">
      <c r="B8" s="222" t="s">
        <v>321</v>
      </c>
      <c r="C8" s="222"/>
    </row>
    <row r="10" spans="2:3" ht="15.75" thickBot="1">
      <c r="B10" s="154" t="s">
        <v>308</v>
      </c>
      <c r="C10" s="154"/>
    </row>
    <row r="11" spans="2:3">
      <c r="B11" s="1"/>
    </row>
    <row r="12" spans="2:3">
      <c r="B12" s="18" t="s">
        <v>309</v>
      </c>
      <c r="C12" s="86">
        <f>'Comps Valuation'!G28</f>
        <v>1793572.13218</v>
      </c>
    </row>
    <row r="13" spans="2:3">
      <c r="B13" s="31" t="s">
        <v>310</v>
      </c>
      <c r="C13" s="87">
        <f>'Comps Valuation'!H28</f>
        <v>435846</v>
      </c>
    </row>
    <row r="14" spans="2:3" ht="15.75" thickBot="1">
      <c r="B14" s="12" t="s">
        <v>311</v>
      </c>
      <c r="C14" s="88">
        <f>C13/C12</f>
        <v>0.24300444469453833</v>
      </c>
    </row>
    <row r="16" spans="2:3" ht="15.75" thickBot="1">
      <c r="B16" s="154" t="s">
        <v>312</v>
      </c>
      <c r="C16" s="154"/>
    </row>
    <row r="17" spans="2:3">
      <c r="B17" s="18" t="s">
        <v>313</v>
      </c>
      <c r="C17" s="89">
        <f>'Debt Schedules'!F13</f>
        <v>9.1194245559317322E-2</v>
      </c>
    </row>
    <row r="18" spans="2:3">
      <c r="B18" s="31" t="s">
        <v>314</v>
      </c>
      <c r="C18" s="90">
        <f>'cost Build_up'!G35</f>
        <v>0.29058992773062281</v>
      </c>
    </row>
    <row r="19" spans="2:3" ht="15.75" thickBot="1">
      <c r="B19" s="12" t="s">
        <v>315</v>
      </c>
      <c r="C19" s="88">
        <f>C17*(1-C18)</f>
        <v>6.4694116332786641E-2</v>
      </c>
    </row>
    <row r="21" spans="2:3" ht="15.75" thickBot="1">
      <c r="B21" s="154" t="s">
        <v>316</v>
      </c>
      <c r="C21" s="154"/>
    </row>
    <row r="22" spans="2:3">
      <c r="B22" s="91" t="s">
        <v>317</v>
      </c>
      <c r="C22" s="92">
        <f>Assumption!C16</f>
        <v>6.5189999999999998E-2</v>
      </c>
    </row>
    <row r="23" spans="2:3">
      <c r="B23" s="18" t="s">
        <v>318</v>
      </c>
      <c r="C23" s="93">
        <f>'Equity Market'!F11</f>
        <v>0.11582993008539222</v>
      </c>
    </row>
    <row r="24" spans="2:3">
      <c r="B24" s="18" t="s">
        <v>319</v>
      </c>
      <c r="C24" s="94">
        <f>C23-C22</f>
        <v>5.0639930085392221E-2</v>
      </c>
    </row>
    <row r="25" spans="2:3">
      <c r="B25" s="31" t="s">
        <v>320</v>
      </c>
      <c r="C25" s="95">
        <f>Beta!K14</f>
        <v>0.44211359854280863</v>
      </c>
    </row>
    <row r="26" spans="2:3" ht="15.75" thickBot="1">
      <c r="B26" s="12" t="s">
        <v>316</v>
      </c>
      <c r="C26" s="96">
        <f>C22+(C25*C24)</f>
        <v>8.7578601720008989E-2</v>
      </c>
    </row>
    <row r="28" spans="2:3">
      <c r="B28" s="148" t="s">
        <v>321</v>
      </c>
      <c r="C28" s="155">
        <f>(C26*(1-C14))+(C19*C14)</f>
        <v>8.2017570056366743E-2</v>
      </c>
    </row>
  </sheetData>
  <mergeCells count="4">
    <mergeCell ref="B10:C10"/>
    <mergeCell ref="B16:C16"/>
    <mergeCell ref="B21:C21"/>
    <mergeCell ref="B8:C8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M45"/>
  <sheetViews>
    <sheetView showGridLines="0" topLeftCell="A26" workbookViewId="0">
      <selection activeCell="C44" sqref="C44"/>
    </sheetView>
  </sheetViews>
  <sheetFormatPr defaultRowHeight="15"/>
  <cols>
    <col min="1" max="1" width="1.85546875" customWidth="1"/>
    <col min="2" max="2" width="27.5703125" bestFit="1" customWidth="1"/>
    <col min="3" max="3" width="12.42578125" bestFit="1" customWidth="1"/>
    <col min="4" max="4" width="9.5703125" bestFit="1" customWidth="1"/>
    <col min="5" max="5" width="11.7109375" customWidth="1"/>
    <col min="6" max="6" width="10.42578125" customWidth="1"/>
    <col min="7" max="7" width="9.5703125" bestFit="1" customWidth="1"/>
    <col min="8" max="11" width="9.7109375" bestFit="1" customWidth="1"/>
    <col min="12" max="12" width="15.28515625" customWidth="1"/>
  </cols>
  <sheetData>
    <row r="7" spans="2:13" ht="15.75" thickBot="1">
      <c r="B7" s="222" t="s">
        <v>350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</row>
    <row r="9" spans="2:13">
      <c r="B9" s="124" t="s">
        <v>0</v>
      </c>
      <c r="C9" s="124">
        <v>2021</v>
      </c>
      <c r="D9" s="124">
        <f>C9+1</f>
        <v>2022</v>
      </c>
      <c r="E9" s="124">
        <f t="shared" ref="E9:F9" si="0">D9+1</f>
        <v>2023</v>
      </c>
      <c r="F9" s="124">
        <f t="shared" si="0"/>
        <v>2024</v>
      </c>
      <c r="G9" s="85">
        <f>F9+1</f>
        <v>2025</v>
      </c>
      <c r="H9" s="85">
        <f t="shared" ref="H9:K9" si="1">G9+1</f>
        <v>2026</v>
      </c>
      <c r="I9" s="85">
        <f t="shared" si="1"/>
        <v>2027</v>
      </c>
      <c r="J9" s="85">
        <f t="shared" si="1"/>
        <v>2028</v>
      </c>
      <c r="K9" s="85">
        <f t="shared" si="1"/>
        <v>2029</v>
      </c>
      <c r="L9" s="85" t="s">
        <v>336</v>
      </c>
    </row>
    <row r="10" spans="2:13">
      <c r="B10" s="166" t="s">
        <v>300</v>
      </c>
      <c r="C10" s="166">
        <v>0</v>
      </c>
      <c r="D10" s="166">
        <v>0</v>
      </c>
      <c r="E10" s="166">
        <v>0</v>
      </c>
      <c r="F10" s="166">
        <v>0</v>
      </c>
      <c r="G10" s="167">
        <v>1</v>
      </c>
      <c r="H10" s="167">
        <f>G10</f>
        <v>1</v>
      </c>
      <c r="I10" s="167">
        <f t="shared" ref="I10:L10" si="2">H10</f>
        <v>1</v>
      </c>
      <c r="J10" s="167">
        <f t="shared" si="2"/>
        <v>1</v>
      </c>
      <c r="K10" s="167">
        <f t="shared" si="2"/>
        <v>1</v>
      </c>
      <c r="L10" s="168">
        <v>1</v>
      </c>
    </row>
    <row r="12" spans="2:13">
      <c r="B12" s="169" t="s">
        <v>189</v>
      </c>
      <c r="C12" s="200">
        <f>'P&amp;L Statement'!C21</f>
        <v>45891.729999999945</v>
      </c>
      <c r="D12" s="200">
        <f>'P&amp;L Statement'!D21</f>
        <v>58065.259999999995</v>
      </c>
      <c r="E12" s="200">
        <f>'P&amp;L Statement'!E21</f>
        <v>62583.710000000021</v>
      </c>
      <c r="F12" s="200">
        <f>'P&amp;L Statement'!F21</f>
        <v>43735.910000000033</v>
      </c>
      <c r="G12" s="200">
        <f>'P&amp;L Statement'!G21</f>
        <v>108852.71151134967</v>
      </c>
      <c r="H12" s="200">
        <f>'P&amp;L Statement'!H21</f>
        <v>160282.50031282997</v>
      </c>
      <c r="I12" s="200">
        <f>'P&amp;L Statement'!I21</f>
        <v>218975.14234714862</v>
      </c>
      <c r="J12" s="200">
        <f>'P&amp;L Statement'!J21</f>
        <v>281746.91467380553</v>
      </c>
      <c r="K12" s="200">
        <f>'P&amp;L Statement'!K21</f>
        <v>345367.87318526034</v>
      </c>
      <c r="L12" s="98"/>
      <c r="M12" s="3"/>
    </row>
    <row r="13" spans="2:13">
      <c r="B13" s="170" t="s">
        <v>301</v>
      </c>
      <c r="C13" s="98">
        <f>C12*'cost Build_up'!C35</f>
        <v>17935.167701775987</v>
      </c>
      <c r="D13" s="98">
        <f>D12*'cost Build_up'!D35</f>
        <v>14819.238223925777</v>
      </c>
      <c r="E13" s="98">
        <f>E12*'cost Build_up'!E35</f>
        <v>17912.544979517676</v>
      </c>
      <c r="F13" s="98">
        <f>F12*'cost Build_up'!F35</f>
        <v>12709.214926133032</v>
      </c>
      <c r="G13" s="98">
        <f>G12*'cost Build_up'!G35</f>
        <v>31631.501571365436</v>
      </c>
      <c r="H13" s="98">
        <f>H12*'cost Build_up'!H35</f>
        <v>46576.48018238879</v>
      </c>
      <c r="I13" s="98">
        <f>I12*'cost Build_up'!I35</f>
        <v>63631.970789460756</v>
      </c>
      <c r="J13" s="98">
        <f>J12*'cost Build_up'!J35</f>
        <v>81872.815573387095</v>
      </c>
      <c r="K13" s="98">
        <f>K12*'cost Build_up'!K35</f>
        <v>100360.4253093837</v>
      </c>
      <c r="L13" s="98"/>
    </row>
    <row r="14" spans="2:13">
      <c r="B14" s="171" t="s">
        <v>302</v>
      </c>
      <c r="C14" s="198">
        <f>C12-C13</f>
        <v>27956.562298223958</v>
      </c>
      <c r="D14" s="198">
        <f t="shared" ref="D14:K14" si="3">D12-D13</f>
        <v>43246.021776074216</v>
      </c>
      <c r="E14" s="198">
        <f t="shared" si="3"/>
        <v>44671.165020482345</v>
      </c>
      <c r="F14" s="198">
        <f t="shared" si="3"/>
        <v>31026.695073866998</v>
      </c>
      <c r="G14" s="198">
        <f t="shared" si="3"/>
        <v>77221.209939984226</v>
      </c>
      <c r="H14" s="198">
        <f t="shared" si="3"/>
        <v>113706.02013044117</v>
      </c>
      <c r="I14" s="198">
        <f t="shared" si="3"/>
        <v>155343.17155768786</v>
      </c>
      <c r="J14" s="198">
        <f t="shared" si="3"/>
        <v>199874.09910041845</v>
      </c>
      <c r="K14" s="198">
        <f t="shared" si="3"/>
        <v>245007.44787587662</v>
      </c>
      <c r="L14" s="98"/>
    </row>
    <row r="15" spans="2:13">
      <c r="B15" s="170" t="s">
        <v>303</v>
      </c>
      <c r="C15" s="98">
        <f>-'P&amp;L Statement'!C19</f>
        <v>8332.81</v>
      </c>
      <c r="D15" s="98">
        <f>-'P&amp;L Statement'!D19</f>
        <v>9045.7199999999993</v>
      </c>
      <c r="E15" s="98">
        <f>-'P&amp;L Statement'!E19</f>
        <v>17515.310000000001</v>
      </c>
      <c r="F15" s="98">
        <f>-'P&amp;L Statement'!F19</f>
        <v>21067.03</v>
      </c>
      <c r="G15" s="98">
        <f>-'P&amp;L Statement'!G19</f>
        <v>25239.541792031388</v>
      </c>
      <c r="H15" s="98">
        <f>-'P&amp;L Statement'!H19</f>
        <v>28763.777074475816</v>
      </c>
      <c r="I15" s="98">
        <f>-'P&amp;L Statement'!I19</f>
        <v>32051.471261452716</v>
      </c>
      <c r="J15" s="98">
        <f>-'P&amp;L Statement'!J19</f>
        <v>35120.567644751114</v>
      </c>
      <c r="K15" s="98">
        <f>-'P&amp;L Statement'!K19</f>
        <v>37987.636046074702</v>
      </c>
      <c r="L15" s="98"/>
    </row>
    <row r="16" spans="2:13">
      <c r="B16" s="170" t="s">
        <v>304</v>
      </c>
      <c r="C16" s="98">
        <f>'CashFlow '!C39</f>
        <v>-16883.28</v>
      </c>
      <c r="D16" s="98">
        <f>'CashFlow '!D39</f>
        <v>-62022.19</v>
      </c>
      <c r="E16" s="98">
        <f>'CashFlow '!E39</f>
        <v>-43618.36</v>
      </c>
      <c r="F16" s="98">
        <f>'CashFlow '!F39</f>
        <v>-41150.29</v>
      </c>
      <c r="G16" s="98">
        <f>'CashFlow '!G39</f>
        <v>-75720.749949999969</v>
      </c>
      <c r="H16" s="98">
        <f>'CashFlow '!H39</f>
        <v>-76099.353699749918</v>
      </c>
      <c r="I16" s="98">
        <f>'CashFlow '!I39</f>
        <v>-76479.850468248769</v>
      </c>
      <c r="J16" s="98">
        <f>'CashFlow '!J39</f>
        <v>-76862.249720590073</v>
      </c>
      <c r="K16" s="98">
        <f>'CashFlow '!K39</f>
        <v>-77246.560969192884</v>
      </c>
      <c r="L16" s="98"/>
    </row>
    <row r="17" spans="2:12">
      <c r="B17" s="170" t="s">
        <v>305</v>
      </c>
      <c r="C17" s="98">
        <f>SUM('CashFlow '!C27:C31)</f>
        <v>99254.66</v>
      </c>
      <c r="D17" s="98">
        <f>SUM('CashFlow '!D27:D31)</f>
        <v>-69087.259999999995</v>
      </c>
      <c r="E17" s="98">
        <f>SUM('CashFlow '!E27:E31)</f>
        <v>-306609.87</v>
      </c>
      <c r="F17" s="98">
        <f>SUM('CashFlow '!F27:F31)</f>
        <v>83444.490000000005</v>
      </c>
      <c r="G17" s="98">
        <f>SUM('CashFlow '!G27:G31)</f>
        <v>38636.650796564041</v>
      </c>
      <c r="H17" s="98">
        <f>SUM('CashFlow '!H27:H31)</f>
        <v>-1089.1726689259958</v>
      </c>
      <c r="I17" s="98">
        <f>SUM('CashFlow '!I27:I31)</f>
        <v>-1228.4321184555483</v>
      </c>
      <c r="J17" s="98">
        <f>SUM('CashFlow '!J27:J31)</f>
        <v>-1304.9467421654917</v>
      </c>
      <c r="K17" s="98">
        <f>SUM('CashFlow '!K27:K31)</f>
        <v>-1317.7732282834768</v>
      </c>
      <c r="L17" s="98"/>
    </row>
    <row r="18" spans="2:12">
      <c r="B18" s="10" t="s">
        <v>306</v>
      </c>
      <c r="C18" s="199">
        <f>SUM(C14:C17)</f>
        <v>118660.75229822396</v>
      </c>
      <c r="D18" s="199">
        <f t="shared" ref="D18:K18" si="4">SUM(D14:D17)</f>
        <v>-78817.708223925787</v>
      </c>
      <c r="E18" s="199">
        <f t="shared" si="4"/>
        <v>-288041.75497951766</v>
      </c>
      <c r="F18" s="199">
        <f t="shared" si="4"/>
        <v>94387.925073866994</v>
      </c>
      <c r="G18" s="199">
        <f t="shared" si="4"/>
        <v>65376.652578579691</v>
      </c>
      <c r="H18" s="199">
        <f t="shared" si="4"/>
        <v>65281.270836241092</v>
      </c>
      <c r="I18" s="199">
        <f t="shared" si="4"/>
        <v>109686.36023243626</v>
      </c>
      <c r="J18" s="199">
        <f t="shared" si="4"/>
        <v>156827.470282414</v>
      </c>
      <c r="K18" s="199">
        <f t="shared" si="4"/>
        <v>204430.74972447494</v>
      </c>
      <c r="L18" s="199">
        <f>C30</f>
        <v>5810964.103317054</v>
      </c>
    </row>
    <row r="19" spans="2:12">
      <c r="C19" s="98"/>
      <c r="D19" s="98"/>
      <c r="E19" s="98"/>
      <c r="F19" s="98"/>
      <c r="G19" s="98"/>
      <c r="H19" s="98"/>
      <c r="I19" s="98"/>
      <c r="J19" s="98"/>
      <c r="K19" s="98"/>
      <c r="L19" s="98"/>
    </row>
    <row r="20" spans="2:12" ht="15.75" thickBot="1">
      <c r="B20" s="172" t="s">
        <v>307</v>
      </c>
      <c r="C20" s="99">
        <f>C18*C10</f>
        <v>0</v>
      </c>
      <c r="D20" s="99">
        <f t="shared" ref="D20:L20" si="5">D18*D10</f>
        <v>0</v>
      </c>
      <c r="E20" s="99">
        <f t="shared" si="5"/>
        <v>0</v>
      </c>
      <c r="F20" s="99">
        <f t="shared" si="5"/>
        <v>0</v>
      </c>
      <c r="G20" s="99">
        <f t="shared" si="5"/>
        <v>65376.652578579691</v>
      </c>
      <c r="H20" s="99">
        <f t="shared" si="5"/>
        <v>65281.270836241092</v>
      </c>
      <c r="I20" s="99">
        <f t="shared" si="5"/>
        <v>109686.36023243626</v>
      </c>
      <c r="J20" s="99">
        <f t="shared" si="5"/>
        <v>156827.470282414</v>
      </c>
      <c r="K20" s="99">
        <f t="shared" si="5"/>
        <v>204430.74972447494</v>
      </c>
      <c r="L20" s="99">
        <f t="shared" si="5"/>
        <v>5810964.103317054</v>
      </c>
    </row>
    <row r="23" spans="2:12" ht="15.75" thickBot="1">
      <c r="B23" s="162" t="s">
        <v>166</v>
      </c>
      <c r="C23" s="163">
        <f>Assumption!C18</f>
        <v>12.82810642109887</v>
      </c>
      <c r="E23" s="154" t="s">
        <v>334</v>
      </c>
      <c r="F23" s="154"/>
      <c r="G23" s="154"/>
      <c r="H23" s="154"/>
      <c r="I23" s="154"/>
      <c r="J23" s="154"/>
      <c r="K23" s="154"/>
    </row>
    <row r="24" spans="2:12" ht="15.75" thickBot="1">
      <c r="B24" s="164" t="s">
        <v>167</v>
      </c>
      <c r="C24" s="165">
        <f>Assumption!C19</f>
        <v>0.05</v>
      </c>
    </row>
    <row r="25" spans="2:12">
      <c r="B25" s="164" t="s">
        <v>168</v>
      </c>
      <c r="C25" s="165">
        <f>Assumption!C20</f>
        <v>8.2017570056366743E-2</v>
      </c>
      <c r="E25" s="179"/>
      <c r="F25" s="180"/>
      <c r="G25" s="181" t="s">
        <v>167</v>
      </c>
      <c r="H25" s="181"/>
      <c r="I25" s="181"/>
      <c r="J25" s="181"/>
      <c r="K25" s="123"/>
    </row>
    <row r="26" spans="2:12">
      <c r="E26" s="182"/>
      <c r="F26" s="176">
        <f>C40</f>
        <v>457.87547627325938</v>
      </c>
      <c r="G26" s="177">
        <v>0.03</v>
      </c>
      <c r="H26" s="177">
        <v>0.04</v>
      </c>
      <c r="I26" s="178">
        <v>0.05</v>
      </c>
      <c r="J26" s="177">
        <v>5.5E-2</v>
      </c>
      <c r="K26" s="183">
        <v>0.06</v>
      </c>
    </row>
    <row r="27" spans="2:12" ht="15.75" thickBot="1">
      <c r="B27" s="154" t="s">
        <v>322</v>
      </c>
      <c r="C27" s="154"/>
      <c r="E27" s="184" t="s">
        <v>168</v>
      </c>
      <c r="F27" s="174">
        <v>0.10188488125434587</v>
      </c>
      <c r="G27" s="104">
        <f t="dataTable" ref="G27:K31" dt2D="1" dtr="1" r1="C24" r2="C25" ca="1"/>
        <v>279.08316856881652</v>
      </c>
      <c r="H27" s="104">
        <v>296.44411388262097</v>
      </c>
      <c r="I27" s="104">
        <v>320.49716097794419</v>
      </c>
      <c r="J27" s="104">
        <v>336.371360970306</v>
      </c>
      <c r="K27" s="185">
        <v>356.03552037450578</v>
      </c>
    </row>
    <row r="28" spans="2:12">
      <c r="B28" t="s">
        <v>281</v>
      </c>
      <c r="C28" s="97">
        <f>C23*(K12+K15)</f>
        <v>4917725.2695341157</v>
      </c>
      <c r="E28" s="184"/>
      <c r="F28" s="174">
        <v>9.1884881254345879E-2</v>
      </c>
      <c r="G28" s="104">
        <v>313.02285536508407</v>
      </c>
      <c r="H28" s="104">
        <v>338.19770932381851</v>
      </c>
      <c r="I28" s="104">
        <v>375.39353753617922</v>
      </c>
      <c r="J28" s="104">
        <v>401.55467814887942</v>
      </c>
      <c r="K28" s="185">
        <v>435.92069191259202</v>
      </c>
    </row>
    <row r="29" spans="2:12">
      <c r="B29" t="s">
        <v>323</v>
      </c>
      <c r="C29" s="97">
        <f>K18*(1+C24)/(C25-C24)</f>
        <v>6704202.9370999932</v>
      </c>
      <c r="E29" s="184"/>
      <c r="F29" s="174">
        <v>8.1884881254345884E-2</v>
      </c>
      <c r="G29" s="104">
        <v>356.97048837566081</v>
      </c>
      <c r="H29" s="104">
        <v>395.91741901814868</v>
      </c>
      <c r="I29" s="104">
        <v>459.29406626005442</v>
      </c>
      <c r="J29" s="104">
        <v>508.66239559936821</v>
      </c>
      <c r="K29" s="185">
        <v>580.58891420439284</v>
      </c>
    </row>
    <row r="30" spans="2:12" ht="15.75" thickBot="1">
      <c r="B30" s="159" t="s">
        <v>288</v>
      </c>
      <c r="C30" s="161">
        <f>AVERAGE(C28:C29)</f>
        <v>5810964.103317054</v>
      </c>
      <c r="E30" s="184"/>
      <c r="F30" s="174">
        <v>7.1884881254345889E-2</v>
      </c>
      <c r="G30" s="104">
        <v>417.69009346186743</v>
      </c>
      <c r="H30" s="104">
        <v>484.07873664070979</v>
      </c>
      <c r="I30" s="104">
        <v>611.13816199769099</v>
      </c>
      <c r="J30" s="104">
        <v>731.10568290370929</v>
      </c>
      <c r="K30" s="185">
        <v>952.01449075960852</v>
      </c>
    </row>
    <row r="31" spans="2:12" ht="15.75" thickBot="1">
      <c r="E31" s="186"/>
      <c r="F31" s="187">
        <v>6.1884881254345887E-2</v>
      </c>
      <c r="G31" s="105">
        <v>510.37534507438022</v>
      </c>
      <c r="H31" s="105">
        <v>643.53124861375318</v>
      </c>
      <c r="I31" s="105">
        <v>1000.7632715349375</v>
      </c>
      <c r="J31" s="105">
        <v>1568.5276318094886</v>
      </c>
      <c r="K31" s="188">
        <v>5148.4942672431825</v>
      </c>
    </row>
    <row r="33" spans="2:11" ht="15" customHeight="1" thickBot="1">
      <c r="B33" s="154" t="s">
        <v>324</v>
      </c>
      <c r="C33" s="154"/>
    </row>
    <row r="34" spans="2:11">
      <c r="B34" t="s">
        <v>325</v>
      </c>
      <c r="C34" s="98">
        <f>NPV(C25,G20:L20)</f>
        <v>4076137.3953225948</v>
      </c>
      <c r="E34" s="189" t="s">
        <v>168</v>
      </c>
      <c r="F34" s="190"/>
      <c r="G34" s="181" t="s">
        <v>335</v>
      </c>
      <c r="H34" s="181"/>
      <c r="I34" s="181"/>
      <c r="J34" s="181"/>
      <c r="K34" s="123"/>
    </row>
    <row r="35" spans="2:11">
      <c r="B35" t="s">
        <v>326</v>
      </c>
      <c r="C35" s="98">
        <f>'Comps Valuation'!I28</f>
        <v>90380</v>
      </c>
      <c r="E35" s="184"/>
      <c r="F35" s="173">
        <f>C40</f>
        <v>457.87547627325938</v>
      </c>
      <c r="G35" s="175">
        <v>6.8281064210988696</v>
      </c>
      <c r="H35" s="175">
        <v>9.8281064210988696</v>
      </c>
      <c r="I35" s="175">
        <v>12.82810642109887</v>
      </c>
      <c r="J35" s="175">
        <v>15.82810642109887</v>
      </c>
      <c r="K35" s="191">
        <v>18.82810642109887</v>
      </c>
    </row>
    <row r="36" spans="2:11">
      <c r="B36" t="s">
        <v>327</v>
      </c>
      <c r="C36" s="98">
        <f>-'Comps Valuation'!H28</f>
        <v>-435846</v>
      </c>
      <c r="E36" s="184"/>
      <c r="F36" s="174">
        <v>0.10188488125434587</v>
      </c>
      <c r="G36" s="102">
        <f t="dataTable" ref="G36:K40" dt2D="1" dtr="1" r1="C23" r2="C25"/>
        <v>241.63548465813565</v>
      </c>
      <c r="H36" s="102">
        <v>281.06632281803991</v>
      </c>
      <c r="I36" s="102">
        <v>320.49716097794419</v>
      </c>
      <c r="J36" s="102">
        <v>359.92799913784836</v>
      </c>
      <c r="K36" s="192">
        <v>399.35883729775253</v>
      </c>
    </row>
    <row r="37" spans="2:11">
      <c r="B37" t="s">
        <v>328</v>
      </c>
      <c r="C37" s="98">
        <v>0</v>
      </c>
      <c r="E37" s="184"/>
      <c r="F37" s="174">
        <v>9.1884881254345879E-2</v>
      </c>
      <c r="G37" s="102">
        <v>292.09790427753126</v>
      </c>
      <c r="H37" s="102">
        <v>333.7457209068553</v>
      </c>
      <c r="I37" s="102">
        <v>375.39353753617922</v>
      </c>
      <c r="J37" s="102">
        <v>417.04135416550326</v>
      </c>
      <c r="K37" s="192">
        <v>458.68917079482719</v>
      </c>
    </row>
    <row r="38" spans="2:11" ht="15.75" thickBot="1">
      <c r="B38" s="12" t="s">
        <v>295</v>
      </c>
      <c r="C38" s="99">
        <f>SUM(C34:C37)</f>
        <v>3730671.3953225948</v>
      </c>
      <c r="E38" s="184"/>
      <c r="F38" s="174">
        <v>8.1884881254345884E-2</v>
      </c>
      <c r="G38" s="102">
        <v>371.27088934906544</v>
      </c>
      <c r="H38" s="102">
        <v>415.2824778045599</v>
      </c>
      <c r="I38" s="102">
        <v>459.29406626005442</v>
      </c>
      <c r="J38" s="102">
        <v>503.30565471554888</v>
      </c>
      <c r="K38" s="192">
        <v>547.31724317104329</v>
      </c>
    </row>
    <row r="39" spans="2:11">
      <c r="E39" s="184"/>
      <c r="F39" s="174">
        <v>7.1884881254345889E-2</v>
      </c>
      <c r="G39" s="102">
        <v>518.07142704136538</v>
      </c>
      <c r="H39" s="102">
        <v>564.60479451952813</v>
      </c>
      <c r="I39" s="102">
        <v>611.13816199769099</v>
      </c>
      <c r="J39" s="102">
        <v>657.67152947585384</v>
      </c>
      <c r="K39" s="192">
        <v>704.20489695401636</v>
      </c>
    </row>
    <row r="40" spans="2:11" ht="15.75" thickBot="1">
      <c r="B40" s="156" t="s">
        <v>329</v>
      </c>
      <c r="C40" s="157">
        <f>C38/Assumption!C21</f>
        <v>457.87547627325938</v>
      </c>
      <c r="E40" s="186"/>
      <c r="F40" s="187">
        <v>6.1884881254345887E-2</v>
      </c>
      <c r="G40" s="103">
        <v>902.31259049586038</v>
      </c>
      <c r="H40" s="103">
        <v>951.53793101539884</v>
      </c>
      <c r="I40" s="103">
        <v>1000.7632715349375</v>
      </c>
      <c r="J40" s="103">
        <v>1049.9886120544761</v>
      </c>
      <c r="K40" s="193">
        <v>1099.2139525740147</v>
      </c>
    </row>
    <row r="41" spans="2:11" ht="15.75" thickTop="1"/>
    <row r="42" spans="2:11" ht="15.75" thickBot="1">
      <c r="B42" s="158" t="s">
        <v>330</v>
      </c>
      <c r="C42" s="158"/>
      <c r="E42" s="230"/>
      <c r="F42" s="230"/>
      <c r="G42" s="230"/>
      <c r="H42" s="230"/>
      <c r="I42" s="230"/>
      <c r="J42" s="230"/>
      <c r="K42" s="230"/>
    </row>
    <row r="43" spans="2:11">
      <c r="B43" t="s">
        <v>331</v>
      </c>
      <c r="C43" s="100">
        <f>Assumption!C23</f>
        <v>220.13</v>
      </c>
      <c r="E43" s="230"/>
      <c r="F43" s="230"/>
      <c r="G43" s="230"/>
      <c r="H43" s="230"/>
      <c r="I43" s="230"/>
      <c r="J43" s="230"/>
      <c r="K43" s="230"/>
    </row>
    <row r="44" spans="2:11">
      <c r="B44" t="s">
        <v>332</v>
      </c>
      <c r="C44" s="101">
        <f>C40</f>
        <v>457.87547627325938</v>
      </c>
      <c r="E44" s="230"/>
      <c r="F44" s="230"/>
      <c r="G44" s="230"/>
      <c r="H44" s="230"/>
      <c r="I44" s="230"/>
      <c r="J44" s="230"/>
      <c r="K44" s="230"/>
    </row>
    <row r="45" spans="2:11" ht="15.75" thickBot="1">
      <c r="B45" s="159" t="s">
        <v>333</v>
      </c>
      <c r="C45" s="160">
        <f>C44/C43-1</f>
        <v>1.0800230603427945</v>
      </c>
      <c r="E45" s="230"/>
      <c r="F45" s="230"/>
      <c r="G45" s="230"/>
      <c r="H45" s="230"/>
      <c r="I45" s="230"/>
      <c r="J45" s="230"/>
      <c r="K45" s="230"/>
    </row>
  </sheetData>
  <mergeCells count="9">
    <mergeCell ref="E23:K23"/>
    <mergeCell ref="G25:K25"/>
    <mergeCell ref="E27:E31"/>
    <mergeCell ref="E34:E40"/>
    <mergeCell ref="G34:K34"/>
    <mergeCell ref="B7:L7"/>
    <mergeCell ref="B42:C42"/>
    <mergeCell ref="B27:C27"/>
    <mergeCell ref="B33:C33"/>
  </mergeCells>
  <conditionalFormatting sqref="G27:K3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6:K4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J15"/>
  <sheetViews>
    <sheetView showGridLines="0" tabSelected="1" topLeftCell="A10" workbookViewId="0">
      <selection activeCell="L20" sqref="L20"/>
    </sheetView>
  </sheetViews>
  <sheetFormatPr defaultRowHeight="15"/>
  <cols>
    <col min="1" max="1" width="1.85546875" customWidth="1"/>
    <col min="5" max="5" width="14.42578125" bestFit="1" customWidth="1"/>
    <col min="6" max="6" width="14.85546875" bestFit="1" customWidth="1"/>
    <col min="7" max="7" width="7.140625" bestFit="1" customWidth="1"/>
    <col min="8" max="8" width="14.5703125" bestFit="1" customWidth="1"/>
    <col min="9" max="9" width="17.5703125" bestFit="1" customWidth="1"/>
  </cols>
  <sheetData>
    <row r="8" spans="2:10" ht="15.75" thickBot="1">
      <c r="B8" s="222" t="s">
        <v>354</v>
      </c>
      <c r="C8" s="222"/>
      <c r="D8" s="222"/>
      <c r="E8" s="222"/>
      <c r="F8" s="222"/>
      <c r="G8" s="222"/>
      <c r="H8" s="222"/>
      <c r="I8" s="222"/>
      <c r="J8" s="222"/>
    </row>
    <row r="9" spans="2:10" ht="15.75" thickBot="1"/>
    <row r="10" spans="2:10">
      <c r="B10" s="256" t="s">
        <v>355</v>
      </c>
      <c r="C10" s="257"/>
      <c r="D10" s="257"/>
      <c r="E10" s="257"/>
      <c r="F10" s="257"/>
      <c r="G10" s="257"/>
      <c r="H10" s="257"/>
      <c r="I10" s="258"/>
    </row>
    <row r="11" spans="2:10">
      <c r="B11" s="254"/>
      <c r="C11" s="47"/>
      <c r="D11" s="47"/>
      <c r="E11" s="47" t="s">
        <v>356</v>
      </c>
      <c r="F11" s="47" t="s">
        <v>357</v>
      </c>
      <c r="G11" s="47" t="s">
        <v>358</v>
      </c>
      <c r="H11" s="47" t="s">
        <v>359</v>
      </c>
      <c r="I11" s="259" t="s">
        <v>360</v>
      </c>
    </row>
    <row r="12" spans="2:10">
      <c r="B12" s="262" t="s">
        <v>286</v>
      </c>
      <c r="C12" s="18"/>
      <c r="D12" s="18"/>
      <c r="E12" s="86">
        <f>'Comps Valuation'!$J$35</f>
        <v>219.84256443551226</v>
      </c>
      <c r="F12" s="86">
        <f>'Comps Valuation'!$J$40</f>
        <v>258.52744291745688</v>
      </c>
      <c r="G12" s="86">
        <v>458</v>
      </c>
      <c r="H12" s="86">
        <v>234</v>
      </c>
      <c r="I12" s="260">
        <v>250</v>
      </c>
    </row>
    <row r="13" spans="2:10">
      <c r="B13" s="262" t="s">
        <v>286</v>
      </c>
      <c r="C13" s="18"/>
      <c r="D13" s="18"/>
      <c r="E13" s="86">
        <f>E12</f>
        <v>219.84256443551226</v>
      </c>
      <c r="F13" s="86">
        <f>F12</f>
        <v>258.52744291745688</v>
      </c>
      <c r="G13" s="86">
        <f>G12</f>
        <v>458</v>
      </c>
      <c r="H13" s="86">
        <f>H12</f>
        <v>234</v>
      </c>
      <c r="I13" s="260">
        <f>I12</f>
        <v>250</v>
      </c>
    </row>
    <row r="14" spans="2:10">
      <c r="B14" s="262" t="s">
        <v>291</v>
      </c>
      <c r="C14" s="18"/>
      <c r="D14" s="18"/>
      <c r="E14" s="86">
        <f>'Comps Valuation'!$J$34</f>
        <v>172.74881773478128</v>
      </c>
      <c r="F14" s="86">
        <f>'Comps Valuation'!$J$41</f>
        <v>210.49358148783824</v>
      </c>
      <c r="G14" s="86">
        <v>131</v>
      </c>
      <c r="H14" s="86">
        <v>79</v>
      </c>
      <c r="I14" s="260">
        <v>170</v>
      </c>
    </row>
    <row r="15" spans="2:10" ht="15.75" thickBot="1">
      <c r="B15" s="263" t="s">
        <v>291</v>
      </c>
      <c r="C15" s="264"/>
      <c r="D15" s="264"/>
      <c r="E15" s="255">
        <f>E14</f>
        <v>172.74881773478128</v>
      </c>
      <c r="F15" s="255">
        <f>F14</f>
        <v>210.49358148783824</v>
      </c>
      <c r="G15" s="255">
        <f>G14</f>
        <v>131</v>
      </c>
      <c r="H15" s="255">
        <f>H14</f>
        <v>79</v>
      </c>
      <c r="I15" s="261">
        <f>I14</f>
        <v>170</v>
      </c>
    </row>
  </sheetData>
  <mergeCells count="1">
    <mergeCell ref="B8:J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Assumption</vt:lpstr>
      <vt:lpstr>Income statement</vt:lpstr>
      <vt:lpstr>Balance Sheet</vt:lpstr>
      <vt:lpstr>Revenue BuildUp</vt:lpstr>
      <vt:lpstr>cost Build_up</vt:lpstr>
      <vt:lpstr>Working Capital</vt:lpstr>
      <vt:lpstr>Debt Schedules</vt:lpstr>
      <vt:lpstr>CashFlow </vt:lpstr>
      <vt:lpstr>CommonSize Statement</vt:lpstr>
      <vt:lpstr>B_Sheet </vt:lpstr>
      <vt:lpstr>FAS</vt:lpstr>
      <vt:lpstr>P&amp;L Statement</vt:lpstr>
      <vt:lpstr>Balance_Sheet</vt:lpstr>
      <vt:lpstr>Equity Market</vt:lpstr>
      <vt:lpstr>Beta</vt:lpstr>
      <vt:lpstr>Comps Data</vt:lpstr>
      <vt:lpstr>Comps Valuation</vt:lpstr>
      <vt:lpstr>WACC</vt:lpstr>
      <vt:lpstr>DCF Valuation</vt:lpstr>
      <vt:lpstr>FootBall Field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Kumar</dc:creator>
  <cp:lastModifiedBy>Dhiraj Kumar</cp:lastModifiedBy>
  <dcterms:created xsi:type="dcterms:W3CDTF">2025-08-20T12:05:14Z</dcterms:created>
  <dcterms:modified xsi:type="dcterms:W3CDTF">2025-08-21T10:00:27Z</dcterms:modified>
</cp:coreProperties>
</file>