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2.xml" ContentType="application/vnd.openxmlformats-officedocument.drawing+xml"/>
  <Override PartName="/xl/drawings/drawing2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raj Kumar\OneDrive\Desktop\"/>
    </mc:Choice>
  </mc:AlternateContent>
  <bookViews>
    <workbookView xWindow="0" yWindow="0" windowWidth="20490" windowHeight="7350" firstSheet="13" activeTab="17"/>
  </bookViews>
  <sheets>
    <sheet name="Index" sheetId="23" r:id="rId1"/>
    <sheet name="Assumption" sheetId="7" r:id="rId2"/>
    <sheet name="Historical P&amp;L" sheetId="1" r:id="rId3"/>
    <sheet name="Historical balance Sheet" sheetId="2" r:id="rId4"/>
    <sheet name="Revenue Build_up" sheetId="5" r:id="rId5"/>
    <sheet name="Cost Build_up" sheetId="6" r:id="rId6"/>
    <sheet name="Working Capital Schedules" sheetId="8" r:id="rId7"/>
    <sheet name="Dep and Capex Schedules" sheetId="25" r:id="rId8"/>
    <sheet name="Debt Schedules" sheetId="9" r:id="rId9"/>
    <sheet name="Balance_Sheet" sheetId="4" r:id="rId10"/>
    <sheet name="Income statement" sheetId="11" r:id="rId11"/>
    <sheet name="Balance Sheet" sheetId="10" r:id="rId12"/>
    <sheet name="Cashflow Statement" sheetId="24" r:id="rId13"/>
    <sheet name="Common Size Statement" sheetId="19" r:id="rId14"/>
    <sheet name="Equity Market" sheetId="13" r:id="rId15"/>
    <sheet name="Beta" sheetId="14" r:id="rId16"/>
    <sheet name="Comps Data" sheetId="15" r:id="rId17"/>
    <sheet name="Comps " sheetId="16" r:id="rId18"/>
    <sheet name="WACC" sheetId="17" r:id="rId19"/>
    <sheet name="DCF" sheetId="18" r:id="rId20"/>
    <sheet name="Football Field Analysis" sheetId="20" r:id="rId21"/>
    <sheet name="Ratio Analysis" sheetId="21" r:id="rId22"/>
    <sheet name="Charts" sheetId="22" r:id="rId23"/>
  </sheets>
  <externalReferences>
    <externalReference r:id="rId24"/>
  </externalReferences>
  <definedNames>
    <definedName name="_xlnm.Print_Area" localSheetId="17">'Comps '!$A$1:$S$49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0" i="18" l="1"/>
  <c r="C32" i="18"/>
  <c r="C31" i="18"/>
  <c r="R24" i="16"/>
  <c r="R23" i="16"/>
  <c r="R22" i="16"/>
  <c r="R21" i="16"/>
  <c r="R20" i="16"/>
  <c r="R19" i="16"/>
  <c r="R18" i="16"/>
  <c r="R17" i="16"/>
  <c r="R16" i="16"/>
  <c r="R15" i="16"/>
  <c r="D13" i="25" l="1"/>
  <c r="H14" i="25"/>
  <c r="C28" i="5" l="1"/>
  <c r="H17" i="9"/>
  <c r="I59" i="21"/>
  <c r="H59" i="21"/>
  <c r="G59" i="21"/>
  <c r="F59" i="21"/>
  <c r="E59" i="21"/>
  <c r="I21" i="21"/>
  <c r="H21" i="21"/>
  <c r="G21" i="21"/>
  <c r="F21" i="21"/>
  <c r="E21" i="21"/>
  <c r="I19" i="21"/>
  <c r="H19" i="21"/>
  <c r="G19" i="21"/>
  <c r="F19" i="21"/>
  <c r="E19" i="21"/>
  <c r="I17" i="21"/>
  <c r="H17" i="21"/>
  <c r="G17" i="21"/>
  <c r="F17" i="21"/>
  <c r="E17" i="21"/>
  <c r="I15" i="21"/>
  <c r="H15" i="21"/>
  <c r="G15" i="21"/>
  <c r="F15" i="21"/>
  <c r="E15" i="21"/>
  <c r="J18" i="25"/>
  <c r="K18" i="25" s="1"/>
  <c r="L18" i="25" s="1"/>
  <c r="M18" i="25" s="1"/>
  <c r="N18" i="25" s="1"/>
  <c r="O18" i="25" s="1"/>
  <c r="P18" i="25" s="1"/>
  <c r="Q18" i="25" s="1"/>
  <c r="I18" i="25"/>
  <c r="G18" i="25"/>
  <c r="F18" i="25"/>
  <c r="E18" i="25"/>
  <c r="D18" i="25"/>
  <c r="G12" i="25"/>
  <c r="F12" i="25"/>
  <c r="E12" i="25"/>
  <c r="D12" i="25"/>
  <c r="G15" i="25"/>
  <c r="F15" i="25"/>
  <c r="E15" i="25"/>
  <c r="D15" i="25"/>
  <c r="H12" i="25"/>
  <c r="F27" i="18"/>
  <c r="E27" i="18"/>
  <c r="D27" i="18"/>
  <c r="C27" i="18"/>
  <c r="C47" i="17"/>
  <c r="F47" i="17" s="1"/>
  <c r="C18" i="7"/>
  <c r="F14" i="13"/>
  <c r="F13" i="13"/>
  <c r="H18" i="25" l="1"/>
  <c r="G41" i="24" l="1"/>
  <c r="F41" i="24"/>
  <c r="E41" i="24"/>
  <c r="D41" i="24"/>
  <c r="G24" i="11"/>
  <c r="F24" i="11"/>
  <c r="E24" i="11"/>
  <c r="D24" i="11"/>
  <c r="C24" i="11"/>
  <c r="G15" i="10"/>
  <c r="F15" i="10"/>
  <c r="E15" i="10"/>
  <c r="D15" i="10"/>
  <c r="C15" i="10"/>
  <c r="G14" i="25"/>
  <c r="F14" i="25"/>
  <c r="E14" i="25"/>
  <c r="D14" i="25"/>
  <c r="C14" i="25"/>
  <c r="D10" i="25"/>
  <c r="E10" i="25" s="1"/>
  <c r="F10" i="25" s="1"/>
  <c r="G10" i="25" s="1"/>
  <c r="H10" i="25" s="1"/>
  <c r="I10" i="25" s="1"/>
  <c r="J10" i="25" s="1"/>
  <c r="K10" i="25" s="1"/>
  <c r="L10" i="25" s="1"/>
  <c r="M10" i="25" s="1"/>
  <c r="N10" i="25" s="1"/>
  <c r="O10" i="25" s="1"/>
  <c r="P10" i="25" s="1"/>
  <c r="Q10" i="25" s="1"/>
  <c r="C15" i="25"/>
  <c r="G14" i="5"/>
  <c r="F14" i="5"/>
  <c r="E14" i="5"/>
  <c r="D14" i="5"/>
  <c r="C14" i="5"/>
  <c r="E13" i="25" l="1"/>
  <c r="E17" i="25"/>
  <c r="D17" i="25"/>
  <c r="F17" i="25" l="1"/>
  <c r="F13" i="25"/>
  <c r="G17" i="25"/>
  <c r="H17" i="25" s="1"/>
  <c r="G13" i="25"/>
  <c r="I17" i="25" l="1"/>
  <c r="J17" i="25" s="1"/>
  <c r="K17" i="25" s="1"/>
  <c r="L17" i="25" s="1"/>
  <c r="M17" i="25" s="1"/>
  <c r="N17" i="25" s="1"/>
  <c r="O17" i="25" s="1"/>
  <c r="P17" i="25" s="1"/>
  <c r="Q17" i="25" s="1"/>
  <c r="H24" i="11"/>
  <c r="H16" i="24" s="1"/>
  <c r="F24" i="18" l="1"/>
  <c r="E24" i="18"/>
  <c r="D24" i="18"/>
  <c r="C24" i="18"/>
  <c r="F23" i="18"/>
  <c r="E23" i="18"/>
  <c r="D23" i="18"/>
  <c r="C23" i="18"/>
  <c r="E12" i="18"/>
  <c r="F12" i="18" s="1"/>
  <c r="D12" i="18"/>
  <c r="I63" i="21" l="1"/>
  <c r="H63" i="21"/>
  <c r="G63" i="21"/>
  <c r="F63" i="21"/>
  <c r="Q40" i="24"/>
  <c r="P40" i="24"/>
  <c r="O40" i="24"/>
  <c r="N40" i="24"/>
  <c r="M40" i="24"/>
  <c r="L40" i="24"/>
  <c r="K40" i="24"/>
  <c r="J40" i="24"/>
  <c r="I40" i="24"/>
  <c r="I53" i="24"/>
  <c r="J53" i="24"/>
  <c r="K53" i="24"/>
  <c r="L53" i="24"/>
  <c r="M53" i="24"/>
  <c r="N53" i="24"/>
  <c r="O53" i="24"/>
  <c r="P53" i="24"/>
  <c r="Q53" i="24"/>
  <c r="Q41" i="24"/>
  <c r="P41" i="24"/>
  <c r="O41" i="24"/>
  <c r="N41" i="24"/>
  <c r="M41" i="24"/>
  <c r="L41" i="24"/>
  <c r="K41" i="24"/>
  <c r="J41" i="24"/>
  <c r="I41" i="24"/>
  <c r="G24" i="18" l="1"/>
  <c r="G31" i="24"/>
  <c r="G23" i="18"/>
  <c r="Q10" i="24"/>
  <c r="I10" i="24"/>
  <c r="J10" i="24" s="1"/>
  <c r="K10" i="24" s="1"/>
  <c r="L10" i="24" s="1"/>
  <c r="M10" i="24" s="1"/>
  <c r="N10" i="24" s="1"/>
  <c r="O10" i="24" s="1"/>
  <c r="P10" i="24" s="1"/>
  <c r="H10" i="24"/>
  <c r="H54" i="24"/>
  <c r="G47" i="24"/>
  <c r="F47" i="24"/>
  <c r="E47" i="24"/>
  <c r="D47" i="24"/>
  <c r="C47" i="24"/>
  <c r="H15" i="24" l="1"/>
  <c r="G57" i="24" l="1"/>
  <c r="F57" i="24"/>
  <c r="E57" i="24"/>
  <c r="D57" i="24"/>
  <c r="C57" i="24"/>
  <c r="E25" i="24"/>
  <c r="E31" i="24" s="1"/>
  <c r="E34" i="24" s="1"/>
  <c r="G20" i="24"/>
  <c r="G25" i="24" s="1"/>
  <c r="G34" i="24" s="1"/>
  <c r="F20" i="24"/>
  <c r="F25" i="24" s="1"/>
  <c r="F31" i="24" s="1"/>
  <c r="F34" i="24" s="1"/>
  <c r="E20" i="24"/>
  <c r="D20" i="24"/>
  <c r="D25" i="24" s="1"/>
  <c r="D31" i="24" s="1"/>
  <c r="D34" i="24" s="1"/>
  <c r="C20" i="24"/>
  <c r="C25" i="24" s="1"/>
  <c r="C31" i="24" s="1"/>
  <c r="C34" i="24" s="1"/>
  <c r="C59" i="24" l="1"/>
  <c r="C61" i="24" s="1"/>
  <c r="D60" i="24" s="1"/>
  <c r="G59" i="24"/>
  <c r="E59" i="24"/>
  <c r="F59" i="24"/>
  <c r="D59" i="24"/>
  <c r="E10" i="24"/>
  <c r="F10" i="24" s="1"/>
  <c r="G10" i="24" s="1"/>
  <c r="D10" i="24"/>
  <c r="G60" i="10"/>
  <c r="I67" i="21" s="1"/>
  <c r="F60" i="10"/>
  <c r="H67" i="21" s="1"/>
  <c r="E60" i="10"/>
  <c r="G67" i="21" s="1"/>
  <c r="D60" i="10"/>
  <c r="F67" i="21" s="1"/>
  <c r="C60" i="10"/>
  <c r="C23" i="8"/>
  <c r="G16" i="8"/>
  <c r="F16" i="8"/>
  <c r="E16" i="8"/>
  <c r="D16" i="8"/>
  <c r="C16" i="8"/>
  <c r="G53" i="10"/>
  <c r="G52" i="10"/>
  <c r="F52" i="10"/>
  <c r="E52" i="10"/>
  <c r="D52" i="10"/>
  <c r="C52" i="10"/>
  <c r="G44" i="4"/>
  <c r="F44" i="4"/>
  <c r="F53" i="10" s="1"/>
  <c r="E44" i="4"/>
  <c r="E53" i="10" s="1"/>
  <c r="D44" i="4"/>
  <c r="D53" i="10" s="1"/>
  <c r="G42" i="4"/>
  <c r="F42" i="4"/>
  <c r="E42" i="4"/>
  <c r="D42" i="4"/>
  <c r="C42" i="4"/>
  <c r="C44" i="4"/>
  <c r="C53" i="10" s="1"/>
  <c r="G57" i="2"/>
  <c r="G72" i="2" s="1"/>
  <c r="G74" i="2" s="1"/>
  <c r="F57" i="2"/>
  <c r="E70" i="2"/>
  <c r="E72" i="2" s="1"/>
  <c r="E74" i="2" s="1"/>
  <c r="G70" i="2"/>
  <c r="F70" i="2"/>
  <c r="F72" i="2" s="1"/>
  <c r="F74" i="2" s="1"/>
  <c r="D70" i="2"/>
  <c r="E57" i="2"/>
  <c r="D57" i="2"/>
  <c r="G40" i="2"/>
  <c r="F40" i="2"/>
  <c r="E40" i="2"/>
  <c r="D40" i="2"/>
  <c r="G38" i="2"/>
  <c r="F38" i="2"/>
  <c r="E38" i="2"/>
  <c r="D38" i="2"/>
  <c r="G25" i="2"/>
  <c r="F25" i="2"/>
  <c r="E25" i="2"/>
  <c r="D25" i="2"/>
  <c r="J39" i="6"/>
  <c r="K39" i="6" s="1"/>
  <c r="L39" i="6" s="1"/>
  <c r="M39" i="6" s="1"/>
  <c r="N39" i="6" s="1"/>
  <c r="O39" i="6" s="1"/>
  <c r="P39" i="6" s="1"/>
  <c r="Q39" i="6" s="1"/>
  <c r="I39" i="6"/>
  <c r="H39" i="6"/>
  <c r="D61" i="24" l="1"/>
  <c r="D72" i="2"/>
  <c r="D74" i="2" s="1"/>
  <c r="E60" i="24" l="1"/>
  <c r="E61" i="24" s="1"/>
  <c r="K23" i="21"/>
  <c r="J23" i="21"/>
  <c r="I23" i="21"/>
  <c r="H23" i="21"/>
  <c r="G23" i="21"/>
  <c r="F23" i="21"/>
  <c r="E23" i="21"/>
  <c r="F10" i="21"/>
  <c r="G10" i="21" s="1"/>
  <c r="H10" i="21" s="1"/>
  <c r="I10" i="21" s="1"/>
  <c r="J10" i="21" s="1"/>
  <c r="K10" i="21" s="1"/>
  <c r="L10" i="21" s="1"/>
  <c r="M10" i="21" s="1"/>
  <c r="N10" i="21" s="1"/>
  <c r="O10" i="21" s="1"/>
  <c r="P10" i="21" s="1"/>
  <c r="Q10" i="21" s="1"/>
  <c r="R10" i="21" s="1"/>
  <c r="S10" i="21" s="1"/>
  <c r="I17" i="20"/>
  <c r="H17" i="20"/>
  <c r="G17" i="20"/>
  <c r="F17" i="20"/>
  <c r="E17" i="20"/>
  <c r="I15" i="20"/>
  <c r="H15" i="20"/>
  <c r="G15" i="20"/>
  <c r="F15" i="20"/>
  <c r="E15" i="20"/>
  <c r="G42" i="19"/>
  <c r="F42" i="19"/>
  <c r="E42" i="19"/>
  <c r="D42" i="19"/>
  <c r="C42" i="19"/>
  <c r="G32" i="19"/>
  <c r="F32" i="19"/>
  <c r="E32" i="19"/>
  <c r="D32" i="19"/>
  <c r="C32" i="19"/>
  <c r="G22" i="19"/>
  <c r="F22" i="19"/>
  <c r="E22" i="19"/>
  <c r="D22" i="19"/>
  <c r="G21" i="19"/>
  <c r="F21" i="19"/>
  <c r="E21" i="19"/>
  <c r="D21" i="19"/>
  <c r="C22" i="19"/>
  <c r="C21" i="19"/>
  <c r="G17" i="19"/>
  <c r="F17" i="19"/>
  <c r="E17" i="19"/>
  <c r="D17" i="19"/>
  <c r="C17" i="19"/>
  <c r="G45" i="19"/>
  <c r="F45" i="19"/>
  <c r="E45" i="19"/>
  <c r="D45" i="19"/>
  <c r="C45" i="19"/>
  <c r="G37" i="19"/>
  <c r="F37" i="19"/>
  <c r="E37" i="19"/>
  <c r="D37" i="19"/>
  <c r="C37" i="19"/>
  <c r="G24" i="19"/>
  <c r="F24" i="19"/>
  <c r="E24" i="19"/>
  <c r="D24" i="19"/>
  <c r="C24" i="19"/>
  <c r="G18" i="19"/>
  <c r="F18" i="19"/>
  <c r="E18" i="19"/>
  <c r="D18" i="19"/>
  <c r="C18" i="19"/>
  <c r="G16" i="19"/>
  <c r="F16" i="19"/>
  <c r="E16" i="19"/>
  <c r="D16" i="19"/>
  <c r="C16" i="19"/>
  <c r="D12" i="19"/>
  <c r="E12" i="19" s="1"/>
  <c r="F12" i="19" s="1"/>
  <c r="G12" i="19" s="1"/>
  <c r="H12" i="19" s="1"/>
  <c r="I12" i="19" s="1"/>
  <c r="J12" i="19" s="1"/>
  <c r="K12" i="19" s="1"/>
  <c r="L12" i="19" s="1"/>
  <c r="M12" i="19" s="1"/>
  <c r="N12" i="19" s="1"/>
  <c r="O12" i="19" s="1"/>
  <c r="P12" i="19" s="1"/>
  <c r="Q12" i="19" s="1"/>
  <c r="C21" i="7"/>
  <c r="I35" i="18"/>
  <c r="I34" i="18" s="1"/>
  <c r="I37" i="18"/>
  <c r="F35" i="18"/>
  <c r="C43" i="18"/>
  <c r="C42" i="18"/>
  <c r="F60" i="24" l="1"/>
  <c r="F61" i="24" s="1"/>
  <c r="G60" i="24" s="1"/>
  <c r="G61" i="24" s="1"/>
  <c r="H60" i="24" s="1"/>
  <c r="P23" i="21"/>
  <c r="N23" i="21"/>
  <c r="L23" i="21"/>
  <c r="M23" i="21"/>
  <c r="H22" i="18"/>
  <c r="Q15" i="18"/>
  <c r="R15" i="18" s="1"/>
  <c r="P15" i="18"/>
  <c r="O15" i="18"/>
  <c r="N15" i="18"/>
  <c r="M15" i="18"/>
  <c r="L15" i="18"/>
  <c r="K15" i="18"/>
  <c r="J15" i="18"/>
  <c r="I15" i="18"/>
  <c r="H15" i="18"/>
  <c r="G15" i="18"/>
  <c r="C26" i="7"/>
  <c r="C20" i="7"/>
  <c r="C38" i="17"/>
  <c r="E27" i="17"/>
  <c r="B27" i="17"/>
  <c r="I25" i="17"/>
  <c r="H25" i="17"/>
  <c r="I24" i="17"/>
  <c r="H24" i="17"/>
  <c r="E22" i="17"/>
  <c r="E21" i="17"/>
  <c r="E20" i="17"/>
  <c r="E19" i="17"/>
  <c r="E18" i="17"/>
  <c r="E17" i="17"/>
  <c r="E16" i="17"/>
  <c r="E15" i="17"/>
  <c r="E14" i="17"/>
  <c r="E13" i="17"/>
  <c r="D22" i="17"/>
  <c r="F22" i="17" s="1"/>
  <c r="J22" i="17" s="1"/>
  <c r="D21" i="17"/>
  <c r="G21" i="17" s="1"/>
  <c r="B22" i="17"/>
  <c r="B21" i="17"/>
  <c r="B20" i="17"/>
  <c r="B19" i="17"/>
  <c r="B18" i="17"/>
  <c r="B17" i="17"/>
  <c r="B16" i="17"/>
  <c r="B15" i="17"/>
  <c r="B14" i="17"/>
  <c r="B13" i="17"/>
  <c r="I47" i="16"/>
  <c r="I46" i="16"/>
  <c r="I45" i="16"/>
  <c r="G47" i="16"/>
  <c r="G46" i="16"/>
  <c r="G45" i="16"/>
  <c r="F46" i="16"/>
  <c r="F45" i="16"/>
  <c r="H45" i="16" s="1"/>
  <c r="J45" i="16" s="1"/>
  <c r="I41" i="16"/>
  <c r="I40" i="16"/>
  <c r="I39" i="16"/>
  <c r="G41" i="16"/>
  <c r="G40" i="16"/>
  <c r="G39" i="16"/>
  <c r="F40" i="16"/>
  <c r="H40" i="16" s="1"/>
  <c r="J40" i="16" s="1"/>
  <c r="F39" i="16"/>
  <c r="H39" i="16" s="1"/>
  <c r="J39" i="16" s="1"/>
  <c r="M34" i="16"/>
  <c r="L34" i="16"/>
  <c r="I34" i="16"/>
  <c r="H34" i="16"/>
  <c r="F34" i="16"/>
  <c r="E34" i="16"/>
  <c r="N24" i="16"/>
  <c r="N23" i="16"/>
  <c r="N22" i="16"/>
  <c r="N21" i="16"/>
  <c r="N20" i="16"/>
  <c r="N19" i="16"/>
  <c r="N18" i="16"/>
  <c r="N17" i="16"/>
  <c r="N16" i="16"/>
  <c r="N15" i="16"/>
  <c r="M24" i="16"/>
  <c r="M23" i="16"/>
  <c r="M22" i="16"/>
  <c r="M21" i="16"/>
  <c r="M20" i="16"/>
  <c r="M19" i="16"/>
  <c r="M18" i="16"/>
  <c r="M17" i="16"/>
  <c r="M16" i="16"/>
  <c r="M15" i="16"/>
  <c r="L24" i="16"/>
  <c r="L23" i="16"/>
  <c r="L22" i="16"/>
  <c r="L21" i="16"/>
  <c r="L20" i="16"/>
  <c r="L19" i="16"/>
  <c r="L18" i="16"/>
  <c r="L17" i="16"/>
  <c r="L16" i="16"/>
  <c r="L15" i="16"/>
  <c r="I24" i="16"/>
  <c r="I23" i="16"/>
  <c r="I22" i="16"/>
  <c r="I21" i="16"/>
  <c r="I20" i="16"/>
  <c r="I19" i="16"/>
  <c r="I18" i="16"/>
  <c r="I17" i="16"/>
  <c r="I16" i="16"/>
  <c r="I15" i="16"/>
  <c r="H24" i="16"/>
  <c r="H23" i="16"/>
  <c r="H22" i="16"/>
  <c r="H21" i="16"/>
  <c r="H20" i="16"/>
  <c r="H19" i="16"/>
  <c r="H18" i="16"/>
  <c r="H17" i="16"/>
  <c r="H16" i="16"/>
  <c r="H15" i="16"/>
  <c r="G24" i="16"/>
  <c r="J24" i="16" s="1"/>
  <c r="G23" i="16"/>
  <c r="J23" i="16" s="1"/>
  <c r="G22" i="16"/>
  <c r="J22" i="16" s="1"/>
  <c r="G21" i="16"/>
  <c r="D19" i="17" s="1"/>
  <c r="G18" i="16"/>
  <c r="J18" i="16" s="1"/>
  <c r="F24" i="16"/>
  <c r="F23" i="16"/>
  <c r="F22" i="16"/>
  <c r="F21" i="16"/>
  <c r="F20" i="16"/>
  <c r="F19" i="16"/>
  <c r="F18" i="16"/>
  <c r="F17" i="16"/>
  <c r="F16" i="16"/>
  <c r="F15" i="16"/>
  <c r="E24" i="16"/>
  <c r="E23" i="16"/>
  <c r="E22" i="16"/>
  <c r="E21" i="16"/>
  <c r="E20" i="16"/>
  <c r="G20" i="16" s="1"/>
  <c r="E19" i="16"/>
  <c r="G19" i="16" s="1"/>
  <c r="E18" i="16"/>
  <c r="E17" i="16"/>
  <c r="G17" i="16" s="1"/>
  <c r="E16" i="16"/>
  <c r="G16" i="16" s="1"/>
  <c r="E15" i="16"/>
  <c r="G15" i="16" s="1"/>
  <c r="B11" i="15"/>
  <c r="B12" i="15"/>
  <c r="B13" i="15" s="1"/>
  <c r="B22" i="15" s="1"/>
  <c r="J17" i="14"/>
  <c r="H46" i="16" l="1"/>
  <c r="J46" i="16" s="1"/>
  <c r="L46" i="16" s="1"/>
  <c r="Q24" i="16"/>
  <c r="P24" i="16"/>
  <c r="G22" i="17"/>
  <c r="P23" i="16"/>
  <c r="Q23" i="16"/>
  <c r="F21" i="17"/>
  <c r="J21" i="17" s="1"/>
  <c r="Q22" i="16"/>
  <c r="P22" i="16"/>
  <c r="D20" i="17"/>
  <c r="G19" i="17"/>
  <c r="F19" i="17"/>
  <c r="J19" i="17" s="1"/>
  <c r="J21" i="16"/>
  <c r="J20" i="16"/>
  <c r="D18" i="17"/>
  <c r="J19" i="16"/>
  <c r="D17" i="17"/>
  <c r="P18" i="16"/>
  <c r="Q18" i="16"/>
  <c r="D16" i="17"/>
  <c r="L39" i="16"/>
  <c r="L45" i="16"/>
  <c r="L40" i="16"/>
  <c r="G34" i="16"/>
  <c r="D15" i="17"/>
  <c r="J17" i="16"/>
  <c r="D14" i="17"/>
  <c r="J16" i="16"/>
  <c r="J15" i="16"/>
  <c r="D13" i="17"/>
  <c r="Q17" i="18"/>
  <c r="I17" i="18"/>
  <c r="M17" i="18"/>
  <c r="H17" i="18"/>
  <c r="L17" i="18"/>
  <c r="P17" i="18"/>
  <c r="O23" i="21"/>
  <c r="Q23" i="21"/>
  <c r="R23" i="21"/>
  <c r="S23" i="21"/>
  <c r="J17" i="18"/>
  <c r="O17" i="18"/>
  <c r="H27" i="17"/>
  <c r="C43" i="17"/>
  <c r="N17" i="18"/>
  <c r="K17" i="18"/>
  <c r="B14" i="15"/>
  <c r="B15" i="15" s="1"/>
  <c r="B16" i="15" s="1"/>
  <c r="B17" i="15" s="1"/>
  <c r="B18" i="15" s="1"/>
  <c r="B19" i="15" s="1"/>
  <c r="F20" i="17" l="1"/>
  <c r="J20" i="17" s="1"/>
  <c r="G20" i="17"/>
  <c r="P21" i="16"/>
  <c r="Q21" i="16"/>
  <c r="F18" i="17"/>
  <c r="J18" i="17" s="1"/>
  <c r="G18" i="17"/>
  <c r="Q20" i="16"/>
  <c r="P20" i="16"/>
  <c r="G17" i="17"/>
  <c r="F17" i="17"/>
  <c r="J17" i="17" s="1"/>
  <c r="P19" i="16"/>
  <c r="Q19" i="16"/>
  <c r="G16" i="17"/>
  <c r="F16" i="17"/>
  <c r="J16" i="17" s="1"/>
  <c r="D27" i="17"/>
  <c r="J34" i="16"/>
  <c r="P17" i="16"/>
  <c r="Q17" i="16"/>
  <c r="G15" i="17"/>
  <c r="F15" i="17"/>
  <c r="J15" i="17" s="1"/>
  <c r="Q16" i="16"/>
  <c r="P16" i="16"/>
  <c r="G14" i="17"/>
  <c r="F14" i="17"/>
  <c r="J14" i="17" s="1"/>
  <c r="F13" i="17"/>
  <c r="G13" i="17"/>
  <c r="Q15" i="16"/>
  <c r="P15" i="16"/>
  <c r="Q34" i="16" l="1"/>
  <c r="P34" i="16"/>
  <c r="C37" i="17"/>
  <c r="C39" i="17" s="1"/>
  <c r="G27" i="17"/>
  <c r="F27" i="17"/>
  <c r="J27" i="17" s="1"/>
  <c r="P30" i="16"/>
  <c r="P29" i="16"/>
  <c r="P32" i="16"/>
  <c r="P28" i="16"/>
  <c r="P31" i="16"/>
  <c r="P27" i="16"/>
  <c r="Q29" i="16"/>
  <c r="Q27" i="16"/>
  <c r="Q32" i="16"/>
  <c r="Q30" i="16"/>
  <c r="Q28" i="16"/>
  <c r="Q31" i="16"/>
  <c r="G25" i="17"/>
  <c r="C33" i="17" s="1"/>
  <c r="C34" i="17" s="1"/>
  <c r="G24" i="17"/>
  <c r="R31" i="16"/>
  <c r="R29" i="16"/>
  <c r="R27" i="16"/>
  <c r="R28" i="16"/>
  <c r="R32" i="16"/>
  <c r="R30" i="16"/>
  <c r="F25" i="17"/>
  <c r="J13" i="17"/>
  <c r="F24" i="17"/>
  <c r="D15" i="14"/>
  <c r="G134" i="14"/>
  <c r="G133" i="14"/>
  <c r="G132" i="14"/>
  <c r="G131" i="14"/>
  <c r="G130" i="14"/>
  <c r="G129" i="14"/>
  <c r="G128" i="14"/>
  <c r="G127" i="14"/>
  <c r="G126" i="14"/>
  <c r="G125" i="14"/>
  <c r="G124" i="14"/>
  <c r="G123" i="14"/>
  <c r="G122" i="14"/>
  <c r="G121" i="14"/>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C34" i="11"/>
  <c r="J25" i="17" l="1"/>
  <c r="C50" i="17" s="1"/>
  <c r="J24" i="17"/>
  <c r="J16" i="14"/>
  <c r="J15" i="14"/>
  <c r="F50" i="17" s="1"/>
  <c r="F48" i="17"/>
  <c r="F49" i="17" s="1"/>
  <c r="C48" i="17"/>
  <c r="C49" i="17" s="1"/>
  <c r="Q42" i="11"/>
  <c r="P42" i="11"/>
  <c r="O42" i="11"/>
  <c r="N42" i="11"/>
  <c r="M42" i="11"/>
  <c r="L42" i="11"/>
  <c r="K42" i="11"/>
  <c r="J42" i="11"/>
  <c r="I42" i="11"/>
  <c r="H42" i="11"/>
  <c r="G14" i="11"/>
  <c r="F14" i="11"/>
  <c r="E14" i="11"/>
  <c r="D14" i="11"/>
  <c r="C14" i="11"/>
  <c r="G13" i="11"/>
  <c r="F13" i="11"/>
  <c r="E13" i="11"/>
  <c r="D13" i="11"/>
  <c r="C13" i="11"/>
  <c r="C15" i="11" s="1"/>
  <c r="G42" i="11"/>
  <c r="F42" i="11"/>
  <c r="E42" i="11"/>
  <c r="D42" i="11"/>
  <c r="C42" i="11"/>
  <c r="G39" i="11"/>
  <c r="F39" i="11"/>
  <c r="E39" i="11"/>
  <c r="D39" i="11"/>
  <c r="C39" i="11"/>
  <c r="Q34" i="11"/>
  <c r="P34" i="11"/>
  <c r="O34" i="11"/>
  <c r="N34" i="11"/>
  <c r="M34" i="11"/>
  <c r="L34" i="11"/>
  <c r="K34" i="11"/>
  <c r="J34" i="11"/>
  <c r="I34" i="11"/>
  <c r="H34" i="11"/>
  <c r="G34" i="11"/>
  <c r="F34" i="11"/>
  <c r="E34" i="11"/>
  <c r="D34" i="11"/>
  <c r="G29" i="11"/>
  <c r="F29" i="11"/>
  <c r="E29" i="11"/>
  <c r="D29" i="11"/>
  <c r="C29" i="11"/>
  <c r="G19" i="11"/>
  <c r="F19" i="11"/>
  <c r="E19" i="11"/>
  <c r="D19" i="11"/>
  <c r="G18" i="11"/>
  <c r="F18" i="11"/>
  <c r="E18" i="11"/>
  <c r="D18" i="11"/>
  <c r="C19" i="11"/>
  <c r="C18" i="11"/>
  <c r="D10" i="11"/>
  <c r="E10" i="11" s="1"/>
  <c r="F10" i="11" s="1"/>
  <c r="G10" i="11" s="1"/>
  <c r="H10" i="11" s="1"/>
  <c r="I10" i="11" s="1"/>
  <c r="J10" i="11" s="1"/>
  <c r="K10" i="11" s="1"/>
  <c r="L10" i="11" s="1"/>
  <c r="M10" i="11" s="1"/>
  <c r="N10" i="11" s="1"/>
  <c r="O10" i="11" s="1"/>
  <c r="P10" i="11" s="1"/>
  <c r="Q10" i="11" s="1"/>
  <c r="C51" i="17" l="1"/>
  <c r="F51" i="17"/>
  <c r="E22" i="18"/>
  <c r="E27" i="19"/>
  <c r="F22" i="18"/>
  <c r="F27" i="19"/>
  <c r="C22" i="18"/>
  <c r="C27" i="19"/>
  <c r="G22" i="18"/>
  <c r="G27" i="19"/>
  <c r="D22" i="18"/>
  <c r="D27" i="19"/>
  <c r="C21" i="11"/>
  <c r="D15" i="11"/>
  <c r="D21" i="11" s="1"/>
  <c r="E15" i="11"/>
  <c r="E16" i="11" s="1"/>
  <c r="G15" i="11"/>
  <c r="G16" i="11" s="1"/>
  <c r="F15" i="11"/>
  <c r="F16" i="11" s="1"/>
  <c r="F21" i="11"/>
  <c r="F26" i="11" s="1"/>
  <c r="D16" i="11"/>
  <c r="C26" i="11"/>
  <c r="C22" i="11"/>
  <c r="C16" i="11"/>
  <c r="G63" i="10"/>
  <c r="F63" i="10"/>
  <c r="E63" i="10"/>
  <c r="D63" i="10"/>
  <c r="C63" i="10"/>
  <c r="G62" i="10"/>
  <c r="F62" i="10"/>
  <c r="E62" i="10"/>
  <c r="D62" i="10"/>
  <c r="C62" i="10"/>
  <c r="G61" i="10"/>
  <c r="F61" i="10"/>
  <c r="E61" i="10"/>
  <c r="D61" i="10"/>
  <c r="C61" i="10"/>
  <c r="G59" i="10"/>
  <c r="F59" i="10"/>
  <c r="E59" i="10"/>
  <c r="D59" i="10"/>
  <c r="C59" i="10"/>
  <c r="G58" i="10"/>
  <c r="F58" i="10"/>
  <c r="E58" i="10"/>
  <c r="D58" i="10"/>
  <c r="C58" i="10"/>
  <c r="G51" i="10"/>
  <c r="F51" i="10"/>
  <c r="E51" i="10"/>
  <c r="D51" i="10"/>
  <c r="C51" i="10"/>
  <c r="G50" i="10"/>
  <c r="F50" i="10"/>
  <c r="E50" i="10"/>
  <c r="D50" i="10"/>
  <c r="C50" i="10"/>
  <c r="G49" i="10"/>
  <c r="F49" i="10"/>
  <c r="F54" i="10" s="1"/>
  <c r="E49" i="10"/>
  <c r="E54" i="10" s="1"/>
  <c r="D49" i="10"/>
  <c r="C49" i="10"/>
  <c r="G43" i="10"/>
  <c r="H40" i="24" s="1"/>
  <c r="F43" i="10"/>
  <c r="E43" i="10"/>
  <c r="D43" i="10"/>
  <c r="C43" i="10"/>
  <c r="G42" i="10"/>
  <c r="F42" i="10"/>
  <c r="E42" i="10"/>
  <c r="D42" i="10"/>
  <c r="C42" i="10"/>
  <c r="G41" i="10"/>
  <c r="H41" i="10" s="1"/>
  <c r="F41" i="10"/>
  <c r="E41" i="10"/>
  <c r="D41" i="10"/>
  <c r="C41" i="10"/>
  <c r="G33" i="10"/>
  <c r="F33" i="10"/>
  <c r="E33" i="10"/>
  <c r="D33" i="10"/>
  <c r="C33" i="10"/>
  <c r="G32" i="10"/>
  <c r="F32" i="10"/>
  <c r="E32" i="10"/>
  <c r="D32" i="10"/>
  <c r="C32" i="10"/>
  <c r="G31" i="10"/>
  <c r="F31" i="10"/>
  <c r="E31" i="10"/>
  <c r="D31" i="10"/>
  <c r="C31" i="10"/>
  <c r="G30" i="10"/>
  <c r="F30" i="10"/>
  <c r="E30" i="10"/>
  <c r="D30" i="10"/>
  <c r="C30" i="10"/>
  <c r="G29" i="10"/>
  <c r="H41" i="24" s="1"/>
  <c r="F29" i="10"/>
  <c r="E29" i="10"/>
  <c r="D29" i="10"/>
  <c r="C29" i="10"/>
  <c r="G28" i="10"/>
  <c r="F28" i="10"/>
  <c r="E28" i="10"/>
  <c r="D28" i="10"/>
  <c r="C28" i="10"/>
  <c r="G27" i="10"/>
  <c r="I65" i="21" s="1"/>
  <c r="F27" i="10"/>
  <c r="H65" i="21" s="1"/>
  <c r="E27" i="10"/>
  <c r="G65" i="21" s="1"/>
  <c r="D27" i="10"/>
  <c r="F65" i="21" s="1"/>
  <c r="C27" i="10"/>
  <c r="G25" i="10"/>
  <c r="F25" i="10"/>
  <c r="E25" i="10"/>
  <c r="D25" i="10"/>
  <c r="D35" i="10" s="1"/>
  <c r="C25" i="10"/>
  <c r="G20" i="10"/>
  <c r="F20" i="10"/>
  <c r="E20" i="10"/>
  <c r="D20" i="10"/>
  <c r="C20" i="10"/>
  <c r="G19" i="10"/>
  <c r="F19" i="10"/>
  <c r="E19" i="10"/>
  <c r="D19" i="10"/>
  <c r="C19" i="10"/>
  <c r="G18" i="10"/>
  <c r="F18" i="10"/>
  <c r="E18" i="10"/>
  <c r="D18" i="10"/>
  <c r="C18" i="10"/>
  <c r="G17" i="10"/>
  <c r="F17" i="10"/>
  <c r="E17" i="10"/>
  <c r="D17" i="10"/>
  <c r="C17" i="10"/>
  <c r="E22" i="10"/>
  <c r="D11" i="10"/>
  <c r="E11" i="10" s="1"/>
  <c r="F11" i="10" s="1"/>
  <c r="G11" i="10" s="1"/>
  <c r="H11" i="10" s="1"/>
  <c r="I11" i="10" s="1"/>
  <c r="J11" i="10" s="1"/>
  <c r="K11" i="10" s="1"/>
  <c r="L11" i="10" s="1"/>
  <c r="M11" i="10" s="1"/>
  <c r="N11" i="10" s="1"/>
  <c r="O11" i="10" s="1"/>
  <c r="P11" i="10" s="1"/>
  <c r="Q11" i="10" s="1"/>
  <c r="F19" i="18" l="1"/>
  <c r="F29" i="19"/>
  <c r="C19" i="18"/>
  <c r="C29" i="19"/>
  <c r="C54" i="10"/>
  <c r="G54" i="10"/>
  <c r="D54" i="10"/>
  <c r="F22" i="10"/>
  <c r="D65" i="10"/>
  <c r="E65" i="10"/>
  <c r="E35" i="10"/>
  <c r="C35" i="10"/>
  <c r="E44" i="10"/>
  <c r="G65" i="10"/>
  <c r="I41" i="10"/>
  <c r="F39" i="21"/>
  <c r="F37" i="21"/>
  <c r="E67" i="10"/>
  <c r="F44" i="10"/>
  <c r="D22" i="10"/>
  <c r="C44" i="10"/>
  <c r="G44" i="10"/>
  <c r="C44" i="18"/>
  <c r="G35" i="10"/>
  <c r="C65" i="10"/>
  <c r="E65" i="21"/>
  <c r="E67" i="21"/>
  <c r="C22" i="10"/>
  <c r="G22" i="10"/>
  <c r="F35" i="10"/>
  <c r="D44" i="10"/>
  <c r="F65" i="10"/>
  <c r="D22" i="11"/>
  <c r="D26" i="11"/>
  <c r="E21" i="11"/>
  <c r="E22" i="11" s="1"/>
  <c r="G21" i="11"/>
  <c r="G22" i="11" s="1"/>
  <c r="F22" i="11"/>
  <c r="E26" i="11"/>
  <c r="D27" i="11"/>
  <c r="F27" i="11"/>
  <c r="G26" i="11"/>
  <c r="C27" i="11"/>
  <c r="E10" i="4"/>
  <c r="F10" i="4" s="1"/>
  <c r="G10" i="4" s="1"/>
  <c r="H10" i="4" s="1"/>
  <c r="I10" i="4" s="1"/>
  <c r="J10" i="4" s="1"/>
  <c r="K10" i="4" s="1"/>
  <c r="L10" i="4" s="1"/>
  <c r="M10" i="4" s="1"/>
  <c r="N10" i="4" s="1"/>
  <c r="O10" i="4" s="1"/>
  <c r="P10" i="4" s="1"/>
  <c r="Q10" i="4" s="1"/>
  <c r="D10" i="4"/>
  <c r="G17" i="9"/>
  <c r="F17" i="9"/>
  <c r="E17" i="9"/>
  <c r="D17" i="9"/>
  <c r="C17" i="9"/>
  <c r="G15" i="9"/>
  <c r="G14" i="9" s="1"/>
  <c r="F15" i="9"/>
  <c r="G13" i="9" s="1"/>
  <c r="G16" i="9" s="1"/>
  <c r="C42" i="17" s="1"/>
  <c r="C44" i="17" s="1"/>
  <c r="E15" i="9"/>
  <c r="G49" i="21" s="1"/>
  <c r="D15" i="9"/>
  <c r="E13" i="9" s="1"/>
  <c r="E16" i="9" s="1"/>
  <c r="C15" i="9"/>
  <c r="D13" i="9" s="1"/>
  <c r="D16" i="9" s="1"/>
  <c r="G15" i="8"/>
  <c r="F15" i="8"/>
  <c r="E15" i="8"/>
  <c r="D15" i="8"/>
  <c r="G14" i="8"/>
  <c r="G17" i="8" s="1"/>
  <c r="F14" i="8"/>
  <c r="F17" i="8" s="1"/>
  <c r="E14" i="8"/>
  <c r="E17" i="8" s="1"/>
  <c r="D14" i="8"/>
  <c r="D17" i="8" s="1"/>
  <c r="C15" i="8"/>
  <c r="C14" i="8"/>
  <c r="E63" i="21" s="1"/>
  <c r="D12" i="8"/>
  <c r="E12" i="8" s="1"/>
  <c r="F12" i="8" s="1"/>
  <c r="G12" i="8" s="1"/>
  <c r="H12" i="8" s="1"/>
  <c r="I12" i="8" s="1"/>
  <c r="J12" i="8" s="1"/>
  <c r="K12" i="8" s="1"/>
  <c r="L12" i="8" s="1"/>
  <c r="M12" i="8" s="1"/>
  <c r="N12" i="8" s="1"/>
  <c r="O12" i="8" s="1"/>
  <c r="P12" i="8" s="1"/>
  <c r="Q12" i="8" s="1"/>
  <c r="D10" i="9"/>
  <c r="E10" i="9" s="1"/>
  <c r="F10" i="9" s="1"/>
  <c r="G10" i="9" s="1"/>
  <c r="H10" i="9" s="1"/>
  <c r="I10" i="9" s="1"/>
  <c r="J10" i="9" s="1"/>
  <c r="K10" i="9" s="1"/>
  <c r="L10" i="9" s="1"/>
  <c r="M10" i="9" s="1"/>
  <c r="N10" i="9" s="1"/>
  <c r="O10" i="9" s="1"/>
  <c r="P10" i="9" s="1"/>
  <c r="Q10" i="9" s="1"/>
  <c r="D10" i="8"/>
  <c r="E10" i="8" s="1"/>
  <c r="F10" i="8" s="1"/>
  <c r="G10" i="8" s="1"/>
  <c r="H10" i="8" s="1"/>
  <c r="I10" i="8" s="1"/>
  <c r="J10" i="8" s="1"/>
  <c r="K10" i="8" s="1"/>
  <c r="L10" i="8" s="1"/>
  <c r="M10" i="8" s="1"/>
  <c r="N10" i="8" s="1"/>
  <c r="O10" i="8" s="1"/>
  <c r="P10" i="8" s="1"/>
  <c r="Q10" i="8" s="1"/>
  <c r="G21" i="5"/>
  <c r="G30" i="11" s="1"/>
  <c r="G33" i="19" s="1"/>
  <c r="F21" i="5"/>
  <c r="F30" i="11" s="1"/>
  <c r="F33" i="19" s="1"/>
  <c r="E21" i="5"/>
  <c r="E30" i="11" s="1"/>
  <c r="E33" i="19" s="1"/>
  <c r="D21" i="5"/>
  <c r="D30" i="11" s="1"/>
  <c r="D33" i="19" s="1"/>
  <c r="C21" i="5"/>
  <c r="C30" i="11" s="1"/>
  <c r="C33" i="19" s="1"/>
  <c r="G39" i="6"/>
  <c r="F39" i="6"/>
  <c r="E39" i="6"/>
  <c r="D39" i="6"/>
  <c r="C39" i="6"/>
  <c r="G36" i="6"/>
  <c r="F36" i="6"/>
  <c r="E36" i="6"/>
  <c r="D36" i="6"/>
  <c r="C36" i="6"/>
  <c r="C20" i="18" l="1"/>
  <c r="C21" i="18"/>
  <c r="C25" i="18" s="1"/>
  <c r="E19" i="18"/>
  <c r="E29" i="19"/>
  <c r="D19" i="18"/>
  <c r="D29" i="19"/>
  <c r="G29" i="19"/>
  <c r="G19" i="18"/>
  <c r="G20" i="18" s="1"/>
  <c r="G21" i="18" s="1"/>
  <c r="F20" i="18"/>
  <c r="F21" i="18"/>
  <c r="F25" i="18" s="1"/>
  <c r="G39" i="21"/>
  <c r="E37" i="21"/>
  <c r="C32" i="11"/>
  <c r="D32" i="11"/>
  <c r="F32" i="11"/>
  <c r="G37" i="21"/>
  <c r="E37" i="10"/>
  <c r="F53" i="17"/>
  <c r="C23" i="7" s="1"/>
  <c r="C53" i="17"/>
  <c r="E14" i="9"/>
  <c r="H13" i="9"/>
  <c r="C17" i="8"/>
  <c r="F13" i="9"/>
  <c r="F16" i="9" s="1"/>
  <c r="H16" i="9" s="1"/>
  <c r="D14" i="9"/>
  <c r="E49" i="21"/>
  <c r="E39" i="21"/>
  <c r="D67" i="10"/>
  <c r="I39" i="21"/>
  <c r="I37" i="21"/>
  <c r="G37" i="10"/>
  <c r="I47" i="21" s="1"/>
  <c r="I77" i="21" s="1"/>
  <c r="G67" i="10"/>
  <c r="G69" i="10" s="1"/>
  <c r="F49" i="21"/>
  <c r="H49" i="21"/>
  <c r="J41" i="10"/>
  <c r="F67" i="10"/>
  <c r="F77" i="19"/>
  <c r="H39" i="21"/>
  <c r="H37" i="21"/>
  <c r="F37" i="10"/>
  <c r="H47" i="21" s="1"/>
  <c r="H77" i="21" s="1"/>
  <c r="C67" i="10"/>
  <c r="C69" i="10" s="1"/>
  <c r="I49" i="21"/>
  <c r="E69" i="10"/>
  <c r="C37" i="10"/>
  <c r="C64" i="19" s="1"/>
  <c r="D37" i="10"/>
  <c r="G32" i="11"/>
  <c r="G27" i="11"/>
  <c r="E27" i="11"/>
  <c r="E32" i="11"/>
  <c r="G33" i="6"/>
  <c r="F33" i="6"/>
  <c r="E33" i="6"/>
  <c r="D33" i="6"/>
  <c r="G30" i="6"/>
  <c r="F30" i="6"/>
  <c r="E30" i="6"/>
  <c r="D30" i="6"/>
  <c r="C33" i="6"/>
  <c r="C30" i="6"/>
  <c r="G25" i="6"/>
  <c r="F25" i="6"/>
  <c r="E25" i="6"/>
  <c r="D25" i="6"/>
  <c r="C25" i="6"/>
  <c r="G22" i="6"/>
  <c r="F22" i="6"/>
  <c r="E22" i="6"/>
  <c r="D22" i="6"/>
  <c r="G19" i="6"/>
  <c r="F19" i="6"/>
  <c r="E19" i="6"/>
  <c r="D19" i="6"/>
  <c r="G16" i="6"/>
  <c r="F16" i="6"/>
  <c r="E16" i="6"/>
  <c r="D16" i="6"/>
  <c r="C22" i="6"/>
  <c r="C19" i="6"/>
  <c r="C16" i="6"/>
  <c r="D10" i="6"/>
  <c r="E10" i="6" s="1"/>
  <c r="F10" i="6" s="1"/>
  <c r="G10" i="6" s="1"/>
  <c r="H10" i="6" s="1"/>
  <c r="I10" i="6" s="1"/>
  <c r="J10" i="6" s="1"/>
  <c r="K10" i="6" s="1"/>
  <c r="L10" i="6" s="1"/>
  <c r="M10" i="6" s="1"/>
  <c r="N10" i="6" s="1"/>
  <c r="O10" i="6" s="1"/>
  <c r="P10" i="6" s="1"/>
  <c r="Q10" i="6" s="1"/>
  <c r="C12" i="7"/>
  <c r="D10" i="5"/>
  <c r="E10" i="5" s="1"/>
  <c r="F10" i="5" s="1"/>
  <c r="G10" i="5" s="1"/>
  <c r="H10" i="5" s="1"/>
  <c r="I10" i="5" s="1"/>
  <c r="J10" i="5" s="1"/>
  <c r="K10" i="5" s="1"/>
  <c r="L10" i="5" s="1"/>
  <c r="M10" i="5" s="1"/>
  <c r="N10" i="5" s="1"/>
  <c r="O10" i="5" s="1"/>
  <c r="P10" i="5" s="1"/>
  <c r="Q10" i="5" s="1"/>
  <c r="G56" i="4"/>
  <c r="F56" i="4"/>
  <c r="E56" i="4"/>
  <c r="D56" i="4"/>
  <c r="G54" i="4"/>
  <c r="F54" i="4"/>
  <c r="E54" i="4"/>
  <c r="D54" i="4"/>
  <c r="G52" i="4"/>
  <c r="F52" i="4"/>
  <c r="E52" i="4"/>
  <c r="D52" i="4"/>
  <c r="G50" i="4"/>
  <c r="F50" i="4"/>
  <c r="E50" i="4"/>
  <c r="D50" i="4"/>
  <c r="G48" i="4"/>
  <c r="F48" i="4"/>
  <c r="E48" i="4"/>
  <c r="D48" i="4"/>
  <c r="C56" i="4"/>
  <c r="C54" i="4"/>
  <c r="C52" i="4"/>
  <c r="C50" i="4"/>
  <c r="C48" i="4"/>
  <c r="G40" i="4"/>
  <c r="F40" i="4"/>
  <c r="E40" i="4"/>
  <c r="D40" i="4"/>
  <c r="G38" i="4"/>
  <c r="F38" i="4"/>
  <c r="E38" i="4"/>
  <c r="D38" i="4"/>
  <c r="G36" i="4"/>
  <c r="F36" i="4"/>
  <c r="E36" i="4"/>
  <c r="D36" i="4"/>
  <c r="C40" i="4"/>
  <c r="C38" i="4"/>
  <c r="C36" i="4"/>
  <c r="G30" i="4"/>
  <c r="F30" i="4"/>
  <c r="E30" i="4"/>
  <c r="D30" i="4"/>
  <c r="G28" i="4"/>
  <c r="F28" i="4"/>
  <c r="E28" i="4"/>
  <c r="D28" i="4"/>
  <c r="G26" i="4"/>
  <c r="F26" i="4"/>
  <c r="E26" i="4"/>
  <c r="D26" i="4"/>
  <c r="G24" i="4"/>
  <c r="F24" i="4"/>
  <c r="E24" i="4"/>
  <c r="D24" i="4"/>
  <c r="C30" i="4"/>
  <c r="C28" i="4"/>
  <c r="C26" i="4"/>
  <c r="C24" i="4"/>
  <c r="G20" i="4"/>
  <c r="F20" i="4"/>
  <c r="E20" i="4"/>
  <c r="D20" i="4"/>
  <c r="G18" i="4"/>
  <c r="F18" i="4"/>
  <c r="E18" i="4"/>
  <c r="D18" i="4"/>
  <c r="G16" i="4"/>
  <c r="F16" i="4"/>
  <c r="E16" i="4"/>
  <c r="D16" i="4"/>
  <c r="C20" i="4"/>
  <c r="C18" i="4"/>
  <c r="C16" i="4"/>
  <c r="G14" i="4"/>
  <c r="F14" i="4"/>
  <c r="E14" i="4"/>
  <c r="D14" i="4"/>
  <c r="C14" i="4"/>
  <c r="E20" i="18" l="1"/>
  <c r="E21" i="18" s="1"/>
  <c r="E25" i="18" s="1"/>
  <c r="D20" i="18"/>
  <c r="D21" i="18"/>
  <c r="D25" i="18" s="1"/>
  <c r="D96" i="19"/>
  <c r="F47" i="21"/>
  <c r="F77" i="21" s="1"/>
  <c r="E107" i="19"/>
  <c r="G47" i="21"/>
  <c r="G77" i="21" s="1"/>
  <c r="G64" i="19"/>
  <c r="G36" i="11"/>
  <c r="G37" i="11" s="1"/>
  <c r="G35" i="19"/>
  <c r="D36" i="11"/>
  <c r="D35" i="19"/>
  <c r="F36" i="11"/>
  <c r="F35" i="19"/>
  <c r="E36" i="11"/>
  <c r="E41" i="11" s="1"/>
  <c r="E44" i="19" s="1"/>
  <c r="E35" i="19"/>
  <c r="C36" i="11"/>
  <c r="C35" i="19"/>
  <c r="G61" i="21"/>
  <c r="G75" i="21" s="1"/>
  <c r="F17" i="5"/>
  <c r="H61" i="21"/>
  <c r="H75" i="21" s="1"/>
  <c r="G18" i="5"/>
  <c r="G25" i="4" s="1"/>
  <c r="I61" i="21"/>
  <c r="I75" i="21" s="1"/>
  <c r="F61" i="21"/>
  <c r="F75" i="21" s="1"/>
  <c r="F18" i="5"/>
  <c r="F45" i="4" s="1"/>
  <c r="E64" i="19"/>
  <c r="E79" i="19"/>
  <c r="E77" i="19"/>
  <c r="E96" i="19"/>
  <c r="E69" i="19"/>
  <c r="E84" i="19"/>
  <c r="E93" i="19"/>
  <c r="E70" i="19"/>
  <c r="E94" i="19"/>
  <c r="E54" i="19"/>
  <c r="E62" i="19"/>
  <c r="E100" i="19"/>
  <c r="E67" i="19"/>
  <c r="E83" i="19"/>
  <c r="E74" i="19"/>
  <c r="E59" i="19"/>
  <c r="E105" i="19"/>
  <c r="E53" i="19"/>
  <c r="E57" i="19"/>
  <c r="E75" i="19"/>
  <c r="E60" i="19"/>
  <c r="E102" i="19"/>
  <c r="E72" i="19"/>
  <c r="E61" i="19"/>
  <c r="E55" i="19"/>
  <c r="E103" i="19"/>
  <c r="E101" i="19"/>
  <c r="E56" i="19"/>
  <c r="E73" i="19"/>
  <c r="E92" i="19"/>
  <c r="E85" i="19"/>
  <c r="E71" i="19"/>
  <c r="E91" i="19"/>
  <c r="E104" i="19"/>
  <c r="G51" i="21"/>
  <c r="E109" i="19"/>
  <c r="E86" i="19"/>
  <c r="G29" i="21"/>
  <c r="I16" i="9"/>
  <c r="J16" i="9" s="1"/>
  <c r="K16" i="9" s="1"/>
  <c r="L16" i="9" s="1"/>
  <c r="M16" i="9" s="1"/>
  <c r="N16" i="9" s="1"/>
  <c r="O16" i="9" s="1"/>
  <c r="P16" i="9" s="1"/>
  <c r="Q16" i="9" s="1"/>
  <c r="H29" i="11"/>
  <c r="F14" i="9"/>
  <c r="C71" i="10"/>
  <c r="C111" i="19"/>
  <c r="C72" i="10"/>
  <c r="E71" i="10"/>
  <c r="E111" i="19"/>
  <c r="E72" i="10"/>
  <c r="G111" i="19"/>
  <c r="G72" i="10"/>
  <c r="G71" i="10"/>
  <c r="C107" i="19"/>
  <c r="I51" i="21"/>
  <c r="I29" i="21"/>
  <c r="G79" i="19"/>
  <c r="G55" i="19"/>
  <c r="G62" i="19"/>
  <c r="G84" i="19"/>
  <c r="G107" i="19"/>
  <c r="G94" i="19"/>
  <c r="G56" i="19"/>
  <c r="G104" i="19"/>
  <c r="G67" i="19"/>
  <c r="G72" i="19"/>
  <c r="G105" i="19"/>
  <c r="G74" i="19"/>
  <c r="G85" i="19"/>
  <c r="G102" i="19"/>
  <c r="G53" i="19"/>
  <c r="G57" i="19"/>
  <c r="G71" i="19"/>
  <c r="G75" i="19"/>
  <c r="G91" i="19"/>
  <c r="G83" i="19"/>
  <c r="G92" i="19"/>
  <c r="G61" i="19"/>
  <c r="G103" i="19"/>
  <c r="G59" i="19"/>
  <c r="G73" i="19"/>
  <c r="G93" i="19"/>
  <c r="G54" i="19"/>
  <c r="G100" i="19"/>
  <c r="G101" i="19"/>
  <c r="G70" i="19"/>
  <c r="G60" i="19"/>
  <c r="G69" i="19"/>
  <c r="D109" i="19"/>
  <c r="G86" i="19"/>
  <c r="F79" i="19"/>
  <c r="H51" i="21"/>
  <c r="H29" i="21"/>
  <c r="F64" i="19"/>
  <c r="F56" i="19"/>
  <c r="F104" i="19"/>
  <c r="F83" i="19"/>
  <c r="F92" i="19"/>
  <c r="F69" i="19"/>
  <c r="F84" i="19"/>
  <c r="F93" i="19"/>
  <c r="F74" i="19"/>
  <c r="F85" i="19"/>
  <c r="F103" i="19"/>
  <c r="F91" i="19"/>
  <c r="F59" i="19"/>
  <c r="F101" i="19"/>
  <c r="F60" i="19"/>
  <c r="F102" i="19"/>
  <c r="F55" i="19"/>
  <c r="F61" i="19"/>
  <c r="F70" i="19"/>
  <c r="F94" i="19"/>
  <c r="F62" i="19"/>
  <c r="F75" i="19"/>
  <c r="F67" i="19"/>
  <c r="F100" i="19"/>
  <c r="F57" i="19"/>
  <c r="F54" i="19"/>
  <c r="F71" i="19"/>
  <c r="F72" i="19"/>
  <c r="F105" i="19"/>
  <c r="F73" i="19"/>
  <c r="F53" i="19"/>
  <c r="F69" i="10"/>
  <c r="F109" i="19"/>
  <c r="K41" i="10"/>
  <c r="F86" i="19"/>
  <c r="D86" i="19"/>
  <c r="G109" i="19"/>
  <c r="G77" i="19"/>
  <c r="F107" i="19"/>
  <c r="F96" i="19"/>
  <c r="F29" i="21"/>
  <c r="D79" i="19"/>
  <c r="F51" i="21"/>
  <c r="D73" i="19"/>
  <c r="D70" i="19"/>
  <c r="D94" i="19"/>
  <c r="D100" i="19"/>
  <c r="D102" i="19"/>
  <c r="D57" i="19"/>
  <c r="D59" i="19"/>
  <c r="D83" i="19"/>
  <c r="D92" i="19"/>
  <c r="D105" i="19"/>
  <c r="D69" i="19"/>
  <c r="D61" i="19"/>
  <c r="D62" i="19"/>
  <c r="D67" i="19"/>
  <c r="D101" i="19"/>
  <c r="D107" i="19"/>
  <c r="D103" i="19"/>
  <c r="D60" i="19"/>
  <c r="D53" i="19"/>
  <c r="D104" i="19"/>
  <c r="D54" i="19"/>
  <c r="D77" i="19"/>
  <c r="D93" i="19"/>
  <c r="D74" i="19"/>
  <c r="D85" i="19"/>
  <c r="D84" i="19"/>
  <c r="D56" i="19"/>
  <c r="D71" i="19"/>
  <c r="D75" i="19"/>
  <c r="D91" i="19"/>
  <c r="D55" i="19"/>
  <c r="D72" i="19"/>
  <c r="E51" i="21"/>
  <c r="C79" i="19"/>
  <c r="E29" i="21"/>
  <c r="E47" i="21"/>
  <c r="E77" i="21" s="1"/>
  <c r="C85" i="19"/>
  <c r="C57" i="19"/>
  <c r="C104" i="19"/>
  <c r="C70" i="19"/>
  <c r="C59" i="19"/>
  <c r="C67" i="19"/>
  <c r="C72" i="19"/>
  <c r="C105" i="19"/>
  <c r="C74" i="19"/>
  <c r="C94" i="19"/>
  <c r="C55" i="19"/>
  <c r="C102" i="19"/>
  <c r="C61" i="19"/>
  <c r="C71" i="19"/>
  <c r="C75" i="19"/>
  <c r="C91" i="19"/>
  <c r="C83" i="19"/>
  <c r="C92" i="19"/>
  <c r="C54" i="19"/>
  <c r="C69" i="19"/>
  <c r="C73" i="19"/>
  <c r="C77" i="19"/>
  <c r="C53" i="19"/>
  <c r="C100" i="19"/>
  <c r="C101" i="19"/>
  <c r="C56" i="19"/>
  <c r="C60" i="19"/>
  <c r="C84" i="19"/>
  <c r="C93" i="19"/>
  <c r="C103" i="19"/>
  <c r="C62" i="19"/>
  <c r="D64" i="19"/>
  <c r="C109" i="19"/>
  <c r="D69" i="10"/>
  <c r="C96" i="19"/>
  <c r="G25" i="18"/>
  <c r="G27" i="18" s="1"/>
  <c r="C86" i="19"/>
  <c r="G96" i="19"/>
  <c r="F22" i="8"/>
  <c r="F19" i="4"/>
  <c r="E23" i="8"/>
  <c r="E21" i="8"/>
  <c r="D23" i="8"/>
  <c r="D21" i="8"/>
  <c r="F23" i="8"/>
  <c r="F21" i="8"/>
  <c r="C21" i="8"/>
  <c r="G21" i="8"/>
  <c r="G23" i="8"/>
  <c r="E15" i="5"/>
  <c r="D18" i="5"/>
  <c r="D45" i="4" s="1"/>
  <c r="D17" i="5"/>
  <c r="F15" i="5"/>
  <c r="E17" i="5"/>
  <c r="G15" i="5"/>
  <c r="E18" i="5"/>
  <c r="E45" i="4" s="1"/>
  <c r="G17" i="5"/>
  <c r="G41" i="11" l="1"/>
  <c r="G44" i="19" s="1"/>
  <c r="F22" i="5"/>
  <c r="F27" i="4"/>
  <c r="F21" i="4"/>
  <c r="G41" i="4"/>
  <c r="G37" i="4"/>
  <c r="G29" i="4"/>
  <c r="G22" i="8"/>
  <c r="G24" i="8" s="1"/>
  <c r="I41" i="21" s="1"/>
  <c r="G15" i="4"/>
  <c r="G51" i="4"/>
  <c r="G19" i="4"/>
  <c r="E39" i="19"/>
  <c r="G53" i="21"/>
  <c r="G27" i="4"/>
  <c r="G22" i="5"/>
  <c r="G31" i="4"/>
  <c r="G55" i="4"/>
  <c r="G57" i="4"/>
  <c r="G53" i="4"/>
  <c r="G49" i="4"/>
  <c r="D39" i="19"/>
  <c r="F53" i="21"/>
  <c r="D37" i="11"/>
  <c r="D41" i="11"/>
  <c r="E37" i="11"/>
  <c r="G39" i="4"/>
  <c r="G17" i="4"/>
  <c r="G43" i="4"/>
  <c r="G21" i="4"/>
  <c r="E53" i="21"/>
  <c r="C39" i="19"/>
  <c r="C37" i="11"/>
  <c r="C41" i="11"/>
  <c r="H53" i="21"/>
  <c r="F39" i="19"/>
  <c r="F41" i="11"/>
  <c r="F37" i="11"/>
  <c r="I53" i="21"/>
  <c r="G39" i="19"/>
  <c r="F29" i="4"/>
  <c r="F43" i="4"/>
  <c r="F39" i="4"/>
  <c r="F31" i="4"/>
  <c r="F49" i="4"/>
  <c r="F41" i="4"/>
  <c r="F57" i="4"/>
  <c r="F55" i="4"/>
  <c r="F15" i="4"/>
  <c r="F51" i="4"/>
  <c r="F13" i="6"/>
  <c r="F20" i="6" s="1"/>
  <c r="F17" i="4"/>
  <c r="F53" i="4"/>
  <c r="F37" i="4"/>
  <c r="F25" i="4"/>
  <c r="G45" i="4"/>
  <c r="G13" i="6"/>
  <c r="H21" i="8"/>
  <c r="I21" i="8" s="1"/>
  <c r="J21" i="8" s="1"/>
  <c r="K21" i="8" s="1"/>
  <c r="L21" i="8" s="1"/>
  <c r="M21" i="8" s="1"/>
  <c r="N21" i="8" s="1"/>
  <c r="O21" i="8" s="1"/>
  <c r="P21" i="8" s="1"/>
  <c r="Q21" i="8" s="1"/>
  <c r="F24" i="8"/>
  <c r="H41" i="21" s="1"/>
  <c r="D71" i="10"/>
  <c r="D111" i="19"/>
  <c r="D72" i="10"/>
  <c r="F71" i="10"/>
  <c r="F111" i="19"/>
  <c r="F72" i="10"/>
  <c r="L41" i="10"/>
  <c r="E53" i="4"/>
  <c r="E41" i="4"/>
  <c r="E29" i="4"/>
  <c r="E17" i="4"/>
  <c r="E22" i="5"/>
  <c r="E51" i="4"/>
  <c r="E27" i="4"/>
  <c r="E25" i="4"/>
  <c r="E15" i="4"/>
  <c r="E49" i="4"/>
  <c r="E37" i="4"/>
  <c r="E21" i="4"/>
  <c r="E39" i="4"/>
  <c r="E22" i="8"/>
  <c r="E24" i="8" s="1"/>
  <c r="G41" i="21" s="1"/>
  <c r="E57" i="4"/>
  <c r="E55" i="4"/>
  <c r="E43" i="4"/>
  <c r="E31" i="4"/>
  <c r="E19" i="4"/>
  <c r="E13" i="6"/>
  <c r="E37" i="6" s="1"/>
  <c r="D55" i="4"/>
  <c r="D43" i="4"/>
  <c r="D31" i="4"/>
  <c r="D19" i="4"/>
  <c r="D41" i="4"/>
  <c r="D17" i="4"/>
  <c r="D22" i="5"/>
  <c r="D27" i="4"/>
  <c r="D57" i="4"/>
  <c r="D53" i="4"/>
  <c r="D29" i="4"/>
  <c r="D51" i="4"/>
  <c r="D39" i="4"/>
  <c r="D25" i="4"/>
  <c r="D15" i="4"/>
  <c r="D22" i="8"/>
  <c r="D24" i="8" s="1"/>
  <c r="F41" i="21" s="1"/>
  <c r="D49" i="4"/>
  <c r="D37" i="4"/>
  <c r="D21" i="4"/>
  <c r="D13" i="6"/>
  <c r="D37" i="6" s="1"/>
  <c r="H23" i="8"/>
  <c r="I23" i="8" s="1"/>
  <c r="J23" i="8" s="1"/>
  <c r="K23" i="8" s="1"/>
  <c r="L23" i="8" s="1"/>
  <c r="M23" i="8" s="1"/>
  <c r="N23" i="8" s="1"/>
  <c r="O23" i="8" s="1"/>
  <c r="P23" i="8" s="1"/>
  <c r="Q23" i="8" s="1"/>
  <c r="E44" i="11"/>
  <c r="G44" i="11"/>
  <c r="F23" i="6" l="1"/>
  <c r="G31" i="21"/>
  <c r="G27" i="21"/>
  <c r="E47" i="19"/>
  <c r="F34" i="6"/>
  <c r="F44" i="19"/>
  <c r="F44" i="11"/>
  <c r="C44" i="19"/>
  <c r="C44" i="11"/>
  <c r="I27" i="21"/>
  <c r="I31" i="21"/>
  <c r="G47" i="19"/>
  <c r="N34" i="16"/>
  <c r="D44" i="19"/>
  <c r="D44" i="11"/>
  <c r="F17" i="6"/>
  <c r="F28" i="6"/>
  <c r="F31" i="6"/>
  <c r="F26" i="6"/>
  <c r="F37" i="6"/>
  <c r="G26" i="6"/>
  <c r="G37" i="6"/>
  <c r="G20" i="6"/>
  <c r="G28" i="6"/>
  <c r="G31" i="6"/>
  <c r="G17" i="6"/>
  <c r="G34" i="6"/>
  <c r="G23" i="6"/>
  <c r="H43" i="4"/>
  <c r="I43" i="4" s="1"/>
  <c r="J43" i="4" s="1"/>
  <c r="K43" i="4" s="1"/>
  <c r="L43" i="4" s="1"/>
  <c r="M43" i="4" s="1"/>
  <c r="N43" i="4" s="1"/>
  <c r="O43" i="4" s="1"/>
  <c r="P43" i="4" s="1"/>
  <c r="Q43" i="4" s="1"/>
  <c r="H17" i="4"/>
  <c r="I17" i="4" s="1"/>
  <c r="J17" i="4" s="1"/>
  <c r="K17" i="4" s="1"/>
  <c r="L17" i="4" s="1"/>
  <c r="M17" i="4" s="1"/>
  <c r="N17" i="4" s="1"/>
  <c r="O17" i="4" s="1"/>
  <c r="P17" i="4" s="1"/>
  <c r="Q17" i="4" s="1"/>
  <c r="M41" i="10"/>
  <c r="E26" i="6"/>
  <c r="E20" i="6"/>
  <c r="E17" i="6"/>
  <c r="E23" i="6"/>
  <c r="E34" i="6"/>
  <c r="E31" i="6"/>
  <c r="E28" i="6"/>
  <c r="D26" i="6"/>
  <c r="D31" i="6"/>
  <c r="D17" i="6"/>
  <c r="D20" i="6"/>
  <c r="D28" i="6"/>
  <c r="D34" i="6"/>
  <c r="D23" i="6"/>
  <c r="E45" i="11"/>
  <c r="G25" i="21" s="1"/>
  <c r="G73" i="21" s="1"/>
  <c r="G79" i="21" s="1"/>
  <c r="E52" i="11"/>
  <c r="E53" i="11" s="1"/>
  <c r="E50" i="11"/>
  <c r="E47" i="11"/>
  <c r="G45" i="11"/>
  <c r="I25" i="21" s="1"/>
  <c r="I73" i="21" s="1"/>
  <c r="I79" i="21" s="1"/>
  <c r="G47" i="11"/>
  <c r="G52" i="11"/>
  <c r="G53" i="11" s="1"/>
  <c r="G50" i="11"/>
  <c r="H41" i="16" l="1"/>
  <c r="R34" i="16"/>
  <c r="H47" i="16"/>
  <c r="F27" i="21"/>
  <c r="F31" i="21"/>
  <c r="D47" i="19"/>
  <c r="D52" i="11"/>
  <c r="D53" i="11" s="1"/>
  <c r="D50" i="11"/>
  <c r="D47" i="11"/>
  <c r="D45" i="11"/>
  <c r="F25" i="21" s="1"/>
  <c r="F73" i="21" s="1"/>
  <c r="F79" i="21" s="1"/>
  <c r="H31" i="21"/>
  <c r="H27" i="21"/>
  <c r="F47" i="19"/>
  <c r="F47" i="11"/>
  <c r="F52" i="11"/>
  <c r="F53" i="11" s="1"/>
  <c r="F50" i="11"/>
  <c r="F45" i="11"/>
  <c r="H25" i="21" s="1"/>
  <c r="H73" i="21" s="1"/>
  <c r="H79" i="21" s="1"/>
  <c r="E27" i="21"/>
  <c r="C47" i="19"/>
  <c r="E31" i="21"/>
  <c r="C50" i="11"/>
  <c r="C47" i="11"/>
  <c r="C52" i="11"/>
  <c r="C53" i="11" s="1"/>
  <c r="C45" i="11"/>
  <c r="E25" i="21" s="1"/>
  <c r="E73" i="21" s="1"/>
  <c r="N41" i="10"/>
  <c r="H50" i="11" l="1"/>
  <c r="I50" i="11" s="1"/>
  <c r="J50" i="11" s="1"/>
  <c r="J47" i="16"/>
  <c r="L47" i="16" s="1"/>
  <c r="F47" i="16"/>
  <c r="J41" i="16"/>
  <c r="L41" i="16" s="1"/>
  <c r="F41" i="16"/>
  <c r="O41" i="10"/>
  <c r="K50" i="11"/>
  <c r="P41" i="10" l="1"/>
  <c r="L50" i="11"/>
  <c r="Q41" i="10" l="1"/>
  <c r="M50" i="11"/>
  <c r="C70" i="2"/>
  <c r="G76" i="2"/>
  <c r="C57" i="2"/>
  <c r="F47" i="2"/>
  <c r="E47" i="2"/>
  <c r="D47" i="2"/>
  <c r="C47" i="2"/>
  <c r="G47" i="2"/>
  <c r="C38" i="2"/>
  <c r="C25" i="2"/>
  <c r="D10" i="2"/>
  <c r="E10" i="2" s="1"/>
  <c r="F10" i="2" s="1"/>
  <c r="G10" i="2" s="1"/>
  <c r="G33" i="1"/>
  <c r="G31" i="1"/>
  <c r="G29" i="1"/>
  <c r="G26" i="1"/>
  <c r="G25" i="1"/>
  <c r="F25" i="1"/>
  <c r="G16" i="1"/>
  <c r="G14" i="1"/>
  <c r="E31" i="1"/>
  <c r="D31" i="1"/>
  <c r="C31" i="1"/>
  <c r="E29" i="1"/>
  <c r="D29" i="1"/>
  <c r="C29" i="1"/>
  <c r="F14" i="1"/>
  <c r="F16" i="1" s="1"/>
  <c r="F26" i="1" s="1"/>
  <c r="F29" i="1" s="1"/>
  <c r="F31" i="1" s="1"/>
  <c r="F33" i="1" s="1"/>
  <c r="E25" i="1"/>
  <c r="E14" i="1"/>
  <c r="E16" i="1" s="1"/>
  <c r="E26" i="1" s="1"/>
  <c r="D25" i="1"/>
  <c r="D14" i="1"/>
  <c r="D16" i="1" s="1"/>
  <c r="C25" i="1"/>
  <c r="C14" i="1"/>
  <c r="C16" i="1" s="1"/>
  <c r="C26" i="1" s="1"/>
  <c r="D10" i="1"/>
  <c r="E10" i="1" s="1"/>
  <c r="F10" i="1" s="1"/>
  <c r="G10" i="1" s="1"/>
  <c r="N50" i="11" l="1"/>
  <c r="C40" i="2"/>
  <c r="C72" i="2"/>
  <c r="C74" i="2" s="1"/>
  <c r="E33" i="1"/>
  <c r="C33" i="1"/>
  <c r="D26" i="1"/>
  <c r="D33" i="1" s="1"/>
  <c r="C76" i="2" l="1"/>
  <c r="E76" i="2"/>
  <c r="O50" i="11"/>
  <c r="D76" i="2"/>
  <c r="F76" i="2"/>
  <c r="P50" i="11" l="1"/>
  <c r="Q50" i="11" l="1"/>
  <c r="E61" i="21" l="1"/>
  <c r="E75" i="21" s="1"/>
  <c r="E79" i="21" s="1"/>
  <c r="D15" i="5"/>
  <c r="C18" i="5"/>
  <c r="C45" i="4" s="1"/>
  <c r="H45" i="4" s="1"/>
  <c r="I45" i="4" s="1"/>
  <c r="J45" i="4" s="1"/>
  <c r="K45" i="4" s="1"/>
  <c r="L45" i="4" s="1"/>
  <c r="M45" i="4" s="1"/>
  <c r="N45" i="4" s="1"/>
  <c r="O45" i="4" s="1"/>
  <c r="P45" i="4" s="1"/>
  <c r="Q45" i="4" s="1"/>
  <c r="C17" i="5"/>
  <c r="H17" i="5" s="1"/>
  <c r="C26" i="5" l="1"/>
  <c r="H26" i="5" s="1"/>
  <c r="I26" i="5" s="1"/>
  <c r="J26" i="5" s="1"/>
  <c r="K26" i="5" s="1"/>
  <c r="L26" i="5" s="1"/>
  <c r="M26" i="5" s="1"/>
  <c r="N26" i="5" s="1"/>
  <c r="O26" i="5" s="1"/>
  <c r="P26" i="5" s="1"/>
  <c r="Q26" i="5" s="1"/>
  <c r="H28" i="5"/>
  <c r="I28" i="5" s="1"/>
  <c r="J28" i="5" s="1"/>
  <c r="K28" i="5" s="1"/>
  <c r="L28" i="5" s="1"/>
  <c r="M28" i="5" s="1"/>
  <c r="N28" i="5" s="1"/>
  <c r="O28" i="5" s="1"/>
  <c r="P28" i="5" s="1"/>
  <c r="Q28" i="5" s="1"/>
  <c r="C27" i="5"/>
  <c r="H27" i="5" s="1"/>
  <c r="I17" i="5"/>
  <c r="C57" i="4"/>
  <c r="H57" i="4" s="1"/>
  <c r="C49" i="4"/>
  <c r="H49" i="4" s="1"/>
  <c r="C37" i="4"/>
  <c r="H37" i="4" s="1"/>
  <c r="C21" i="4"/>
  <c r="H21" i="4" s="1"/>
  <c r="C55" i="4"/>
  <c r="H55" i="4" s="1"/>
  <c r="C43" i="4"/>
  <c r="C31" i="4"/>
  <c r="H31" i="4" s="1"/>
  <c r="C53" i="4"/>
  <c r="H53" i="4" s="1"/>
  <c r="C41" i="4"/>
  <c r="H41" i="4" s="1"/>
  <c r="I41" i="4" s="1"/>
  <c r="J41" i="4" s="1"/>
  <c r="K41" i="4" s="1"/>
  <c r="L41" i="4" s="1"/>
  <c r="M41" i="4" s="1"/>
  <c r="N41" i="4" s="1"/>
  <c r="O41" i="4" s="1"/>
  <c r="P41" i="4" s="1"/>
  <c r="Q41" i="4" s="1"/>
  <c r="C17" i="4"/>
  <c r="C22" i="5"/>
  <c r="H22" i="5" s="1"/>
  <c r="C51" i="4"/>
  <c r="H51" i="4" s="1"/>
  <c r="C19" i="4"/>
  <c r="H19" i="4" s="1"/>
  <c r="C29" i="4"/>
  <c r="H29" i="4" s="1"/>
  <c r="I29" i="4" s="1"/>
  <c r="J29" i="4" s="1"/>
  <c r="K29" i="4" s="1"/>
  <c r="L29" i="4" s="1"/>
  <c r="M29" i="4" s="1"/>
  <c r="N29" i="4" s="1"/>
  <c r="O29" i="4" s="1"/>
  <c r="P29" i="4" s="1"/>
  <c r="Q29" i="4" s="1"/>
  <c r="C27" i="4"/>
  <c r="H27" i="4" s="1"/>
  <c r="I27" i="4" s="1"/>
  <c r="J27" i="4" s="1"/>
  <c r="K27" i="4" s="1"/>
  <c r="L27" i="4" s="1"/>
  <c r="M27" i="4" s="1"/>
  <c r="N27" i="4" s="1"/>
  <c r="O27" i="4" s="1"/>
  <c r="P27" i="4" s="1"/>
  <c r="Q27" i="4" s="1"/>
  <c r="C39" i="4"/>
  <c r="H39" i="4" s="1"/>
  <c r="C25" i="4"/>
  <c r="H25" i="4" s="1"/>
  <c r="I25" i="4" s="1"/>
  <c r="J25" i="4" s="1"/>
  <c r="K25" i="4" s="1"/>
  <c r="L25" i="4" s="1"/>
  <c r="M25" i="4" s="1"/>
  <c r="N25" i="4" s="1"/>
  <c r="O25" i="4" s="1"/>
  <c r="P25" i="4" s="1"/>
  <c r="Q25" i="4" s="1"/>
  <c r="C22" i="8"/>
  <c r="C15" i="4"/>
  <c r="H15" i="4" s="1"/>
  <c r="C13" i="6"/>
  <c r="C37" i="6" s="1"/>
  <c r="I27" i="5" l="1"/>
  <c r="H15" i="5"/>
  <c r="C24" i="8"/>
  <c r="E41" i="21" s="1"/>
  <c r="H22" i="8"/>
  <c r="I49" i="4"/>
  <c r="I19" i="4"/>
  <c r="I55" i="4"/>
  <c r="I57" i="4"/>
  <c r="C34" i="6"/>
  <c r="H34" i="6" s="1"/>
  <c r="I34" i="6" s="1"/>
  <c r="J34" i="6" s="1"/>
  <c r="K34" i="6" s="1"/>
  <c r="L34" i="6" s="1"/>
  <c r="M34" i="6" s="1"/>
  <c r="N34" i="6" s="1"/>
  <c r="O34" i="6" s="1"/>
  <c r="P34" i="6" s="1"/>
  <c r="Q34" i="6" s="1"/>
  <c r="C26" i="6"/>
  <c r="C28" i="6"/>
  <c r="C17" i="6"/>
  <c r="H17" i="6" s="1"/>
  <c r="I17" i="6" s="1"/>
  <c r="J17" i="6" s="1"/>
  <c r="K17" i="6" s="1"/>
  <c r="L17" i="6" s="1"/>
  <c r="M17" i="6" s="1"/>
  <c r="N17" i="6" s="1"/>
  <c r="O17" i="6" s="1"/>
  <c r="P17" i="6" s="1"/>
  <c r="Q17" i="6" s="1"/>
  <c r="C31" i="6"/>
  <c r="H31" i="6" s="1"/>
  <c r="C20" i="6"/>
  <c r="H20" i="6" s="1"/>
  <c r="I20" i="6" s="1"/>
  <c r="J20" i="6" s="1"/>
  <c r="K20" i="6" s="1"/>
  <c r="L20" i="6" s="1"/>
  <c r="M20" i="6" s="1"/>
  <c r="N20" i="6" s="1"/>
  <c r="O20" i="6" s="1"/>
  <c r="P20" i="6" s="1"/>
  <c r="Q20" i="6" s="1"/>
  <c r="C23" i="6"/>
  <c r="H23" i="6" s="1"/>
  <c r="I23" i="6" s="1"/>
  <c r="J23" i="6" s="1"/>
  <c r="K23" i="6" s="1"/>
  <c r="L23" i="6" s="1"/>
  <c r="M23" i="6" s="1"/>
  <c r="N23" i="6" s="1"/>
  <c r="O23" i="6" s="1"/>
  <c r="P23" i="6" s="1"/>
  <c r="Q23" i="6" s="1"/>
  <c r="I39" i="4"/>
  <c r="I51" i="4"/>
  <c r="I53" i="4"/>
  <c r="I21" i="4"/>
  <c r="I15" i="4"/>
  <c r="I22" i="5"/>
  <c r="I31" i="4"/>
  <c r="I37" i="4"/>
  <c r="J17" i="5"/>
  <c r="H14" i="5" l="1"/>
  <c r="J27" i="5"/>
  <c r="I15" i="5"/>
  <c r="I22" i="8"/>
  <c r="H24" i="8"/>
  <c r="J41" i="21" s="1"/>
  <c r="J15" i="4"/>
  <c r="J53" i="4"/>
  <c r="J39" i="4"/>
  <c r="J57" i="4"/>
  <c r="J37" i="4"/>
  <c r="J22" i="5"/>
  <c r="J21" i="4"/>
  <c r="J51" i="4"/>
  <c r="K17" i="5"/>
  <c r="J31" i="4"/>
  <c r="J19" i="4"/>
  <c r="I31" i="6"/>
  <c r="J55" i="4"/>
  <c r="J49" i="4"/>
  <c r="H16" i="5" l="1"/>
  <c r="H18" i="5" s="1"/>
  <c r="H13" i="25" s="1"/>
  <c r="I14" i="5"/>
  <c r="H14" i="4"/>
  <c r="H17" i="10" s="1"/>
  <c r="H26" i="4"/>
  <c r="H31" i="10" s="1"/>
  <c r="H48" i="4"/>
  <c r="H58" i="10" s="1"/>
  <c r="H54" i="4"/>
  <c r="H62" i="10" s="1"/>
  <c r="H36" i="4"/>
  <c r="H56" i="4"/>
  <c r="H63" i="10" s="1"/>
  <c r="H24" i="4"/>
  <c r="H30" i="10" s="1"/>
  <c r="K27" i="5"/>
  <c r="J15" i="5"/>
  <c r="J22" i="8"/>
  <c r="I24" i="8"/>
  <c r="K41" i="21" s="1"/>
  <c r="K49" i="4"/>
  <c r="K31" i="4"/>
  <c r="K51" i="4"/>
  <c r="K22" i="5"/>
  <c r="K57" i="4"/>
  <c r="K53" i="4"/>
  <c r="K55" i="4"/>
  <c r="J31" i="6"/>
  <c r="K19" i="4"/>
  <c r="L17" i="5"/>
  <c r="K21" i="4"/>
  <c r="K37" i="4"/>
  <c r="K39" i="4"/>
  <c r="K15" i="4"/>
  <c r="H21" i="5" l="1"/>
  <c r="H30" i="11" s="1"/>
  <c r="H43" i="24" s="1"/>
  <c r="H13" i="6"/>
  <c r="H33" i="6" s="1"/>
  <c r="H18" i="4"/>
  <c r="H19" i="10" s="1"/>
  <c r="H46" i="24" s="1"/>
  <c r="H40" i="4"/>
  <c r="H51" i="10" s="1"/>
  <c r="H20" i="4"/>
  <c r="H20" i="10" s="1"/>
  <c r="H16" i="4"/>
  <c r="H18" i="10" s="1"/>
  <c r="H42" i="4"/>
  <c r="H52" i="10" s="1"/>
  <c r="H52" i="4"/>
  <c r="H61" i="10" s="1"/>
  <c r="H28" i="4"/>
  <c r="H32" i="10" s="1"/>
  <c r="H30" i="4"/>
  <c r="H33" i="10" s="1"/>
  <c r="H38" i="4"/>
  <c r="H50" i="10" s="1"/>
  <c r="H56" i="24" s="1"/>
  <c r="H50" i="4"/>
  <c r="H59" i="10" s="1"/>
  <c r="H13" i="11"/>
  <c r="H16" i="19" s="1"/>
  <c r="H44" i="4"/>
  <c r="H53" i="10" s="1"/>
  <c r="H52" i="24" s="1"/>
  <c r="I16" i="5"/>
  <c r="I18" i="5" s="1"/>
  <c r="I13" i="25" s="1"/>
  <c r="J14" i="5"/>
  <c r="H49" i="10"/>
  <c r="H45" i="19"/>
  <c r="H15" i="8"/>
  <c r="H27" i="10" s="1"/>
  <c r="H30" i="6"/>
  <c r="H18" i="11" s="1"/>
  <c r="H16" i="6"/>
  <c r="I28" i="4"/>
  <c r="I32" i="10" s="1"/>
  <c r="L27" i="5"/>
  <c r="K15" i="5"/>
  <c r="H39" i="24"/>
  <c r="K22" i="8"/>
  <c r="J24" i="8"/>
  <c r="L41" i="21" s="1"/>
  <c r="L37" i="4"/>
  <c r="L19" i="4"/>
  <c r="L15" i="4"/>
  <c r="M17" i="5"/>
  <c r="L55" i="4"/>
  <c r="L57" i="4"/>
  <c r="L51" i="4"/>
  <c r="L39" i="4"/>
  <c r="L21" i="4"/>
  <c r="K31" i="6"/>
  <c r="L53" i="4"/>
  <c r="L22" i="5"/>
  <c r="L31" i="4"/>
  <c r="L49" i="4"/>
  <c r="H19" i="6" l="1"/>
  <c r="H22" i="6"/>
  <c r="H22" i="24"/>
  <c r="I13" i="11"/>
  <c r="I45" i="19" s="1"/>
  <c r="I13" i="6"/>
  <c r="I30" i="6" s="1"/>
  <c r="I18" i="11" s="1"/>
  <c r="H33" i="19"/>
  <c r="H21" i="19"/>
  <c r="H32" i="19"/>
  <c r="H27" i="19"/>
  <c r="H37" i="19"/>
  <c r="I21" i="5"/>
  <c r="I30" i="11" s="1"/>
  <c r="I43" i="24" s="1"/>
  <c r="H15" i="9"/>
  <c r="I13" i="9" s="1"/>
  <c r="I17" i="9" s="1"/>
  <c r="I29" i="11" s="1"/>
  <c r="I20" i="4"/>
  <c r="I20" i="10" s="1"/>
  <c r="I52" i="4"/>
  <c r="I61" i="10" s="1"/>
  <c r="I30" i="4"/>
  <c r="I33" i="10" s="1"/>
  <c r="I56" i="4"/>
  <c r="I63" i="10" s="1"/>
  <c r="I38" i="4"/>
  <c r="I50" i="10" s="1"/>
  <c r="I56" i="24" s="1"/>
  <c r="I14" i="4"/>
  <c r="I17" i="10" s="1"/>
  <c r="I26" i="4"/>
  <c r="I31" i="10" s="1"/>
  <c r="I16" i="4"/>
  <c r="I18" i="10" s="1"/>
  <c r="I48" i="4"/>
  <c r="I58" i="10" s="1"/>
  <c r="I42" i="4"/>
  <c r="I52" i="10" s="1"/>
  <c r="I50" i="4"/>
  <c r="I59" i="10" s="1"/>
  <c r="I54" i="4"/>
  <c r="I62" i="10" s="1"/>
  <c r="I24" i="4"/>
  <c r="I30" i="10" s="1"/>
  <c r="I18" i="4"/>
  <c r="I19" i="10" s="1"/>
  <c r="I46" i="24" s="1"/>
  <c r="I36" i="4"/>
  <c r="I40" i="4"/>
  <c r="I51" i="10" s="1"/>
  <c r="I44" i="4"/>
  <c r="I53" i="10" s="1"/>
  <c r="J16" i="5"/>
  <c r="J18" i="5" s="1"/>
  <c r="J13" i="25" s="1"/>
  <c r="K14" i="5"/>
  <c r="H25" i="6"/>
  <c r="H14" i="11" s="1"/>
  <c r="H17" i="19" s="1"/>
  <c r="M27" i="5"/>
  <c r="L15" i="5"/>
  <c r="I22" i="6"/>
  <c r="I16" i="6"/>
  <c r="J65" i="21"/>
  <c r="H28" i="24"/>
  <c r="H36" i="6"/>
  <c r="H37" i="6" s="1"/>
  <c r="H19" i="11"/>
  <c r="H22" i="19" s="1"/>
  <c r="H54" i="10"/>
  <c r="H50" i="24"/>
  <c r="L22" i="8"/>
  <c r="K24" i="8"/>
  <c r="M41" i="21" s="1"/>
  <c r="M49" i="4"/>
  <c r="L31" i="6"/>
  <c r="M39" i="4"/>
  <c r="M37" i="4"/>
  <c r="M31" i="4"/>
  <c r="M21" i="4"/>
  <c r="M22" i="5"/>
  <c r="M51" i="4"/>
  <c r="M55" i="4"/>
  <c r="M15" i="4"/>
  <c r="M53" i="4"/>
  <c r="M57" i="4"/>
  <c r="N17" i="5"/>
  <c r="M19" i="4"/>
  <c r="H14" i="9" l="1"/>
  <c r="I21" i="19"/>
  <c r="I19" i="6"/>
  <c r="I37" i="19"/>
  <c r="I33" i="6"/>
  <c r="I36" i="6" s="1"/>
  <c r="I37" i="6" s="1"/>
  <c r="I15" i="8"/>
  <c r="I27" i="10" s="1"/>
  <c r="K65" i="21" s="1"/>
  <c r="I16" i="19"/>
  <c r="I39" i="24"/>
  <c r="I22" i="24"/>
  <c r="I33" i="19"/>
  <c r="I15" i="9"/>
  <c r="I14" i="9" s="1"/>
  <c r="J13" i="6"/>
  <c r="J33" i="6" s="1"/>
  <c r="I52" i="24"/>
  <c r="J14" i="4"/>
  <c r="J17" i="10" s="1"/>
  <c r="J54" i="4"/>
  <c r="J62" i="10" s="1"/>
  <c r="J48" i="4"/>
  <c r="J58" i="10" s="1"/>
  <c r="J38" i="4"/>
  <c r="J50" i="10" s="1"/>
  <c r="J56" i="24" s="1"/>
  <c r="J56" i="4"/>
  <c r="J63" i="10" s="1"/>
  <c r="J20" i="4"/>
  <c r="J20" i="10" s="1"/>
  <c r="J42" i="4"/>
  <c r="J52" i="10" s="1"/>
  <c r="J40" i="4"/>
  <c r="J51" i="10" s="1"/>
  <c r="J30" i="4"/>
  <c r="J33" i="10" s="1"/>
  <c r="J50" i="4"/>
  <c r="J59" i="10" s="1"/>
  <c r="J13" i="11"/>
  <c r="J45" i="19" s="1"/>
  <c r="I49" i="10"/>
  <c r="I54" i="10" s="1"/>
  <c r="J36" i="4"/>
  <c r="J49" i="10" s="1"/>
  <c r="J26" i="4"/>
  <c r="J31" i="10" s="1"/>
  <c r="J52" i="4"/>
  <c r="J61" i="10" s="1"/>
  <c r="J16" i="4"/>
  <c r="J18" i="10" s="1"/>
  <c r="J18" i="4"/>
  <c r="J19" i="10" s="1"/>
  <c r="J46" i="24" s="1"/>
  <c r="J24" i="4"/>
  <c r="J30" i="10" s="1"/>
  <c r="J28" i="4"/>
  <c r="J32" i="10" s="1"/>
  <c r="J21" i="5"/>
  <c r="J30" i="11" s="1"/>
  <c r="J22" i="24" s="1"/>
  <c r="J44" i="4"/>
  <c r="J53" i="10" s="1"/>
  <c r="K16" i="5"/>
  <c r="K18" i="5" s="1"/>
  <c r="K13" i="25" s="1"/>
  <c r="L14" i="5"/>
  <c r="H14" i="8"/>
  <c r="H25" i="10" s="1"/>
  <c r="H30" i="24" s="1"/>
  <c r="H16" i="8"/>
  <c r="H60" i="10" s="1"/>
  <c r="J67" i="21" s="1"/>
  <c r="H28" i="6"/>
  <c r="H26" i="6"/>
  <c r="H15" i="11"/>
  <c r="H21" i="11" s="1"/>
  <c r="H24" i="19" s="1"/>
  <c r="J13" i="9"/>
  <c r="J17" i="9" s="1"/>
  <c r="J29" i="11" s="1"/>
  <c r="I32" i="19"/>
  <c r="I54" i="24"/>
  <c r="I15" i="24"/>
  <c r="K50" i="4"/>
  <c r="K59" i="10" s="1"/>
  <c r="I25" i="6"/>
  <c r="N27" i="5"/>
  <c r="M15" i="5"/>
  <c r="M22" i="8"/>
  <c r="L24" i="8"/>
  <c r="N41" i="21" s="1"/>
  <c r="O17" i="5"/>
  <c r="N15" i="4"/>
  <c r="N21" i="4"/>
  <c r="N37" i="4"/>
  <c r="M31" i="6"/>
  <c r="N51" i="4"/>
  <c r="N19" i="4"/>
  <c r="N57" i="4"/>
  <c r="N53" i="4"/>
  <c r="N55" i="4"/>
  <c r="N22" i="5"/>
  <c r="N31" i="4"/>
  <c r="N39" i="4"/>
  <c r="N49" i="4"/>
  <c r="I19" i="11" l="1"/>
  <c r="I22" i="19" s="1"/>
  <c r="I28" i="24"/>
  <c r="J16" i="6"/>
  <c r="K13" i="11"/>
  <c r="K45" i="19" s="1"/>
  <c r="J37" i="19"/>
  <c r="J30" i="6"/>
  <c r="J18" i="11" s="1"/>
  <c r="J21" i="19" s="1"/>
  <c r="J19" i="6"/>
  <c r="J22" i="6"/>
  <c r="J15" i="8"/>
  <c r="J27" i="10" s="1"/>
  <c r="L65" i="21" s="1"/>
  <c r="I50" i="24"/>
  <c r="J43" i="24"/>
  <c r="K24" i="4"/>
  <c r="K30" i="10" s="1"/>
  <c r="K38" i="4"/>
  <c r="K50" i="10" s="1"/>
  <c r="K56" i="24" s="1"/>
  <c r="J16" i="19"/>
  <c r="K13" i="6"/>
  <c r="K19" i="6" s="1"/>
  <c r="K44" i="4"/>
  <c r="K53" i="10" s="1"/>
  <c r="K20" i="4"/>
  <c r="K20" i="10" s="1"/>
  <c r="J39" i="24"/>
  <c r="J52" i="24"/>
  <c r="K56" i="4"/>
  <c r="K63" i="10" s="1"/>
  <c r="K36" i="4"/>
  <c r="K49" i="10" s="1"/>
  <c r="K42" i="4"/>
  <c r="K52" i="10" s="1"/>
  <c r="K40" i="4"/>
  <c r="K51" i="10" s="1"/>
  <c r="K54" i="4"/>
  <c r="K62" i="10" s="1"/>
  <c r="K48" i="4"/>
  <c r="K58" i="10" s="1"/>
  <c r="K52" i="4"/>
  <c r="K61" i="10" s="1"/>
  <c r="K30" i="4"/>
  <c r="K33" i="10" s="1"/>
  <c r="K14" i="4"/>
  <c r="K17" i="10" s="1"/>
  <c r="K21" i="5"/>
  <c r="K30" i="11" s="1"/>
  <c r="K43" i="24" s="1"/>
  <c r="K18" i="4"/>
  <c r="K19" i="10" s="1"/>
  <c r="K46" i="24" s="1"/>
  <c r="K26" i="4"/>
  <c r="K31" i="10" s="1"/>
  <c r="K28" i="4"/>
  <c r="K32" i="10" s="1"/>
  <c r="K16" i="4"/>
  <c r="K18" i="10" s="1"/>
  <c r="J15" i="9"/>
  <c r="K13" i="9" s="1"/>
  <c r="K17" i="9" s="1"/>
  <c r="K29" i="11" s="1"/>
  <c r="J33" i="19"/>
  <c r="L16" i="5"/>
  <c r="L18" i="5" s="1"/>
  <c r="L13" i="25" s="1"/>
  <c r="M14" i="5"/>
  <c r="H65" i="10"/>
  <c r="H67" i="10" s="1"/>
  <c r="H29" i="24"/>
  <c r="H24" i="18" s="1"/>
  <c r="H17" i="8"/>
  <c r="J63" i="21"/>
  <c r="H18" i="19"/>
  <c r="H16" i="11"/>
  <c r="J15" i="21" s="1"/>
  <c r="H26" i="11"/>
  <c r="H19" i="18" s="1"/>
  <c r="H20" i="18" s="1"/>
  <c r="H21" i="18" s="1"/>
  <c r="H22" i="11"/>
  <c r="J17" i="21" s="1"/>
  <c r="J19" i="11"/>
  <c r="J22" i="19" s="1"/>
  <c r="O27" i="5"/>
  <c r="N15" i="5"/>
  <c r="I16" i="8"/>
  <c r="I60" i="10" s="1"/>
  <c r="I28" i="6"/>
  <c r="I14" i="8"/>
  <c r="I26" i="6"/>
  <c r="I14" i="11"/>
  <c r="J50" i="24"/>
  <c r="J54" i="10"/>
  <c r="J32" i="19"/>
  <c r="J54" i="24"/>
  <c r="J15" i="24"/>
  <c r="N22" i="8"/>
  <c r="M24" i="8"/>
  <c r="O41" i="21" s="1"/>
  <c r="O55" i="4"/>
  <c r="O19" i="4"/>
  <c r="O37" i="4"/>
  <c r="O15" i="4"/>
  <c r="O31" i="4"/>
  <c r="O57" i="4"/>
  <c r="O39" i="4"/>
  <c r="O22" i="5"/>
  <c r="O51" i="4"/>
  <c r="P17" i="5"/>
  <c r="O49" i="4"/>
  <c r="O53" i="4"/>
  <c r="N31" i="6"/>
  <c r="O21" i="4"/>
  <c r="K16" i="19" l="1"/>
  <c r="K37" i="19"/>
  <c r="J36" i="6"/>
  <c r="J37" i="6" s="1"/>
  <c r="J25" i="6"/>
  <c r="J26" i="6" s="1"/>
  <c r="J14" i="9"/>
  <c r="J28" i="24"/>
  <c r="K16" i="6"/>
  <c r="L21" i="5"/>
  <c r="L30" i="11" s="1"/>
  <c r="L43" i="24" s="1"/>
  <c r="K22" i="24"/>
  <c r="K33" i="19"/>
  <c r="K52" i="24"/>
  <c r="L52" i="4"/>
  <c r="L61" i="10" s="1"/>
  <c r="K30" i="6"/>
  <c r="K18" i="11" s="1"/>
  <c r="K21" i="19" s="1"/>
  <c r="K33" i="6"/>
  <c r="K19" i="11" s="1"/>
  <c r="K22" i="19" s="1"/>
  <c r="K22" i="6"/>
  <c r="K25" i="6" s="1"/>
  <c r="K15" i="8"/>
  <c r="K27" i="10" s="1"/>
  <c r="M65" i="21" s="1"/>
  <c r="K39" i="24"/>
  <c r="K15" i="9"/>
  <c r="L13" i="9" s="1"/>
  <c r="L17" i="9" s="1"/>
  <c r="L29" i="11" s="1"/>
  <c r="L38" i="4"/>
  <c r="L50" i="10" s="1"/>
  <c r="L56" i="24" s="1"/>
  <c r="L20" i="4"/>
  <c r="L20" i="10" s="1"/>
  <c r="L14" i="4"/>
  <c r="L17" i="10" s="1"/>
  <c r="L48" i="4"/>
  <c r="L58" i="10" s="1"/>
  <c r="L36" i="4"/>
  <c r="L49" i="10" s="1"/>
  <c r="L40" i="4"/>
  <c r="L51" i="10" s="1"/>
  <c r="L18" i="4"/>
  <c r="L19" i="10" s="1"/>
  <c r="L46" i="24" s="1"/>
  <c r="L54" i="4"/>
  <c r="L62" i="10" s="1"/>
  <c r="L44" i="4"/>
  <c r="L53" i="10" s="1"/>
  <c r="L24" i="4"/>
  <c r="L30" i="10" s="1"/>
  <c r="L13" i="11"/>
  <c r="L16" i="4"/>
  <c r="L18" i="10" s="1"/>
  <c r="L26" i="4"/>
  <c r="L31" i="10" s="1"/>
  <c r="L50" i="4"/>
  <c r="L59" i="10" s="1"/>
  <c r="L30" i="4"/>
  <c r="L33" i="10" s="1"/>
  <c r="L13" i="6"/>
  <c r="L16" i="6" s="1"/>
  <c r="L56" i="4"/>
  <c r="L63" i="10" s="1"/>
  <c r="L28" i="4"/>
  <c r="L32" i="10" s="1"/>
  <c r="L42" i="4"/>
  <c r="L52" i="10" s="1"/>
  <c r="M16" i="5"/>
  <c r="M18" i="5" s="1"/>
  <c r="M13" i="25" s="1"/>
  <c r="N14" i="5"/>
  <c r="H32" i="11"/>
  <c r="H13" i="24" s="1"/>
  <c r="H20" i="24" s="1"/>
  <c r="H25" i="24" s="1"/>
  <c r="H31" i="24" s="1"/>
  <c r="H29" i="19"/>
  <c r="H27" i="11"/>
  <c r="J19" i="21" s="1"/>
  <c r="K32" i="19"/>
  <c r="K15" i="24"/>
  <c r="K54" i="24"/>
  <c r="I17" i="8"/>
  <c r="I25" i="10"/>
  <c r="I30" i="24" s="1"/>
  <c r="P27" i="5"/>
  <c r="O15" i="5"/>
  <c r="K67" i="21"/>
  <c r="K63" i="21"/>
  <c r="I15" i="11"/>
  <c r="I17" i="19"/>
  <c r="I65" i="10"/>
  <c r="I67" i="10" s="1"/>
  <c r="I29" i="24"/>
  <c r="K50" i="24"/>
  <c r="K54" i="10"/>
  <c r="O22" i="8"/>
  <c r="N24" i="8"/>
  <c r="P41" i="21" s="1"/>
  <c r="P21" i="4"/>
  <c r="Q17" i="5"/>
  <c r="P57" i="4"/>
  <c r="P37" i="4"/>
  <c r="O31" i="6"/>
  <c r="P53" i="4"/>
  <c r="P39" i="4"/>
  <c r="P22" i="5"/>
  <c r="P31" i="4"/>
  <c r="P49" i="4"/>
  <c r="P51" i="4"/>
  <c r="P15" i="4"/>
  <c r="P19" i="4"/>
  <c r="P55" i="4"/>
  <c r="J28" i="6" l="1"/>
  <c r="J14" i="8"/>
  <c r="J14" i="11"/>
  <c r="J15" i="11" s="1"/>
  <c r="J16" i="8"/>
  <c r="J60" i="10" s="1"/>
  <c r="L67" i="21" s="1"/>
  <c r="L22" i="24"/>
  <c r="L33" i="19"/>
  <c r="K36" i="6"/>
  <c r="K37" i="6" s="1"/>
  <c r="M44" i="4"/>
  <c r="M53" i="10" s="1"/>
  <c r="L15" i="8"/>
  <c r="L27" i="10" s="1"/>
  <c r="N65" i="21" s="1"/>
  <c r="K14" i="9"/>
  <c r="M50" i="4"/>
  <c r="M59" i="10" s="1"/>
  <c r="M28" i="4"/>
  <c r="M32" i="10" s="1"/>
  <c r="K28" i="24"/>
  <c r="L52" i="24"/>
  <c r="L37" i="19"/>
  <c r="L39" i="24"/>
  <c r="L15" i="9"/>
  <c r="M13" i="9" s="1"/>
  <c r="M17" i="9" s="1"/>
  <c r="M29" i="11" s="1"/>
  <c r="M36" i="4"/>
  <c r="M49" i="10" s="1"/>
  <c r="L19" i="6"/>
  <c r="M38" i="4"/>
  <c r="M50" i="10" s="1"/>
  <c r="M56" i="24" s="1"/>
  <c r="M40" i="4"/>
  <c r="M51" i="10" s="1"/>
  <c r="M18" i="4"/>
  <c r="M19" i="10" s="1"/>
  <c r="M46" i="24" s="1"/>
  <c r="L30" i="6"/>
  <c r="L18" i="11" s="1"/>
  <c r="L21" i="19" s="1"/>
  <c r="M26" i="4"/>
  <c r="M31" i="10" s="1"/>
  <c r="L45" i="19"/>
  <c r="L16" i="19"/>
  <c r="M56" i="4"/>
  <c r="M63" i="10" s="1"/>
  <c r="M48" i="4"/>
  <c r="M58" i="10" s="1"/>
  <c r="M20" i="4"/>
  <c r="M20" i="10" s="1"/>
  <c r="M30" i="4"/>
  <c r="M33" i="10" s="1"/>
  <c r="M24" i="4"/>
  <c r="M30" i="10" s="1"/>
  <c r="M14" i="4"/>
  <c r="M17" i="10" s="1"/>
  <c r="M21" i="5"/>
  <c r="M30" i="11" s="1"/>
  <c r="M22" i="24" s="1"/>
  <c r="M13" i="6"/>
  <c r="M16" i="6" s="1"/>
  <c r="L22" i="6"/>
  <c r="L25" i="6" s="1"/>
  <c r="L14" i="8" s="1"/>
  <c r="L25" i="10" s="1"/>
  <c r="L33" i="6"/>
  <c r="L36" i="6" s="1"/>
  <c r="L37" i="6" s="1"/>
  <c r="M42" i="4"/>
  <c r="M52" i="10" s="1"/>
  <c r="M16" i="4"/>
  <c r="M18" i="10" s="1"/>
  <c r="M52" i="4"/>
  <c r="M61" i="10" s="1"/>
  <c r="M54" i="4"/>
  <c r="M62" i="10" s="1"/>
  <c r="M13" i="11"/>
  <c r="M16" i="19" s="1"/>
  <c r="N16" i="5"/>
  <c r="N18" i="5" s="1"/>
  <c r="N13" i="25" s="1"/>
  <c r="H35" i="19"/>
  <c r="O14" i="5"/>
  <c r="H36" i="11"/>
  <c r="H37" i="11" s="1"/>
  <c r="J21" i="21" s="1"/>
  <c r="I24" i="18"/>
  <c r="I16" i="11"/>
  <c r="K15" i="21" s="1"/>
  <c r="I21" i="11"/>
  <c r="I18" i="19"/>
  <c r="L32" i="19"/>
  <c r="L15" i="24"/>
  <c r="L54" i="24"/>
  <c r="L54" i="10"/>
  <c r="L50" i="24"/>
  <c r="J17" i="19"/>
  <c r="K14" i="8"/>
  <c r="K16" i="8"/>
  <c r="K60" i="10" s="1"/>
  <c r="K28" i="6"/>
  <c r="K26" i="6"/>
  <c r="K14" i="11"/>
  <c r="J25" i="10"/>
  <c r="J30" i="24" s="1"/>
  <c r="Q27" i="5"/>
  <c r="Q15" i="5" s="1"/>
  <c r="P15" i="5"/>
  <c r="P22" i="8"/>
  <c r="O24" i="8"/>
  <c r="Q41" i="21" s="1"/>
  <c r="Q31" i="4"/>
  <c r="Q55" i="4"/>
  <c r="Q15" i="4"/>
  <c r="Q37" i="4"/>
  <c r="Q49" i="4"/>
  <c r="P31" i="6"/>
  <c r="Q19" i="4"/>
  <c r="Q51" i="4"/>
  <c r="Q22" i="5"/>
  <c r="Q39" i="4"/>
  <c r="Q53" i="4"/>
  <c r="Q57" i="4"/>
  <c r="Q21" i="4"/>
  <c r="L63" i="21" l="1"/>
  <c r="J65" i="10"/>
  <c r="J67" i="10" s="1"/>
  <c r="J29" i="24"/>
  <c r="J17" i="8"/>
  <c r="M52" i="24"/>
  <c r="L28" i="24"/>
  <c r="L14" i="9"/>
  <c r="N38" i="4"/>
  <c r="N50" i="10" s="1"/>
  <c r="N56" i="24" s="1"/>
  <c r="M39" i="24"/>
  <c r="M30" i="6"/>
  <c r="M18" i="11" s="1"/>
  <c r="M21" i="19" s="1"/>
  <c r="N13" i="6"/>
  <c r="N16" i="6" s="1"/>
  <c r="M19" i="6"/>
  <c r="N52" i="4"/>
  <c r="N61" i="10" s="1"/>
  <c r="N28" i="4"/>
  <c r="N32" i="10" s="1"/>
  <c r="M33" i="6"/>
  <c r="M19" i="11" s="1"/>
  <c r="M22" i="19" s="1"/>
  <c r="N20" i="4"/>
  <c r="N20" i="10" s="1"/>
  <c r="N30" i="4"/>
  <c r="N33" i="10" s="1"/>
  <c r="M22" i="6"/>
  <c r="N16" i="4"/>
  <c r="N18" i="10" s="1"/>
  <c r="M15" i="8"/>
  <c r="M27" i="10" s="1"/>
  <c r="O65" i="21" s="1"/>
  <c r="M45" i="19"/>
  <c r="N36" i="4"/>
  <c r="N49" i="10" s="1"/>
  <c r="N13" i="11"/>
  <c r="N21" i="5"/>
  <c r="N30" i="11" s="1"/>
  <c r="N22" i="24" s="1"/>
  <c r="M15" i="9"/>
  <c r="M14" i="9" s="1"/>
  <c r="M43" i="24"/>
  <c r="M33" i="19"/>
  <c r="L19" i="11"/>
  <c r="L22" i="19" s="1"/>
  <c r="M37" i="19"/>
  <c r="N42" i="4"/>
  <c r="N52" i="10" s="1"/>
  <c r="N54" i="4"/>
  <c r="N62" i="10" s="1"/>
  <c r="N48" i="4"/>
  <c r="N58" i="10" s="1"/>
  <c r="N56" i="4"/>
  <c r="N63" i="10" s="1"/>
  <c r="N26" i="4"/>
  <c r="N31" i="10" s="1"/>
  <c r="N44" i="4"/>
  <c r="N53" i="10" s="1"/>
  <c r="N18" i="4"/>
  <c r="N19" i="10" s="1"/>
  <c r="N46" i="24" s="1"/>
  <c r="N24" i="4"/>
  <c r="N30" i="10" s="1"/>
  <c r="N50" i="4"/>
  <c r="N59" i="10" s="1"/>
  <c r="N14" i="4"/>
  <c r="N17" i="10" s="1"/>
  <c r="N40" i="4"/>
  <c r="N51" i="10" s="1"/>
  <c r="O16" i="5"/>
  <c r="O18" i="5" s="1"/>
  <c r="O13" i="25" s="1"/>
  <c r="L28" i="6"/>
  <c r="H39" i="19"/>
  <c r="P14" i="5"/>
  <c r="H39" i="11"/>
  <c r="H32" i="24" s="1"/>
  <c r="H34" i="24" s="1"/>
  <c r="J53" i="21"/>
  <c r="L26" i="6"/>
  <c r="J24" i="18"/>
  <c r="L14" i="11"/>
  <c r="L16" i="8"/>
  <c r="L60" i="10" s="1"/>
  <c r="M54" i="24"/>
  <c r="M15" i="24"/>
  <c r="M32" i="19"/>
  <c r="K29" i="24"/>
  <c r="K65" i="10"/>
  <c r="K67" i="10" s="1"/>
  <c r="M63" i="21"/>
  <c r="K15" i="11"/>
  <c r="K17" i="19"/>
  <c r="M67" i="21"/>
  <c r="K25" i="10"/>
  <c r="K17" i="8"/>
  <c r="M54" i="10"/>
  <c r="M50" i="24"/>
  <c r="I24" i="19"/>
  <c r="I22" i="11"/>
  <c r="K17" i="21" s="1"/>
  <c r="J18" i="19"/>
  <c r="J16" i="11"/>
  <c r="L15" i="21" s="1"/>
  <c r="J21" i="11"/>
  <c r="Q22" i="8"/>
  <c r="Q24" i="8" s="1"/>
  <c r="S41" i="21" s="1"/>
  <c r="P24" i="8"/>
  <c r="R41" i="21" s="1"/>
  <c r="Q31" i="6"/>
  <c r="N15" i="8" l="1"/>
  <c r="N27" i="10" s="1"/>
  <c r="N33" i="6"/>
  <c r="N19" i="11" s="1"/>
  <c r="N22" i="19" s="1"/>
  <c r="N19" i="6"/>
  <c r="N30" i="6"/>
  <c r="N18" i="11" s="1"/>
  <c r="N21" i="19" s="1"/>
  <c r="N22" i="6"/>
  <c r="M28" i="24"/>
  <c r="N43" i="24"/>
  <c r="M25" i="6"/>
  <c r="M14" i="11" s="1"/>
  <c r="N33" i="19"/>
  <c r="N13" i="9"/>
  <c r="N17" i="9" s="1"/>
  <c r="N29" i="11" s="1"/>
  <c r="N15" i="24" s="1"/>
  <c r="N39" i="24"/>
  <c r="N45" i="19"/>
  <c r="M36" i="6"/>
  <c r="M37" i="6" s="1"/>
  <c r="N16" i="19"/>
  <c r="N37" i="19"/>
  <c r="P65" i="21"/>
  <c r="N52" i="24"/>
  <c r="N15" i="9"/>
  <c r="O13" i="9" s="1"/>
  <c r="O17" i="9" s="1"/>
  <c r="O29" i="11" s="1"/>
  <c r="O14" i="4"/>
  <c r="O17" i="10" s="1"/>
  <c r="O52" i="4"/>
  <c r="O61" i="10" s="1"/>
  <c r="O48" i="4"/>
  <c r="O58" i="10" s="1"/>
  <c r="O24" i="4"/>
  <c r="O30" i="10" s="1"/>
  <c r="O26" i="4"/>
  <c r="O31" i="10" s="1"/>
  <c r="O56" i="4"/>
  <c r="O63" i="10" s="1"/>
  <c r="O50" i="4"/>
  <c r="O59" i="10" s="1"/>
  <c r="O16" i="4"/>
  <c r="O18" i="10" s="1"/>
  <c r="O21" i="5"/>
  <c r="O30" i="11" s="1"/>
  <c r="O22" i="24" s="1"/>
  <c r="O13" i="6"/>
  <c r="O22" i="6" s="1"/>
  <c r="O40" i="4"/>
  <c r="O51" i="10" s="1"/>
  <c r="O30" i="4"/>
  <c r="O33" i="10" s="1"/>
  <c r="O28" i="4"/>
  <c r="O32" i="10" s="1"/>
  <c r="O13" i="11"/>
  <c r="O16" i="19" s="1"/>
  <c r="O20" i="4"/>
  <c r="O20" i="10" s="1"/>
  <c r="O42" i="4"/>
  <c r="O52" i="10" s="1"/>
  <c r="O54" i="4"/>
  <c r="O62" i="10" s="1"/>
  <c r="O38" i="4"/>
  <c r="O50" i="10" s="1"/>
  <c r="O56" i="24" s="1"/>
  <c r="O18" i="4"/>
  <c r="O19" i="10" s="1"/>
  <c r="O46" i="24" s="1"/>
  <c r="O36" i="4"/>
  <c r="O49" i="10" s="1"/>
  <c r="O44" i="4"/>
  <c r="O53" i="10" s="1"/>
  <c r="P16" i="5"/>
  <c r="P18" i="5" s="1"/>
  <c r="P13" i="25" s="1"/>
  <c r="Q14" i="5"/>
  <c r="Q16" i="5" s="1"/>
  <c r="Q18" i="5" s="1"/>
  <c r="Q13" i="25" s="1"/>
  <c r="H41" i="11"/>
  <c r="H44" i="11" s="1"/>
  <c r="H49" i="11" s="1"/>
  <c r="H55" i="24" s="1"/>
  <c r="H42" i="19"/>
  <c r="L17" i="8"/>
  <c r="N67" i="21"/>
  <c r="L29" i="24"/>
  <c r="L65" i="10"/>
  <c r="L67" i="10" s="1"/>
  <c r="L17" i="19"/>
  <c r="N63" i="21"/>
  <c r="L15" i="11"/>
  <c r="J24" i="19"/>
  <c r="J22" i="11"/>
  <c r="L17" i="21" s="1"/>
  <c r="N54" i="10"/>
  <c r="N50" i="24"/>
  <c r="K18" i="19"/>
  <c r="K16" i="11"/>
  <c r="M15" i="21" s="1"/>
  <c r="K21" i="11"/>
  <c r="K30" i="24"/>
  <c r="K24" i="18" s="1"/>
  <c r="L30" i="24"/>
  <c r="N28" i="24"/>
  <c r="M28" i="6" l="1"/>
  <c r="M14" i="8"/>
  <c r="M25" i="10" s="1"/>
  <c r="M30" i="24" s="1"/>
  <c r="N25" i="6"/>
  <c r="N14" i="11" s="1"/>
  <c r="N36" i="6"/>
  <c r="N37" i="6" s="1"/>
  <c r="M26" i="6"/>
  <c r="M16" i="8"/>
  <c r="M60" i="10" s="1"/>
  <c r="M65" i="10" s="1"/>
  <c r="M67" i="10" s="1"/>
  <c r="N54" i="24"/>
  <c r="N32" i="19"/>
  <c r="P44" i="4"/>
  <c r="P53" i="10" s="1"/>
  <c r="O39" i="24"/>
  <c r="N14" i="9"/>
  <c r="O33" i="6"/>
  <c r="O19" i="11" s="1"/>
  <c r="O22" i="19" s="1"/>
  <c r="P56" i="4"/>
  <c r="P63" i="10" s="1"/>
  <c r="P13" i="11"/>
  <c r="P37" i="19" s="1"/>
  <c r="P18" i="4"/>
  <c r="P19" i="10" s="1"/>
  <c r="P46" i="24" s="1"/>
  <c r="O15" i="8"/>
  <c r="O27" i="10" s="1"/>
  <c r="Q65" i="21" s="1"/>
  <c r="P14" i="4"/>
  <c r="P17" i="10" s="1"/>
  <c r="P42" i="4"/>
  <c r="P52" i="10" s="1"/>
  <c r="O45" i="19"/>
  <c r="O19" i="6"/>
  <c r="P26" i="4"/>
  <c r="P31" i="10" s="1"/>
  <c r="P24" i="4"/>
  <c r="P30" i="10" s="1"/>
  <c r="O37" i="19"/>
  <c r="P48" i="4"/>
  <c r="P58" i="10" s="1"/>
  <c r="P36" i="4"/>
  <c r="P49" i="10" s="1"/>
  <c r="P52" i="4"/>
  <c r="P61" i="10" s="1"/>
  <c r="O15" i="9"/>
  <c r="P13" i="9" s="1"/>
  <c r="P17" i="9" s="1"/>
  <c r="P29" i="11" s="1"/>
  <c r="O30" i="6"/>
  <c r="O18" i="11" s="1"/>
  <c r="O21" i="19" s="1"/>
  <c r="P13" i="6"/>
  <c r="P33" i="6" s="1"/>
  <c r="P20" i="4"/>
  <c r="P20" i="10" s="1"/>
  <c r="P54" i="4"/>
  <c r="P62" i="10" s="1"/>
  <c r="P38" i="4"/>
  <c r="P50" i="10" s="1"/>
  <c r="P56" i="24" s="1"/>
  <c r="P21" i="5"/>
  <c r="P30" i="11" s="1"/>
  <c r="P43" i="24" s="1"/>
  <c r="O16" i="6"/>
  <c r="P50" i="4"/>
  <c r="P59" i="10" s="1"/>
  <c r="P40" i="4"/>
  <c r="P51" i="10" s="1"/>
  <c r="P30" i="4"/>
  <c r="P33" i="10" s="1"/>
  <c r="P28" i="4"/>
  <c r="P32" i="10" s="1"/>
  <c r="P16" i="4"/>
  <c r="P18" i="10" s="1"/>
  <c r="O43" i="24"/>
  <c r="O52" i="24"/>
  <c r="O33" i="19"/>
  <c r="H42" i="10"/>
  <c r="H52" i="11"/>
  <c r="H53" i="11" s="1"/>
  <c r="H44" i="19"/>
  <c r="H47" i="19"/>
  <c r="H47" i="11"/>
  <c r="H45" i="11"/>
  <c r="J25" i="21" s="1"/>
  <c r="J73" i="21" s="1"/>
  <c r="L24" i="18"/>
  <c r="L18" i="19"/>
  <c r="L21" i="11"/>
  <c r="L16" i="11"/>
  <c r="N15" i="21" s="1"/>
  <c r="O50" i="24"/>
  <c r="O54" i="10"/>
  <c r="Q44" i="4"/>
  <c r="Q53" i="10" s="1"/>
  <c r="Q13" i="6"/>
  <c r="Q42" i="4"/>
  <c r="Q52" i="10" s="1"/>
  <c r="Q16" i="4"/>
  <c r="Q18" i="10" s="1"/>
  <c r="Q13" i="11"/>
  <c r="Q28" i="4"/>
  <c r="Q32" i="10" s="1"/>
  <c r="Q40" i="4"/>
  <c r="Q51" i="10" s="1"/>
  <c r="Q24" i="4"/>
  <c r="Q30" i="10" s="1"/>
  <c r="Q26" i="4"/>
  <c r="Q31" i="10" s="1"/>
  <c r="Q52" i="4"/>
  <c r="Q61" i="10" s="1"/>
  <c r="Q38" i="4"/>
  <c r="Q50" i="10" s="1"/>
  <c r="Q21" i="5"/>
  <c r="Q30" i="11" s="1"/>
  <c r="Q56" i="4"/>
  <c r="Q63" i="10" s="1"/>
  <c r="Q54" i="4"/>
  <c r="Q62" i="10" s="1"/>
  <c r="Q50" i="4"/>
  <c r="Q59" i="10" s="1"/>
  <c r="Q48" i="4"/>
  <c r="Q58" i="10" s="1"/>
  <c r="Q30" i="4"/>
  <c r="Q33" i="10" s="1"/>
  <c r="Q14" i="4"/>
  <c r="Q17" i="10" s="1"/>
  <c r="Q20" i="4"/>
  <c r="Q20" i="10" s="1"/>
  <c r="Q18" i="4"/>
  <c r="Q19" i="10" s="1"/>
  <c r="Q36" i="4"/>
  <c r="O67" i="21"/>
  <c r="M15" i="11"/>
  <c r="M17" i="19"/>
  <c r="O54" i="24"/>
  <c r="O15" i="24"/>
  <c r="O32" i="19"/>
  <c r="K24" i="19"/>
  <c r="K22" i="11"/>
  <c r="M17" i="21" s="1"/>
  <c r="M29" i="24"/>
  <c r="H57" i="24"/>
  <c r="P16" i="19" l="1"/>
  <c r="M17" i="8"/>
  <c r="O63" i="21"/>
  <c r="N28" i="6"/>
  <c r="N14" i="8"/>
  <c r="O28" i="24"/>
  <c r="N16" i="8"/>
  <c r="N60" i="10" s="1"/>
  <c r="N29" i="24" s="1"/>
  <c r="N26" i="6"/>
  <c r="O36" i="6"/>
  <c r="O37" i="6" s="1"/>
  <c r="Q56" i="24"/>
  <c r="O25" i="6"/>
  <c r="O16" i="8" s="1"/>
  <c r="O60" i="10" s="1"/>
  <c r="P52" i="24"/>
  <c r="Q46" i="24"/>
  <c r="P45" i="19"/>
  <c r="O14" i="9"/>
  <c r="P39" i="24"/>
  <c r="P15" i="9"/>
  <c r="P14" i="9" s="1"/>
  <c r="P19" i="6"/>
  <c r="P15" i="8"/>
  <c r="P27" i="10" s="1"/>
  <c r="P28" i="24" s="1"/>
  <c r="P33" i="19"/>
  <c r="P22" i="6"/>
  <c r="P30" i="6"/>
  <c r="P18" i="11" s="1"/>
  <c r="P21" i="19" s="1"/>
  <c r="P22" i="24"/>
  <c r="P16" i="6"/>
  <c r="L24" i="19"/>
  <c r="L22" i="11"/>
  <c r="N17" i="21" s="1"/>
  <c r="Q39" i="24"/>
  <c r="M24" i="18"/>
  <c r="P19" i="11"/>
  <c r="P22" i="19" s="1"/>
  <c r="P36" i="6"/>
  <c r="P37" i="6" s="1"/>
  <c r="Q52" i="24"/>
  <c r="Q49" i="10"/>
  <c r="Q15" i="9"/>
  <c r="Q37" i="19"/>
  <c r="Q16" i="19"/>
  <c r="Q45" i="19"/>
  <c r="P54" i="10"/>
  <c r="P50" i="24"/>
  <c r="Q43" i="24"/>
  <c r="Q33" i="19"/>
  <c r="Q22" i="24"/>
  <c r="N25" i="10"/>
  <c r="N30" i="24" s="1"/>
  <c r="P32" i="19"/>
  <c r="P15" i="24"/>
  <c r="P54" i="24"/>
  <c r="M18" i="19"/>
  <c r="M16" i="11"/>
  <c r="O15" i="21" s="1"/>
  <c r="M21" i="11"/>
  <c r="Q19" i="6"/>
  <c r="Q33" i="6"/>
  <c r="Q16" i="6"/>
  <c r="Q22" i="6"/>
  <c r="Q30" i="6"/>
  <c r="Q18" i="11" s="1"/>
  <c r="Q21" i="19" s="1"/>
  <c r="Q15" i="8"/>
  <c r="Q27" i="10" s="1"/>
  <c r="N15" i="11"/>
  <c r="N17" i="19"/>
  <c r="P63" i="21"/>
  <c r="H44" i="10"/>
  <c r="N17" i="8" l="1"/>
  <c r="N65" i="10"/>
  <c r="N67" i="10" s="1"/>
  <c r="P67" i="21"/>
  <c r="O26" i="6"/>
  <c r="O14" i="11"/>
  <c r="O28" i="6"/>
  <c r="O14" i="8"/>
  <c r="O17" i="8" s="1"/>
  <c r="Q13" i="9"/>
  <c r="Q17" i="9" s="1"/>
  <c r="Q29" i="11" s="1"/>
  <c r="Q54" i="24" s="1"/>
  <c r="R65" i="21"/>
  <c r="P25" i="6"/>
  <c r="P26" i="6" s="1"/>
  <c r="J27" i="21"/>
  <c r="H69" i="10"/>
  <c r="N24" i="18"/>
  <c r="S65" i="21"/>
  <c r="Q28" i="24"/>
  <c r="Q19" i="11"/>
  <c r="Q22" i="19" s="1"/>
  <c r="Q36" i="6"/>
  <c r="Q37" i="6" s="1"/>
  <c r="N18" i="19"/>
  <c r="N16" i="11"/>
  <c r="P15" i="21" s="1"/>
  <c r="N21" i="11"/>
  <c r="O29" i="24"/>
  <c r="O65" i="10"/>
  <c r="O67" i="10" s="1"/>
  <c r="M22" i="11"/>
  <c r="O17" i="21" s="1"/>
  <c r="M24" i="19"/>
  <c r="Q25" i="6"/>
  <c r="Q50" i="24"/>
  <c r="Q54" i="10"/>
  <c r="O15" i="11"/>
  <c r="O17" i="19"/>
  <c r="Q67" i="21"/>
  <c r="J49" i="21"/>
  <c r="O25" i="10" l="1"/>
  <c r="O30" i="24" s="1"/>
  <c r="O24" i="18" s="1"/>
  <c r="Q15" i="24"/>
  <c r="Q32" i="19"/>
  <c r="Q14" i="9"/>
  <c r="Q63" i="21"/>
  <c r="P28" i="6"/>
  <c r="P14" i="11"/>
  <c r="P17" i="19" s="1"/>
  <c r="P14" i="8"/>
  <c r="P25" i="10" s="1"/>
  <c r="P16" i="8"/>
  <c r="P60" i="10" s="1"/>
  <c r="P65" i="10" s="1"/>
  <c r="P67" i="10" s="1"/>
  <c r="O18" i="19"/>
  <c r="O21" i="11"/>
  <c r="O16" i="11"/>
  <c r="Q15" i="21" s="1"/>
  <c r="N24" i="19"/>
  <c r="N22" i="11"/>
  <c r="P17" i="21" s="1"/>
  <c r="P15" i="11"/>
  <c r="Q14" i="11"/>
  <c r="Q26" i="6"/>
  <c r="Q14" i="8"/>
  <c r="Q16" i="8"/>
  <c r="Q60" i="10" s="1"/>
  <c r="Q28" i="6"/>
  <c r="P30" i="24" l="1"/>
  <c r="P29" i="24"/>
  <c r="R63" i="21"/>
  <c r="R67" i="21"/>
  <c r="P17" i="8"/>
  <c r="Q25" i="10"/>
  <c r="Q30" i="24" s="1"/>
  <c r="Q17" i="8"/>
  <c r="O24" i="19"/>
  <c r="O22" i="11"/>
  <c r="Q17" i="21" s="1"/>
  <c r="S67" i="21"/>
  <c r="Q29" i="24"/>
  <c r="Q65" i="10"/>
  <c r="Q67" i="10" s="1"/>
  <c r="Q17" i="19"/>
  <c r="Q15" i="11"/>
  <c r="S63" i="21"/>
  <c r="P21" i="11"/>
  <c r="P16" i="11"/>
  <c r="R15" i="21" s="1"/>
  <c r="P18" i="19"/>
  <c r="P24" i="18" l="1"/>
  <c r="P24" i="19"/>
  <c r="P22" i="11"/>
  <c r="R17" i="21" s="1"/>
  <c r="Q24" i="18"/>
  <c r="Q18" i="19"/>
  <c r="Q16" i="11"/>
  <c r="S15" i="21" s="1"/>
  <c r="Q21" i="11"/>
  <c r="Q24" i="19" l="1"/>
  <c r="Q22" i="11"/>
  <c r="S17" i="21" s="1"/>
  <c r="I37" i="24" l="1"/>
  <c r="H37" i="24"/>
  <c r="H15" i="25" l="1"/>
  <c r="H15" i="10" s="1"/>
  <c r="J59" i="21" s="1"/>
  <c r="H23" i="18"/>
  <c r="H25" i="18" s="1"/>
  <c r="H27" i="18" s="1"/>
  <c r="H47" i="24"/>
  <c r="H59" i="24" s="1"/>
  <c r="H61" i="24" s="1"/>
  <c r="I23" i="18"/>
  <c r="I47" i="24"/>
  <c r="I12" i="25" l="1"/>
  <c r="I14" i="25" s="1"/>
  <c r="I24" i="11" s="1"/>
  <c r="H22" i="10"/>
  <c r="I60" i="24"/>
  <c r="H28" i="10"/>
  <c r="J37" i="24"/>
  <c r="I15" i="25" l="1"/>
  <c r="J12" i="25" s="1"/>
  <c r="J47" i="24"/>
  <c r="J23" i="18"/>
  <c r="K37" i="24"/>
  <c r="H35" i="10"/>
  <c r="I16" i="24"/>
  <c r="I22" i="18"/>
  <c r="I27" i="19"/>
  <c r="I26" i="11"/>
  <c r="I15" i="10" l="1"/>
  <c r="K59" i="21" s="1"/>
  <c r="L37" i="24"/>
  <c r="I29" i="19"/>
  <c r="I27" i="11"/>
  <c r="K19" i="21" s="1"/>
  <c r="I19" i="18"/>
  <c r="I32" i="11"/>
  <c r="J37" i="21"/>
  <c r="J39" i="21"/>
  <c r="H37" i="10"/>
  <c r="H77" i="19" s="1"/>
  <c r="K23" i="18"/>
  <c r="K47" i="24"/>
  <c r="J14" i="25"/>
  <c r="J24" i="11" s="1"/>
  <c r="I22" i="10"/>
  <c r="J15" i="25" l="1"/>
  <c r="J15" i="10" s="1"/>
  <c r="L59" i="21" s="1"/>
  <c r="H57" i="19"/>
  <c r="H85" i="19"/>
  <c r="H62" i="19"/>
  <c r="H55" i="19"/>
  <c r="H84" i="19"/>
  <c r="H86" i="19"/>
  <c r="H94" i="19"/>
  <c r="H91" i="19"/>
  <c r="H102" i="19"/>
  <c r="H74" i="19"/>
  <c r="J51" i="21"/>
  <c r="H54" i="19"/>
  <c r="J29" i="21"/>
  <c r="H67" i="19"/>
  <c r="H72" i="19"/>
  <c r="H101" i="19"/>
  <c r="H111" i="19"/>
  <c r="H92" i="19"/>
  <c r="H71" i="19"/>
  <c r="H60" i="19"/>
  <c r="H104" i="19"/>
  <c r="H93" i="19"/>
  <c r="H59" i="19"/>
  <c r="H100" i="19"/>
  <c r="H71" i="10"/>
  <c r="H96" i="19"/>
  <c r="H103" i="19"/>
  <c r="H83" i="19"/>
  <c r="H107" i="19"/>
  <c r="H75" i="19"/>
  <c r="H79" i="19"/>
  <c r="H109" i="19"/>
  <c r="H56" i="19"/>
  <c r="H69" i="19"/>
  <c r="H73" i="19"/>
  <c r="H105" i="19"/>
  <c r="H61" i="19"/>
  <c r="H72" i="10"/>
  <c r="J47" i="21"/>
  <c r="J77" i="21" s="1"/>
  <c r="J31" i="21"/>
  <c r="J61" i="21"/>
  <c r="J75" i="21" s="1"/>
  <c r="H53" i="19"/>
  <c r="H64" i="19"/>
  <c r="H70" i="19"/>
  <c r="I35" i="19"/>
  <c r="I13" i="24"/>
  <c r="I20" i="24" s="1"/>
  <c r="I25" i="24" s="1"/>
  <c r="I31" i="24" s="1"/>
  <c r="I36" i="11"/>
  <c r="J22" i="18"/>
  <c r="J27" i="19"/>
  <c r="J16" i="24"/>
  <c r="J26" i="11"/>
  <c r="I20" i="18"/>
  <c r="I21" i="18" s="1"/>
  <c r="I25" i="18" s="1"/>
  <c r="I27" i="18" s="1"/>
  <c r="M37" i="24"/>
  <c r="L47" i="24"/>
  <c r="L23" i="18"/>
  <c r="K12" i="25" l="1"/>
  <c r="K14" i="25" s="1"/>
  <c r="K24" i="11" s="1"/>
  <c r="J79" i="21"/>
  <c r="J29" i="19"/>
  <c r="J27" i="11"/>
  <c r="L19" i="21" s="1"/>
  <c r="J32" i="11"/>
  <c r="J19" i="18"/>
  <c r="M23" i="18"/>
  <c r="M47" i="24"/>
  <c r="N37" i="24"/>
  <c r="I39" i="19"/>
  <c r="K53" i="21"/>
  <c r="I37" i="11"/>
  <c r="K21" i="21" s="1"/>
  <c r="I39" i="11"/>
  <c r="I41" i="11" s="1"/>
  <c r="J22" i="10"/>
  <c r="K16" i="24" l="1"/>
  <c r="K22" i="18"/>
  <c r="K27" i="19"/>
  <c r="K26" i="11"/>
  <c r="I44" i="19"/>
  <c r="I44" i="11"/>
  <c r="J20" i="18"/>
  <c r="J21" i="18" s="1"/>
  <c r="J25" i="18" s="1"/>
  <c r="J27" i="18" s="1"/>
  <c r="J35" i="19"/>
  <c r="J36" i="11"/>
  <c r="J13" i="24"/>
  <c r="J20" i="24" s="1"/>
  <c r="J25" i="24" s="1"/>
  <c r="J31" i="24" s="1"/>
  <c r="I42" i="19"/>
  <c r="I32" i="24"/>
  <c r="I34" i="24" s="1"/>
  <c r="O37" i="24"/>
  <c r="N47" i="24"/>
  <c r="N23" i="18"/>
  <c r="K15" i="25"/>
  <c r="K29" i="19" l="1"/>
  <c r="K27" i="11"/>
  <c r="M19" i="21" s="1"/>
  <c r="K19" i="18"/>
  <c r="K32" i="11"/>
  <c r="O47" i="24"/>
  <c r="O23" i="18"/>
  <c r="L53" i="21"/>
  <c r="J39" i="11"/>
  <c r="J41" i="11" s="1"/>
  <c r="J37" i="11"/>
  <c r="L21" i="21" s="1"/>
  <c r="J39" i="19"/>
  <c r="I47" i="11"/>
  <c r="I45" i="11"/>
  <c r="K25" i="21" s="1"/>
  <c r="K73" i="21" s="1"/>
  <c r="I47" i="19"/>
  <c r="I49" i="11"/>
  <c r="I55" i="24" s="1"/>
  <c r="I57" i="24" s="1"/>
  <c r="I59" i="24" s="1"/>
  <c r="I61" i="24" s="1"/>
  <c r="K15" i="10"/>
  <c r="M59" i="21" s="1"/>
  <c r="L12" i="25"/>
  <c r="P37" i="24"/>
  <c r="Q37" i="24"/>
  <c r="P47" i="24" l="1"/>
  <c r="P23" i="18"/>
  <c r="L14" i="25"/>
  <c r="L24" i="11" s="1"/>
  <c r="J44" i="19"/>
  <c r="J44" i="11"/>
  <c r="K20" i="18"/>
  <c r="K21" i="18" s="1"/>
  <c r="K25" i="18" s="1"/>
  <c r="K27" i="18" s="1"/>
  <c r="Q47" i="24"/>
  <c r="Q23" i="18"/>
  <c r="K22" i="10"/>
  <c r="I52" i="11"/>
  <c r="I53" i="11" s="1"/>
  <c r="J42" i="19"/>
  <c r="J32" i="24"/>
  <c r="J34" i="24" s="1"/>
  <c r="J60" i="24"/>
  <c r="I28" i="10"/>
  <c r="I42" i="10"/>
  <c r="K13" i="24"/>
  <c r="K20" i="24" s="1"/>
  <c r="K25" i="24" s="1"/>
  <c r="K31" i="24" s="1"/>
  <c r="K35" i="19"/>
  <c r="K36" i="11"/>
  <c r="L15" i="25" l="1"/>
  <c r="L15" i="10" s="1"/>
  <c r="N59" i="21" s="1"/>
  <c r="L16" i="24"/>
  <c r="L27" i="19"/>
  <c r="L22" i="18"/>
  <c r="L26" i="11"/>
  <c r="I44" i="10"/>
  <c r="M53" i="21"/>
  <c r="K39" i="19"/>
  <c r="K37" i="11"/>
  <c r="M21" i="21" s="1"/>
  <c r="K39" i="11"/>
  <c r="K41" i="11" s="1"/>
  <c r="I35" i="10"/>
  <c r="J47" i="19"/>
  <c r="J47" i="11"/>
  <c r="J45" i="11"/>
  <c r="L25" i="21" s="1"/>
  <c r="L73" i="21" s="1"/>
  <c r="J49" i="11"/>
  <c r="J55" i="24" s="1"/>
  <c r="J57" i="24" s="1"/>
  <c r="J59" i="24" s="1"/>
  <c r="J61" i="24" s="1"/>
  <c r="M12" i="25" l="1"/>
  <c r="M14" i="25" s="1"/>
  <c r="M24" i="11" s="1"/>
  <c r="J42" i="10"/>
  <c r="J44" i="10" s="1"/>
  <c r="J52" i="11"/>
  <c r="J53" i="11" s="1"/>
  <c r="K44" i="19"/>
  <c r="K44" i="11"/>
  <c r="I69" i="10"/>
  <c r="K49" i="21"/>
  <c r="K27" i="21"/>
  <c r="K37" i="21"/>
  <c r="K39" i="21"/>
  <c r="I37" i="10"/>
  <c r="I86" i="19" s="1"/>
  <c r="K60" i="24"/>
  <c r="J28" i="10"/>
  <c r="L29" i="19"/>
  <c r="L32" i="11"/>
  <c r="L27" i="11"/>
  <c r="N19" i="21" s="1"/>
  <c r="L19" i="18"/>
  <c r="L22" i="10"/>
  <c r="K32" i="24"/>
  <c r="K34" i="24" s="1"/>
  <c r="K42" i="19"/>
  <c r="M15" i="25" l="1"/>
  <c r="M15" i="10" s="1"/>
  <c r="O59" i="21" s="1"/>
  <c r="L35" i="19"/>
  <c r="L13" i="24"/>
  <c r="L20" i="24" s="1"/>
  <c r="L25" i="24" s="1"/>
  <c r="L31" i="24" s="1"/>
  <c r="L36" i="11"/>
  <c r="M16" i="24"/>
  <c r="M27" i="19"/>
  <c r="M22" i="18"/>
  <c r="M26" i="11"/>
  <c r="L20" i="18"/>
  <c r="L21" i="18" s="1"/>
  <c r="L25" i="18" s="1"/>
  <c r="L27" i="18" s="1"/>
  <c r="K47" i="11"/>
  <c r="K47" i="19"/>
  <c r="K45" i="11"/>
  <c r="M25" i="21" s="1"/>
  <c r="M73" i="21" s="1"/>
  <c r="K49" i="11"/>
  <c r="K52" i="11" s="1"/>
  <c r="K53" i="11" s="1"/>
  <c r="I91" i="19"/>
  <c r="I104" i="19"/>
  <c r="I102" i="19"/>
  <c r="I79" i="19"/>
  <c r="I93" i="19"/>
  <c r="I100" i="19"/>
  <c r="K51" i="21"/>
  <c r="I55" i="19"/>
  <c r="I75" i="19"/>
  <c r="I57" i="19"/>
  <c r="I60" i="19"/>
  <c r="I69" i="19"/>
  <c r="I56" i="19"/>
  <c r="I73" i="19"/>
  <c r="I94" i="19"/>
  <c r="I74" i="19"/>
  <c r="I92" i="19"/>
  <c r="I67" i="19"/>
  <c r="I103" i="19"/>
  <c r="I83" i="19"/>
  <c r="I107" i="19"/>
  <c r="I59" i="19"/>
  <c r="I71" i="19"/>
  <c r="I105" i="19"/>
  <c r="I62" i="19"/>
  <c r="I109" i="19"/>
  <c r="I96" i="19"/>
  <c r="I72" i="19"/>
  <c r="K47" i="21"/>
  <c r="K77" i="21" s="1"/>
  <c r="I54" i="19"/>
  <c r="I61" i="19"/>
  <c r="K61" i="21"/>
  <c r="K75" i="21" s="1"/>
  <c r="I85" i="19"/>
  <c r="I101" i="19"/>
  <c r="K29" i="21"/>
  <c r="I53" i="19"/>
  <c r="I64" i="19"/>
  <c r="K31" i="21"/>
  <c r="I84" i="19"/>
  <c r="I70" i="19"/>
  <c r="L49" i="21"/>
  <c r="J69" i="10"/>
  <c r="L27" i="21"/>
  <c r="J35" i="10"/>
  <c r="I77" i="19"/>
  <c r="I72" i="10"/>
  <c r="I111" i="19"/>
  <c r="I71" i="10"/>
  <c r="N12" i="25" l="1"/>
  <c r="K79" i="21"/>
  <c r="K55" i="24"/>
  <c r="K57" i="24" s="1"/>
  <c r="K59" i="24" s="1"/>
  <c r="K61" i="24" s="1"/>
  <c r="K42" i="10"/>
  <c r="N14" i="25"/>
  <c r="N24" i="11" s="1"/>
  <c r="L39" i="21"/>
  <c r="L37" i="21"/>
  <c r="J37" i="10"/>
  <c r="J77" i="19" s="1"/>
  <c r="M29" i="19"/>
  <c r="M27" i="11"/>
  <c r="O19" i="21" s="1"/>
  <c r="M19" i="18"/>
  <c r="M32" i="11"/>
  <c r="L39" i="11"/>
  <c r="L41" i="11" s="1"/>
  <c r="N53" i="21"/>
  <c r="L37" i="11"/>
  <c r="N21" i="21" s="1"/>
  <c r="L39" i="19"/>
  <c r="M22" i="10"/>
  <c r="L44" i="19" l="1"/>
  <c r="L44" i="11"/>
  <c r="L32" i="24"/>
  <c r="L34" i="24" s="1"/>
  <c r="L42" i="19"/>
  <c r="N16" i="24"/>
  <c r="N27" i="19"/>
  <c r="N22" i="18"/>
  <c r="N26" i="11"/>
  <c r="J71" i="10"/>
  <c r="K44" i="10"/>
  <c r="J72" i="10"/>
  <c r="L60" i="24"/>
  <c r="K28" i="10"/>
  <c r="M35" i="19"/>
  <c r="M13" i="24"/>
  <c r="M20" i="24" s="1"/>
  <c r="M25" i="24" s="1"/>
  <c r="M31" i="24" s="1"/>
  <c r="M36" i="11"/>
  <c r="M20" i="18"/>
  <c r="M21" i="18" s="1"/>
  <c r="M25" i="18" s="1"/>
  <c r="M27" i="18" s="1"/>
  <c r="J103" i="19"/>
  <c r="J54" i="19"/>
  <c r="J72" i="19"/>
  <c r="J60" i="19"/>
  <c r="J91" i="19"/>
  <c r="J101" i="19"/>
  <c r="J61" i="19"/>
  <c r="J75" i="19"/>
  <c r="J107" i="19"/>
  <c r="J102" i="19"/>
  <c r="J71" i="19"/>
  <c r="J93" i="19"/>
  <c r="J55" i="19"/>
  <c r="J59" i="19"/>
  <c r="J56" i="19"/>
  <c r="J62" i="19"/>
  <c r="J57" i="19"/>
  <c r="J100" i="19"/>
  <c r="J67" i="19"/>
  <c r="J69" i="19"/>
  <c r="J105" i="19"/>
  <c r="J92" i="19"/>
  <c r="J83" i="19"/>
  <c r="J96" i="19"/>
  <c r="J94" i="19"/>
  <c r="J104" i="19"/>
  <c r="J73" i="19"/>
  <c r="L51" i="21"/>
  <c r="J109" i="19"/>
  <c r="J79" i="19"/>
  <c r="J85" i="19"/>
  <c r="J74" i="19"/>
  <c r="L47" i="21"/>
  <c r="L77" i="21" s="1"/>
  <c r="L61" i="21"/>
  <c r="L75" i="21" s="1"/>
  <c r="L29" i="21"/>
  <c r="J53" i="19"/>
  <c r="J64" i="19"/>
  <c r="L31" i="21"/>
  <c r="J84" i="19"/>
  <c r="J86" i="19"/>
  <c r="J70" i="19"/>
  <c r="N15" i="25"/>
  <c r="J111" i="19"/>
  <c r="L79" i="21" l="1"/>
  <c r="K35" i="10"/>
  <c r="N29" i="19"/>
  <c r="N32" i="11"/>
  <c r="N19" i="18"/>
  <c r="N27" i="11"/>
  <c r="P19" i="21" s="1"/>
  <c r="O53" i="21"/>
  <c r="M39" i="11"/>
  <c r="M41" i="11" s="1"/>
  <c r="M39" i="19"/>
  <c r="M37" i="11"/>
  <c r="O21" i="21" s="1"/>
  <c r="M49" i="21"/>
  <c r="K69" i="10"/>
  <c r="M27" i="21"/>
  <c r="O12" i="25"/>
  <c r="N15" i="10"/>
  <c r="P59" i="21" s="1"/>
  <c r="L47" i="11"/>
  <c r="L47" i="19"/>
  <c r="L45" i="11"/>
  <c r="N25" i="21" s="1"/>
  <c r="N73" i="21" s="1"/>
  <c r="L49" i="11"/>
  <c r="L52" i="11" s="1"/>
  <c r="L53" i="11" s="1"/>
  <c r="M44" i="19" l="1"/>
  <c r="M44" i="11"/>
  <c r="L55" i="24"/>
  <c r="L57" i="24" s="1"/>
  <c r="L59" i="24" s="1"/>
  <c r="L61" i="24" s="1"/>
  <c r="L42" i="10"/>
  <c r="N22" i="10"/>
  <c r="N20" i="18"/>
  <c r="N21" i="18" s="1"/>
  <c r="N25" i="18" s="1"/>
  <c r="N27" i="18" s="1"/>
  <c r="M39" i="21"/>
  <c r="M37" i="21"/>
  <c r="K37" i="10"/>
  <c r="K77" i="19" s="1"/>
  <c r="O14" i="25"/>
  <c r="O24" i="11" s="1"/>
  <c r="M42" i="19"/>
  <c r="M32" i="24"/>
  <c r="M34" i="24" s="1"/>
  <c r="N36" i="11"/>
  <c r="N35" i="19"/>
  <c r="N13" i="24"/>
  <c r="N20" i="24" s="1"/>
  <c r="N25" i="24" s="1"/>
  <c r="N31" i="24" s="1"/>
  <c r="K72" i="10" l="1"/>
  <c r="K71" i="10"/>
  <c r="L44" i="10"/>
  <c r="L28" i="10"/>
  <c r="M60" i="24"/>
  <c r="O22" i="18"/>
  <c r="O16" i="24"/>
  <c r="O27" i="19"/>
  <c r="O26" i="11"/>
  <c r="P53" i="21"/>
  <c r="N39" i="19"/>
  <c r="N37" i="11"/>
  <c r="P21" i="21" s="1"/>
  <c r="N39" i="11"/>
  <c r="O15" i="25"/>
  <c r="K111" i="19"/>
  <c r="M47" i="19"/>
  <c r="M47" i="11"/>
  <c r="M45" i="11"/>
  <c r="O25" i="21" s="1"/>
  <c r="O73" i="21" s="1"/>
  <c r="M49" i="11"/>
  <c r="M55" i="24" s="1"/>
  <c r="M57" i="24" s="1"/>
  <c r="M59" i="24" s="1"/>
  <c r="K107" i="19"/>
  <c r="K55" i="19"/>
  <c r="K71" i="19"/>
  <c r="K73" i="19"/>
  <c r="K67" i="19"/>
  <c r="K75" i="19"/>
  <c r="K92" i="19"/>
  <c r="M51" i="21"/>
  <c r="K91" i="19"/>
  <c r="K105" i="19"/>
  <c r="K60" i="19"/>
  <c r="K69" i="19"/>
  <c r="K102" i="19"/>
  <c r="K104" i="19"/>
  <c r="K83" i="19"/>
  <c r="K96" i="19"/>
  <c r="K59" i="19"/>
  <c r="K56" i="19"/>
  <c r="K101" i="19"/>
  <c r="K100" i="19"/>
  <c r="K94" i="19"/>
  <c r="K93" i="19"/>
  <c r="K103" i="19"/>
  <c r="K62" i="19"/>
  <c r="K79" i="19"/>
  <c r="K54" i="19"/>
  <c r="K85" i="19"/>
  <c r="K61" i="19"/>
  <c r="M61" i="21"/>
  <c r="M75" i="21" s="1"/>
  <c r="K109" i="19"/>
  <c r="K57" i="19"/>
  <c r="M47" i="21"/>
  <c r="M77" i="21" s="1"/>
  <c r="K74" i="19"/>
  <c r="K72" i="19"/>
  <c r="M29" i="21"/>
  <c r="K53" i="19"/>
  <c r="K64" i="19"/>
  <c r="M31" i="21"/>
  <c r="K84" i="19"/>
  <c r="K70" i="19"/>
  <c r="K86" i="19"/>
  <c r="M61" i="24" l="1"/>
  <c r="M28" i="10" s="1"/>
  <c r="M52" i="11"/>
  <c r="M53" i="11" s="1"/>
  <c r="N32" i="24"/>
  <c r="N34" i="24" s="1"/>
  <c r="N42" i="19"/>
  <c r="N49" i="21"/>
  <c r="L69" i="10"/>
  <c r="N27" i="21"/>
  <c r="M79" i="21"/>
  <c r="O29" i="19"/>
  <c r="O27" i="11"/>
  <c r="Q19" i="21" s="1"/>
  <c r="O32" i="11"/>
  <c r="O19" i="18"/>
  <c r="N60" i="24"/>
  <c r="P12" i="25"/>
  <c r="O15" i="10"/>
  <c r="Q59" i="21" s="1"/>
  <c r="L35" i="10"/>
  <c r="N41" i="11"/>
  <c r="M42" i="10"/>
  <c r="N44" i="11" l="1"/>
  <c r="N44" i="19"/>
  <c r="O22" i="10"/>
  <c r="O20" i="18"/>
  <c r="O21" i="18" s="1"/>
  <c r="O25" i="18" s="1"/>
  <c r="O27" i="18" s="1"/>
  <c r="N37" i="21"/>
  <c r="N39" i="21"/>
  <c r="L37" i="10"/>
  <c r="L111" i="19" s="1"/>
  <c r="P14" i="25"/>
  <c r="P24" i="11" s="1"/>
  <c r="M35" i="10"/>
  <c r="O35" i="19"/>
  <c r="O13" i="24"/>
  <c r="O20" i="24" s="1"/>
  <c r="O25" i="24" s="1"/>
  <c r="O31" i="24" s="1"/>
  <c r="O36" i="11"/>
  <c r="M44" i="10"/>
  <c r="L71" i="10" l="1"/>
  <c r="P15" i="25"/>
  <c r="P15" i="10" s="1"/>
  <c r="R59" i="21" s="1"/>
  <c r="O49" i="21"/>
  <c r="M69" i="10"/>
  <c r="O27" i="21"/>
  <c r="P27" i="19"/>
  <c r="P16" i="24"/>
  <c r="P22" i="18"/>
  <c r="P26" i="11"/>
  <c r="L73" i="19"/>
  <c r="L93" i="19"/>
  <c r="L85" i="19"/>
  <c r="L60" i="19"/>
  <c r="L92" i="19"/>
  <c r="L54" i="19"/>
  <c r="L61" i="19"/>
  <c r="L71" i="19"/>
  <c r="L104" i="19"/>
  <c r="L62" i="19"/>
  <c r="L57" i="19"/>
  <c r="L107" i="19"/>
  <c r="L100" i="19"/>
  <c r="L69" i="19"/>
  <c r="L75" i="19"/>
  <c r="L59" i="19"/>
  <c r="L72" i="19"/>
  <c r="L101" i="19"/>
  <c r="L67" i="19"/>
  <c r="L105" i="19"/>
  <c r="L102" i="19"/>
  <c r="L103" i="19"/>
  <c r="L96" i="19"/>
  <c r="L94" i="19"/>
  <c r="L83" i="19"/>
  <c r="L109" i="19"/>
  <c r="L56" i="19"/>
  <c r="L91" i="19"/>
  <c r="L55" i="19"/>
  <c r="L74" i="19"/>
  <c r="L79" i="19"/>
  <c r="N51" i="21"/>
  <c r="N47" i="21"/>
  <c r="N77" i="21" s="1"/>
  <c r="N61" i="21"/>
  <c r="N75" i="21" s="1"/>
  <c r="L53" i="19"/>
  <c r="N29" i="21"/>
  <c r="L64" i="19"/>
  <c r="N31" i="21"/>
  <c r="L84" i="19"/>
  <c r="L70" i="19"/>
  <c r="L86" i="19"/>
  <c r="O37" i="21"/>
  <c r="O39" i="21"/>
  <c r="M37" i="10"/>
  <c r="M86" i="19" s="1"/>
  <c r="L72" i="10"/>
  <c r="O39" i="19"/>
  <c r="Q53" i="21"/>
  <c r="O37" i="11"/>
  <c r="Q21" i="21" s="1"/>
  <c r="O39" i="11"/>
  <c r="O41" i="11" s="1"/>
  <c r="L77" i="19"/>
  <c r="N47" i="19"/>
  <c r="N47" i="11"/>
  <c r="N49" i="11"/>
  <c r="N45" i="11"/>
  <c r="P25" i="21" s="1"/>
  <c r="P73" i="21" s="1"/>
  <c r="Q12" i="25" l="1"/>
  <c r="Q14" i="25" s="1"/>
  <c r="Q24" i="11" s="1"/>
  <c r="M77" i="19"/>
  <c r="N79" i="21"/>
  <c r="P29" i="19"/>
  <c r="P19" i="18"/>
  <c r="P27" i="11"/>
  <c r="R19" i="21" s="1"/>
  <c r="P32" i="11"/>
  <c r="P22" i="10"/>
  <c r="O44" i="11"/>
  <c r="O44" i="19"/>
  <c r="O42" i="19"/>
  <c r="O32" i="24"/>
  <c r="O34" i="24" s="1"/>
  <c r="M111" i="19"/>
  <c r="M72" i="10"/>
  <c r="M71" i="10"/>
  <c r="N55" i="24"/>
  <c r="N57" i="24" s="1"/>
  <c r="N59" i="24" s="1"/>
  <c r="N61" i="24" s="1"/>
  <c r="N42" i="10"/>
  <c r="N52" i="11"/>
  <c r="N53" i="11" s="1"/>
  <c r="M107" i="19"/>
  <c r="O51" i="21"/>
  <c r="M96" i="19"/>
  <c r="M102" i="19"/>
  <c r="M91" i="19"/>
  <c r="M69" i="19"/>
  <c r="M94" i="19"/>
  <c r="M55" i="19"/>
  <c r="M74" i="19"/>
  <c r="M73" i="19"/>
  <c r="M72" i="19"/>
  <c r="M59" i="19"/>
  <c r="M104" i="19"/>
  <c r="M71" i="19"/>
  <c r="M67" i="19"/>
  <c r="M83" i="19"/>
  <c r="M93" i="19"/>
  <c r="M92" i="19"/>
  <c r="M105" i="19"/>
  <c r="M100" i="19"/>
  <c r="M54" i="19"/>
  <c r="M62" i="19"/>
  <c r="M57" i="19"/>
  <c r="M79" i="19"/>
  <c r="M101" i="19"/>
  <c r="M56" i="19"/>
  <c r="M109" i="19"/>
  <c r="M61" i="19"/>
  <c r="M75" i="19"/>
  <c r="M60" i="19"/>
  <c r="M85" i="19"/>
  <c r="O61" i="21"/>
  <c r="O75" i="21" s="1"/>
  <c r="M103" i="19"/>
  <c r="O47" i="21"/>
  <c r="O77" i="21" s="1"/>
  <c r="M53" i="19"/>
  <c r="O29" i="21"/>
  <c r="M64" i="19"/>
  <c r="O31" i="21"/>
  <c r="M70" i="19"/>
  <c r="M84" i="19"/>
  <c r="O79" i="21" l="1"/>
  <c r="Q15" i="25"/>
  <c r="Q15" i="10" s="1"/>
  <c r="S59" i="21" s="1"/>
  <c r="N44" i="10"/>
  <c r="O60" i="24"/>
  <c r="N28" i="10"/>
  <c r="P20" i="18"/>
  <c r="P21" i="18" s="1"/>
  <c r="P25" i="18" s="1"/>
  <c r="P27" i="18" s="1"/>
  <c r="Q27" i="19"/>
  <c r="Q16" i="24"/>
  <c r="Q22" i="18"/>
  <c r="Q26" i="11"/>
  <c r="O47" i="19"/>
  <c r="O47" i="11"/>
  <c r="O49" i="11"/>
  <c r="O55" i="24" s="1"/>
  <c r="O57" i="24" s="1"/>
  <c r="O59" i="24" s="1"/>
  <c r="O45" i="11"/>
  <c r="Q25" i="21" s="1"/>
  <c r="Q73" i="21" s="1"/>
  <c r="P35" i="19"/>
  <c r="P36" i="11"/>
  <c r="P13" i="24"/>
  <c r="P20" i="24" s="1"/>
  <c r="P25" i="24" s="1"/>
  <c r="P31" i="24" s="1"/>
  <c r="O61" i="24" l="1"/>
  <c r="O28" i="10" s="1"/>
  <c r="Q22" i="10"/>
  <c r="O52" i="11"/>
  <c r="O53" i="11" s="1"/>
  <c r="P39" i="19"/>
  <c r="P39" i="11"/>
  <c r="P41" i="11" s="1"/>
  <c r="P37" i="11"/>
  <c r="R21" i="21" s="1"/>
  <c r="R53" i="21"/>
  <c r="Q29" i="19"/>
  <c r="Q27" i="11"/>
  <c r="S19" i="21" s="1"/>
  <c r="Q19" i="18"/>
  <c r="Q32" i="11"/>
  <c r="O42" i="10"/>
  <c r="P60" i="24"/>
  <c r="N35" i="10"/>
  <c r="N69" i="10"/>
  <c r="P49" i="21"/>
  <c r="P27" i="21"/>
  <c r="P44" i="19" l="1"/>
  <c r="P44" i="11"/>
  <c r="O35" i="10"/>
  <c r="Q20" i="18"/>
  <c r="Q21" i="18" s="1"/>
  <c r="Q25" i="18" s="1"/>
  <c r="Q27" i="18" s="1"/>
  <c r="C36" i="18" s="1"/>
  <c r="C35" i="18"/>
  <c r="Q35" i="19"/>
  <c r="Q36" i="11"/>
  <c r="Q13" i="24"/>
  <c r="Q20" i="24" s="1"/>
  <c r="Q25" i="24" s="1"/>
  <c r="Q31" i="24" s="1"/>
  <c r="O44" i="10"/>
  <c r="P32" i="24"/>
  <c r="P34" i="24" s="1"/>
  <c r="P42" i="19"/>
  <c r="P39" i="21"/>
  <c r="P37" i="21"/>
  <c r="N37" i="10"/>
  <c r="N72" i="10" s="1"/>
  <c r="N77" i="19" l="1"/>
  <c r="Q39" i="19"/>
  <c r="Q39" i="11"/>
  <c r="Q41" i="11" s="1"/>
  <c r="S53" i="21"/>
  <c r="Q37" i="11"/>
  <c r="S21" i="21" s="1"/>
  <c r="Q49" i="21"/>
  <c r="O69" i="10"/>
  <c r="Q27" i="21"/>
  <c r="Q39" i="21"/>
  <c r="Q37" i="21"/>
  <c r="O37" i="10"/>
  <c r="O86" i="19" s="1"/>
  <c r="N94" i="19"/>
  <c r="N85" i="19"/>
  <c r="N103" i="19"/>
  <c r="N79" i="19"/>
  <c r="N59" i="19"/>
  <c r="N109" i="19"/>
  <c r="N55" i="19"/>
  <c r="N102" i="19"/>
  <c r="N56" i="19"/>
  <c r="N62" i="19"/>
  <c r="N69" i="19"/>
  <c r="N73" i="19"/>
  <c r="N105" i="19"/>
  <c r="N74" i="19"/>
  <c r="N96" i="19"/>
  <c r="N61" i="19"/>
  <c r="N93" i="19"/>
  <c r="N60" i="19"/>
  <c r="N100" i="19"/>
  <c r="N71" i="19"/>
  <c r="N57" i="19"/>
  <c r="N83" i="19"/>
  <c r="N107" i="19"/>
  <c r="N104" i="19"/>
  <c r="N72" i="19"/>
  <c r="N101" i="19"/>
  <c r="N91" i="19"/>
  <c r="N67" i="19"/>
  <c r="P51" i="21"/>
  <c r="N54" i="19"/>
  <c r="N75" i="19"/>
  <c r="N92" i="19"/>
  <c r="P47" i="21"/>
  <c r="P77" i="21" s="1"/>
  <c r="P61" i="21"/>
  <c r="P75" i="21" s="1"/>
  <c r="P29" i="21"/>
  <c r="N53" i="19"/>
  <c r="N64" i="19"/>
  <c r="P31" i="21"/>
  <c r="N84" i="19"/>
  <c r="N70" i="19"/>
  <c r="N86" i="19"/>
  <c r="C37" i="18"/>
  <c r="R27" i="18" s="1"/>
  <c r="C41" i="18" s="1"/>
  <c r="C45" i="18" s="1"/>
  <c r="C47" i="18" s="1"/>
  <c r="N111" i="19"/>
  <c r="P47" i="19"/>
  <c r="P47" i="11"/>
  <c r="P49" i="11"/>
  <c r="P45" i="11"/>
  <c r="R25" i="21" s="1"/>
  <c r="R73" i="21" s="1"/>
  <c r="N71" i="10"/>
  <c r="O77" i="19" l="1"/>
  <c r="P79" i="21"/>
  <c r="O71" i="10"/>
  <c r="O111" i="19"/>
  <c r="O72" i="10"/>
  <c r="P55" i="24"/>
  <c r="P57" i="24" s="1"/>
  <c r="P59" i="24" s="1"/>
  <c r="P61" i="24" s="1"/>
  <c r="P42" i="10"/>
  <c r="P52" i="11"/>
  <c r="P53" i="11" s="1"/>
  <c r="Q32" i="24"/>
  <c r="Q34" i="24" s="1"/>
  <c r="Q42" i="19"/>
  <c r="I42" i="18"/>
  <c r="I33" i="18"/>
  <c r="F36" i="18"/>
  <c r="F37" i="18" s="1"/>
  <c r="O59" i="19"/>
  <c r="O100" i="19"/>
  <c r="O92" i="19"/>
  <c r="O103" i="19"/>
  <c r="O74" i="19"/>
  <c r="O91" i="19"/>
  <c r="O94" i="19"/>
  <c r="O73" i="19"/>
  <c r="O107" i="19"/>
  <c r="O93" i="19"/>
  <c r="O85" i="19"/>
  <c r="O56" i="19"/>
  <c r="O60" i="19"/>
  <c r="O71" i="19"/>
  <c r="O54" i="19"/>
  <c r="O102" i="19"/>
  <c r="O105" i="19"/>
  <c r="O101" i="19"/>
  <c r="O61" i="19"/>
  <c r="O67" i="19"/>
  <c r="O62" i="19"/>
  <c r="O72" i="19"/>
  <c r="O57" i="19"/>
  <c r="Q51" i="21"/>
  <c r="O75" i="19"/>
  <c r="O109" i="19"/>
  <c r="O96" i="19"/>
  <c r="O83" i="19"/>
  <c r="O55" i="19"/>
  <c r="O69" i="19"/>
  <c r="Q47" i="21"/>
  <c r="Q77" i="21" s="1"/>
  <c r="O79" i="19"/>
  <c r="Q61" i="21"/>
  <c r="Q75" i="21" s="1"/>
  <c r="O104" i="19"/>
  <c r="Q29" i="21"/>
  <c r="O53" i="19"/>
  <c r="O64" i="19"/>
  <c r="Q31" i="21"/>
  <c r="O70" i="19"/>
  <c r="O84" i="19"/>
  <c r="Q44" i="19"/>
  <c r="Q44" i="11"/>
  <c r="Q47" i="11" l="1"/>
  <c r="Q47" i="19"/>
  <c r="Q49" i="11"/>
  <c r="Q55" i="24" s="1"/>
  <c r="Q57" i="24" s="1"/>
  <c r="Q59" i="24" s="1"/>
  <c r="Q45" i="11"/>
  <c r="S25" i="21" s="1"/>
  <c r="S73" i="21" s="1"/>
  <c r="P44" i="10"/>
  <c r="Q79" i="21"/>
  <c r="Q60" i="24"/>
  <c r="P28" i="10"/>
  <c r="Q42" i="10" l="1"/>
  <c r="Q44" i="10" s="1"/>
  <c r="Q52" i="11"/>
  <c r="Q53" i="11" s="1"/>
  <c r="R49" i="21"/>
  <c r="P69" i="10"/>
  <c r="R27" i="21"/>
  <c r="P35" i="10"/>
  <c r="Q61" i="24"/>
  <c r="Q28" i="10" s="1"/>
  <c r="R39" i="21" l="1"/>
  <c r="R37" i="21"/>
  <c r="P37" i="10"/>
  <c r="P71" i="10" s="1"/>
  <c r="Q35" i="10"/>
  <c r="S49" i="21"/>
  <c r="Q69" i="10"/>
  <c r="S27" i="21"/>
  <c r="S37" i="21" l="1"/>
  <c r="S39" i="21"/>
  <c r="Q37" i="10"/>
  <c r="Q72" i="10" s="1"/>
  <c r="P100" i="19"/>
  <c r="P102" i="19"/>
  <c r="P105" i="19"/>
  <c r="P74" i="19"/>
  <c r="P61" i="19"/>
  <c r="P92" i="19"/>
  <c r="P73" i="19"/>
  <c r="P83" i="19"/>
  <c r="P101" i="19"/>
  <c r="P67" i="19"/>
  <c r="P57" i="19"/>
  <c r="P60" i="19"/>
  <c r="P75" i="19"/>
  <c r="P55" i="19"/>
  <c r="P104" i="19"/>
  <c r="P54" i="19"/>
  <c r="P107" i="19"/>
  <c r="P96" i="19"/>
  <c r="P56" i="19"/>
  <c r="P79" i="19"/>
  <c r="P93" i="19"/>
  <c r="P59" i="19"/>
  <c r="R51" i="21"/>
  <c r="P72" i="19"/>
  <c r="P62" i="19"/>
  <c r="P69" i="19"/>
  <c r="R61" i="21"/>
  <c r="R75" i="21" s="1"/>
  <c r="P94" i="19"/>
  <c r="P85" i="19"/>
  <c r="P71" i="19"/>
  <c r="P109" i="19"/>
  <c r="R47" i="21"/>
  <c r="R77" i="21" s="1"/>
  <c r="P91" i="19"/>
  <c r="P103" i="19"/>
  <c r="R29" i="21"/>
  <c r="P53" i="19"/>
  <c r="P64" i="19"/>
  <c r="R31" i="21"/>
  <c r="P84" i="19"/>
  <c r="P86" i="19"/>
  <c r="P70" i="19"/>
  <c r="P72" i="10"/>
  <c r="P77" i="19"/>
  <c r="P111" i="19"/>
  <c r="C10" i="10" l="1"/>
  <c r="Q111" i="19"/>
  <c r="Q71" i="10"/>
  <c r="Q100" i="19"/>
  <c r="S51" i="21"/>
  <c r="Q75" i="19"/>
  <c r="Q72" i="19"/>
  <c r="Q85" i="19"/>
  <c r="Q101" i="19"/>
  <c r="Q60" i="19"/>
  <c r="Q103" i="19"/>
  <c r="Q96" i="19"/>
  <c r="Q57" i="19"/>
  <c r="Q54" i="19"/>
  <c r="Q105" i="19"/>
  <c r="Q56" i="19"/>
  <c r="Q59" i="19"/>
  <c r="Q109" i="19"/>
  <c r="Q91" i="19"/>
  <c r="Q74" i="19"/>
  <c r="Q94" i="19"/>
  <c r="Q73" i="19"/>
  <c r="Q55" i="19"/>
  <c r="Q104" i="19"/>
  <c r="Q83" i="19"/>
  <c r="Q69" i="19"/>
  <c r="Q67" i="19"/>
  <c r="Q62" i="19"/>
  <c r="Q102" i="19"/>
  <c r="Q107" i="19"/>
  <c r="Q92" i="19"/>
  <c r="Q71" i="19"/>
  <c r="Q79" i="19"/>
  <c r="S47" i="21"/>
  <c r="S77" i="21" s="1"/>
  <c r="Q93" i="19"/>
  <c r="Q61" i="19"/>
  <c r="S61" i="21"/>
  <c r="S75" i="21" s="1"/>
  <c r="Q53" i="19"/>
  <c r="Q64" i="19"/>
  <c r="S29" i="21"/>
  <c r="S31" i="21"/>
  <c r="Q84" i="19"/>
  <c r="Q86" i="19"/>
  <c r="Q70" i="19"/>
  <c r="Q77" i="19"/>
  <c r="R79" i="21"/>
  <c r="S79" i="21" l="1"/>
</calcChain>
</file>

<file path=xl/sharedStrings.xml><?xml version="1.0" encoding="utf-8"?>
<sst xmlns="http://schemas.openxmlformats.org/spreadsheetml/2006/main" count="1043" uniqueCount="540">
  <si>
    <t>Particulars</t>
  </si>
  <si>
    <t xml:space="preserve"> </t>
  </si>
  <si>
    <t>Revenue from Operations</t>
  </si>
  <si>
    <t>Less: GST Collected</t>
  </si>
  <si>
    <t>Net Revenue from Operations</t>
  </si>
  <si>
    <t>Other Income</t>
  </si>
  <si>
    <t>Total Revenue</t>
  </si>
  <si>
    <t>EXPENSES</t>
  </si>
  <si>
    <t xml:space="preserve">REVENUE   </t>
  </si>
  <si>
    <t>Cost of Materials Consumed (Incl. Packing Material, Fuel, Stores &amp; Spares)</t>
  </si>
  <si>
    <t>Purchases of Stock-in-Trade</t>
  </si>
  <si>
    <t>Changes in Inventories of Finished Goods, Work-in-progress and Stock-in-Trade</t>
  </si>
  <si>
    <t>Employee Benefits Expenses</t>
  </si>
  <si>
    <t>Finance Costs</t>
  </si>
  <si>
    <t>Depreciation and Amortisation Expenses</t>
  </si>
  <si>
    <t>Other Expenses</t>
  </si>
  <si>
    <t>Total Expenses</t>
  </si>
  <si>
    <t>PROFIT BEFORE TAX</t>
  </si>
  <si>
    <t>Total Tax Expenses</t>
  </si>
  <si>
    <t>PROFIT AFTER TAX BEFORE NON CONTROLLING INTEREST AND SHARE OF PROFIT/(LOSS) OF ASSOCIATES</t>
  </si>
  <si>
    <t>Profit attributable to Non Controlling Interest</t>
  </si>
  <si>
    <t>Profit/(Loss) for the period</t>
  </si>
  <si>
    <t>Earnings Per Equity Share (EPS) (in `)</t>
  </si>
  <si>
    <t>Basic/Diluted</t>
  </si>
  <si>
    <t>Basic/Diluted after considering issue of bonus equity shares</t>
  </si>
  <si>
    <t>Exceptional Item</t>
  </si>
  <si>
    <t>Gain on Disposal of step down subsidiary</t>
  </si>
  <si>
    <t>PROFIT AFTER EXCEPTIONAL ITEMS</t>
  </si>
  <si>
    <t>Assets</t>
  </si>
  <si>
    <t>Non-Current Assets</t>
  </si>
  <si>
    <t>Property Plant and Equipment</t>
  </si>
  <si>
    <t>Capital Work-in-Progress</t>
  </si>
  <si>
    <t>Right of use Assets</t>
  </si>
  <si>
    <t>Intangible Assets</t>
  </si>
  <si>
    <t>Intangible Assets under Development</t>
  </si>
  <si>
    <t>Financial Assets</t>
  </si>
  <si>
    <t>Investments</t>
  </si>
  <si>
    <t>Loans &amp; Advances</t>
  </si>
  <si>
    <t>Deferred Tax Assets</t>
  </si>
  <si>
    <t>Other Non-Current Assets</t>
  </si>
  <si>
    <t>Total Non-Current Assets</t>
  </si>
  <si>
    <t>Current Assets:</t>
  </si>
  <si>
    <t>Inventories</t>
  </si>
  <si>
    <t>Financial Assets:</t>
  </si>
  <si>
    <t>Trade Receivables</t>
  </si>
  <si>
    <t>Cash and Cash Equivalents</t>
  </si>
  <si>
    <t>Loans and Advances</t>
  </si>
  <si>
    <t xml:space="preserve">Bank Balances </t>
  </si>
  <si>
    <t>Others Current Financial Assets</t>
  </si>
  <si>
    <t>Current Tax Assets (Net)</t>
  </si>
  <si>
    <t>Other Current Assets</t>
  </si>
  <si>
    <t>Total Current Assets</t>
  </si>
  <si>
    <t>TOTAL ASSETS</t>
  </si>
  <si>
    <t>EQUITY AND LIABILITIES</t>
  </si>
  <si>
    <t>EQUITY</t>
  </si>
  <si>
    <t>Equity Share Capital</t>
  </si>
  <si>
    <t>Other Equity</t>
  </si>
  <si>
    <t>Non Controlling Interest</t>
  </si>
  <si>
    <t>Total Equity</t>
  </si>
  <si>
    <t>LIABILITIES</t>
  </si>
  <si>
    <t>Non-Current Liabilities:</t>
  </si>
  <si>
    <t>Financial Liabilities</t>
  </si>
  <si>
    <t>(i) Borrowings</t>
  </si>
  <si>
    <t>(ii) Lease Liabilities</t>
  </si>
  <si>
    <t>Other Non-Current Liabilitie</t>
  </si>
  <si>
    <t>Provisions</t>
  </si>
  <si>
    <t>Total Non-Current Liabilities</t>
  </si>
  <si>
    <t>Current Liabilities:</t>
  </si>
  <si>
    <t>(iii) Trade Payables</t>
  </si>
  <si>
    <t>(iv)Other Financial Liabilities</t>
  </si>
  <si>
    <t>Other Current Liabilities</t>
  </si>
  <si>
    <t>Total Current Liabilities</t>
  </si>
  <si>
    <t>Total Liabilities</t>
  </si>
  <si>
    <t>TOTAL EQUITY AND LIABILITIES</t>
  </si>
  <si>
    <t>Check</t>
  </si>
  <si>
    <t>Total</t>
  </si>
  <si>
    <t>Total Revenue (Net)</t>
  </si>
  <si>
    <t>Scenario</t>
  </si>
  <si>
    <t>Best Case</t>
  </si>
  <si>
    <t>Base Case</t>
  </si>
  <si>
    <t>Worst Case</t>
  </si>
  <si>
    <t>Growth</t>
  </si>
  <si>
    <t>Aduited</t>
  </si>
  <si>
    <t>Forecasted</t>
  </si>
  <si>
    <t>Revenue</t>
  </si>
  <si>
    <t>Cost of materials consumed</t>
  </si>
  <si>
    <t>% of Revenue</t>
  </si>
  <si>
    <t>Purchases of stock-in-trade</t>
  </si>
  <si>
    <t>Changes in inventories of finished goods, work-in-progress and stock in-trade</t>
  </si>
  <si>
    <t>COGS</t>
  </si>
  <si>
    <t>% of Net Revenue</t>
  </si>
  <si>
    <t>% of Gross Revenue</t>
  </si>
  <si>
    <t>Gross Profit Margin</t>
  </si>
  <si>
    <t>Employee benefits expense</t>
  </si>
  <si>
    <t>Other expenses</t>
  </si>
  <si>
    <t>Opex</t>
  </si>
  <si>
    <t>Effective Tax Rate</t>
  </si>
  <si>
    <t>Dep &amp; Amortization</t>
  </si>
  <si>
    <t>Assumptions</t>
  </si>
  <si>
    <t>Transaction Date</t>
  </si>
  <si>
    <t>Fiscal Year End</t>
  </si>
  <si>
    <t>Risk Free Rate</t>
  </si>
  <si>
    <t>Tax Rate</t>
  </si>
  <si>
    <t>EV/EBITDA Multiple</t>
  </si>
  <si>
    <t>Perpetual Growth Rate</t>
  </si>
  <si>
    <t>Discount Rate</t>
  </si>
  <si>
    <t>Shares Outstanding(Cr.)</t>
  </si>
  <si>
    <t>Current Market Price</t>
  </si>
  <si>
    <t>Market Cap (Cr.)</t>
  </si>
  <si>
    <t>Days of operation</t>
  </si>
  <si>
    <t>Inventores</t>
  </si>
  <si>
    <t>Recievables</t>
  </si>
  <si>
    <t>Trade payables</t>
  </si>
  <si>
    <t>DIO</t>
  </si>
  <si>
    <t>DSO</t>
  </si>
  <si>
    <t>DPO</t>
  </si>
  <si>
    <t>Net Trade Cycle</t>
  </si>
  <si>
    <t>Opening Balance</t>
  </si>
  <si>
    <t>New Issuance/ Repayment</t>
  </si>
  <si>
    <t>Closing Balance</t>
  </si>
  <si>
    <t>Interest rate</t>
  </si>
  <si>
    <t>Interest Expense</t>
  </si>
  <si>
    <t>Gross Profit</t>
  </si>
  <si>
    <t>Gross Margin</t>
  </si>
  <si>
    <t>Salaries &amp; Benefits</t>
  </si>
  <si>
    <t>S&amp;G Expenses</t>
  </si>
  <si>
    <t>EBITDA</t>
  </si>
  <si>
    <t>EBITDA Margin</t>
  </si>
  <si>
    <t>EBIT</t>
  </si>
  <si>
    <t>EBIT Margin</t>
  </si>
  <si>
    <t>Interest Cost</t>
  </si>
  <si>
    <t>Profit before Expectional Items and tax</t>
  </si>
  <si>
    <t>Exceptional item</t>
  </si>
  <si>
    <t>EBT</t>
  </si>
  <si>
    <t>EBT Margin</t>
  </si>
  <si>
    <t>Tax</t>
  </si>
  <si>
    <t>Net Profit</t>
  </si>
  <si>
    <t>Net Profit Margin</t>
  </si>
  <si>
    <t>EPS in Rs.</t>
  </si>
  <si>
    <t>Dividend</t>
  </si>
  <si>
    <t>Dividend Payout %</t>
  </si>
  <si>
    <t>Retained Earning</t>
  </si>
  <si>
    <t>Retained %</t>
  </si>
  <si>
    <t>Equity Market</t>
  </si>
  <si>
    <t>Date</t>
  </si>
  <si>
    <t>Close</t>
  </si>
  <si>
    <t>Year</t>
  </si>
  <si>
    <t>Return</t>
  </si>
  <si>
    <t>Close Price</t>
  </si>
  <si>
    <t>Beta Calculation</t>
  </si>
  <si>
    <t>Sensex</t>
  </si>
  <si>
    <t>%</t>
  </si>
  <si>
    <t>Change</t>
  </si>
  <si>
    <t>Stock</t>
  </si>
  <si>
    <t>Beta</t>
  </si>
  <si>
    <t>Bata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</si>
  <si>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</si>
  <si>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</si>
  <si>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</si>
  <si>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</si>
  <si>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</si>
  <si>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</si>
  <si>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</si>
  <si>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</si>
  <si>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</si>
  <si>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</si>
  <si>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</si>
  <si>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</si>
  <si>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</si>
  <si>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</si>
  <si>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</si>
  <si>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</si>
  <si>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</si>
  <si>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</si>
  <si>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</si>
  <si>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</si>
  <si>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</si>
  <si>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</si>
  <si>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</si>
  <si>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</si>
  <si>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Atul</t>
  </si>
  <si>
    <t>Vinati Organics</t>
  </si>
  <si>
    <t>Fine Organic</t>
  </si>
  <si>
    <t>Aarti Industries</t>
  </si>
  <si>
    <t>Clean Science</t>
  </si>
  <si>
    <t>Anupam Rasayan</t>
  </si>
  <si>
    <t>Jubilant Ingrev.</t>
  </si>
  <si>
    <t>Alkyl Amines</t>
  </si>
  <si>
    <t>Aether Industri.</t>
  </si>
  <si>
    <t>Privi Speci.</t>
  </si>
  <si>
    <t>S.No.</t>
  </si>
  <si>
    <t>Name</t>
  </si>
  <si>
    <t>CMP Rs.</t>
  </si>
  <si>
    <t>No. Eq. Shares Cr.</t>
  </si>
  <si>
    <t>Debt Rs.Cr.</t>
  </si>
  <si>
    <t>Cash Rs.Cr.</t>
  </si>
  <si>
    <t>NP Ann Rs.Cr.</t>
  </si>
  <si>
    <t>Sales Ann Rs.Cr.</t>
  </si>
  <si>
    <t>Dep Ann Rs.Cr.</t>
  </si>
  <si>
    <t>EBIT Ann Rs.Cr.</t>
  </si>
  <si>
    <t>EV / EBITDA</t>
  </si>
  <si>
    <t>EV Rs.Cr.</t>
  </si>
  <si>
    <t>Mar Cap Rs.Cr.</t>
  </si>
  <si>
    <t>Tax 12M Rs.Cr.</t>
  </si>
  <si>
    <t>BASF India</t>
  </si>
  <si>
    <t>Comparable Analysis</t>
  </si>
  <si>
    <t>All Figure In INR Cr.</t>
  </si>
  <si>
    <t>Company Data</t>
  </si>
  <si>
    <t>Market Data</t>
  </si>
  <si>
    <t>Financial data</t>
  </si>
  <si>
    <t>Valution</t>
  </si>
  <si>
    <t>Price</t>
  </si>
  <si>
    <t>Share</t>
  </si>
  <si>
    <t>Market Cap</t>
  </si>
  <si>
    <t>Debt</t>
  </si>
  <si>
    <t xml:space="preserve">Cash </t>
  </si>
  <si>
    <t>EV</t>
  </si>
  <si>
    <t>Sales</t>
  </si>
  <si>
    <t>Earnings</t>
  </si>
  <si>
    <t>EV/Sales</t>
  </si>
  <si>
    <t>EV/EBITDA</t>
  </si>
  <si>
    <t>P/E</t>
  </si>
  <si>
    <t>Company Name</t>
  </si>
  <si>
    <t>(/share)</t>
  </si>
  <si>
    <t>Cr.</t>
  </si>
  <si>
    <t>₹  Cr.</t>
  </si>
  <si>
    <t>x</t>
  </si>
  <si>
    <t>High</t>
  </si>
  <si>
    <t>75th Percentile</t>
  </si>
  <si>
    <t>Average</t>
  </si>
  <si>
    <t>Median</t>
  </si>
  <si>
    <t>25th Percentile</t>
  </si>
  <si>
    <t>Low</t>
  </si>
  <si>
    <t>Metric</t>
  </si>
  <si>
    <t>Comps</t>
  </si>
  <si>
    <t>Net Debt</t>
  </si>
  <si>
    <t>Equity Value</t>
  </si>
  <si>
    <t xml:space="preserve"> no of Shares</t>
  </si>
  <si>
    <t xml:space="preserve">Share Price </t>
  </si>
  <si>
    <t>Prediction</t>
  </si>
  <si>
    <t>EV/REVENUE</t>
  </si>
  <si>
    <t>Comparables Companies Beta</t>
  </si>
  <si>
    <t>equity Value</t>
  </si>
  <si>
    <t>Total Debt</t>
  </si>
  <si>
    <t xml:space="preserve">Debt/Equity </t>
  </si>
  <si>
    <t>Debt/Capital</t>
  </si>
  <si>
    <t>Tax rate</t>
  </si>
  <si>
    <t>Levered Beta</t>
  </si>
  <si>
    <t>Unlevered Beta</t>
  </si>
  <si>
    <t>WACC Calculation</t>
  </si>
  <si>
    <t>Target Capital Structure</t>
  </si>
  <si>
    <t>Proportion of Debt</t>
  </si>
  <si>
    <t>Proportion of Equity</t>
  </si>
  <si>
    <t>Current Capital structure</t>
  </si>
  <si>
    <t>Market cap</t>
  </si>
  <si>
    <t>Debt/equity</t>
  </si>
  <si>
    <t>Cost of debt</t>
  </si>
  <si>
    <t>Pre-tax cost of debt</t>
  </si>
  <si>
    <t>tax rate</t>
  </si>
  <si>
    <t>After -Tax cost of debt</t>
  </si>
  <si>
    <t>Cost of equity</t>
  </si>
  <si>
    <t>Risk free Rate</t>
  </si>
  <si>
    <t>Equity Market Return</t>
  </si>
  <si>
    <t>Equity risk premium</t>
  </si>
  <si>
    <t>Levered Equity Beta</t>
  </si>
  <si>
    <t>WACC</t>
  </si>
  <si>
    <t xml:space="preserve">DCF Analysis </t>
  </si>
  <si>
    <t>Audited</t>
  </si>
  <si>
    <t>Entry</t>
  </si>
  <si>
    <t>Exit</t>
  </si>
  <si>
    <t>DATE</t>
  </si>
  <si>
    <t>Time Periods</t>
  </si>
  <si>
    <t>Year Frac</t>
  </si>
  <si>
    <t>EBIT/ Operating Income</t>
  </si>
  <si>
    <t>NOPAT</t>
  </si>
  <si>
    <t>Add: Depreciation &amp; Amortization</t>
  </si>
  <si>
    <t>Less: CapEx</t>
  </si>
  <si>
    <t>Less: Change in Working Capital</t>
  </si>
  <si>
    <t>Unlevered FCFF</t>
  </si>
  <si>
    <t>Transaction FCFF</t>
  </si>
  <si>
    <t>Terminal Value</t>
  </si>
  <si>
    <t>Prep.Growth</t>
  </si>
  <si>
    <t>Intrinsic Value</t>
  </si>
  <si>
    <t>Enterpreise Value</t>
  </si>
  <si>
    <t>Plus: Cash &amp; Cash equivalent</t>
  </si>
  <si>
    <t>Less- Debt</t>
  </si>
  <si>
    <t>Less-non- controlling interest</t>
  </si>
  <si>
    <t>Equity value/share</t>
  </si>
  <si>
    <t>Beta ( by market data)</t>
  </si>
  <si>
    <t>Rate of Return</t>
  </si>
  <si>
    <t>Current price</t>
  </si>
  <si>
    <t>Target Price</t>
  </si>
  <si>
    <t>Target Price Upside</t>
  </si>
  <si>
    <t>Sensitivity - Intrinsic Value (Rs/share)</t>
  </si>
  <si>
    <t>Exit Multiple</t>
  </si>
  <si>
    <t>Common Size Statement</t>
  </si>
  <si>
    <t>Income Statement</t>
  </si>
  <si>
    <t xml:space="preserve">Profit After Tax Before Non Controlling Interest </t>
  </si>
  <si>
    <t>Balance Sheet</t>
  </si>
  <si>
    <t>Football Field Analysis</t>
  </si>
  <si>
    <t>Football Field Data</t>
  </si>
  <si>
    <t>Comps Median</t>
  </si>
  <si>
    <t>Comps Average</t>
  </si>
  <si>
    <t>52-Week Hi/LO</t>
  </si>
  <si>
    <t>Market Consenses</t>
  </si>
  <si>
    <t>Comps Data</t>
  </si>
  <si>
    <t>Profitability Ratio</t>
  </si>
  <si>
    <t>Operating Margin</t>
  </si>
  <si>
    <t>Pretax Margin</t>
  </si>
  <si>
    <t>Return on Equity</t>
  </si>
  <si>
    <t>Return on Capital Employed</t>
  </si>
  <si>
    <t>Return on Assets</t>
  </si>
  <si>
    <t>Liquidity Ratio</t>
  </si>
  <si>
    <t>Current Ratio</t>
  </si>
  <si>
    <t>Quick Ratio</t>
  </si>
  <si>
    <t>Cash Cycle Days</t>
  </si>
  <si>
    <t>Solvency Ratio</t>
  </si>
  <si>
    <t>Asset/ Equity</t>
  </si>
  <si>
    <t>Debt/ Equity</t>
  </si>
  <si>
    <t>Debt Ratio</t>
  </si>
  <si>
    <t>Interest Coverage</t>
  </si>
  <si>
    <t>Efficiency Ratio</t>
  </si>
  <si>
    <t>Fixed Asset Turnover Ratio</t>
  </si>
  <si>
    <t>Total Asset Turnover Ratio</t>
  </si>
  <si>
    <t>Inventory Turnover</t>
  </si>
  <si>
    <t>Receivable Turnover</t>
  </si>
  <si>
    <t>Payable Turnover</t>
  </si>
  <si>
    <t>ROE Dupont Analysis</t>
  </si>
  <si>
    <t>Asset Turnover Ratio</t>
  </si>
  <si>
    <t>Financial Leverege</t>
  </si>
  <si>
    <t>ROE</t>
  </si>
  <si>
    <t>Colour Code</t>
  </si>
  <si>
    <t>Blue colour</t>
  </si>
  <si>
    <t>Hardcoded Figures</t>
  </si>
  <si>
    <t>Black colour</t>
  </si>
  <si>
    <t>Calculated Figures</t>
  </si>
  <si>
    <t>Green Colour</t>
  </si>
  <si>
    <t>Link Data figures</t>
  </si>
  <si>
    <t>ISIN Code</t>
  </si>
  <si>
    <t>Sector Name</t>
  </si>
  <si>
    <t>Industry</t>
  </si>
  <si>
    <t>Exchange Name</t>
  </si>
  <si>
    <t>Website</t>
  </si>
  <si>
    <t>Company Description</t>
  </si>
  <si>
    <t xml:space="preserve"> BSE: 524208 | NSE: AARTIIND</t>
  </si>
  <si>
    <t>Balance _Sheet Forecasting</t>
  </si>
  <si>
    <t>Revenue Build_up</t>
  </si>
  <si>
    <t>Ratio Analysis &amp; Interpretation</t>
  </si>
  <si>
    <t>Cost Build_Up</t>
  </si>
  <si>
    <t>Working Capital Schedules</t>
  </si>
  <si>
    <t>Debt Schedules</t>
  </si>
  <si>
    <t>Interpretation</t>
  </si>
  <si>
    <t>Aarti Industries Ltd</t>
  </si>
  <si>
    <t>Specialty Chemicals</t>
  </si>
  <si>
    <t>Chemicals &amp; Petrochemicals</t>
  </si>
  <si>
    <t>www.aarti-industries.com</t>
  </si>
  <si>
    <t>Aarti Industries Ltd, the flagship company of the Aarti group, manufacturing organic and inorganic chemicals at its major facilities in Vapi, Jhagadia, Dahej and Kutch, in Gujarat and in Tarapur in Maharashtra. The company has a strong market position in the NCB-based specialty chemicals segment. Aarti Industries is a diversified chemicals company engaged in specialty chemicals, agrochemicals and fertilizers, dyes, pigments and printing inks, pharmaceutical intermediates, polymer and additives, energy-related chemicals, and other specialty applications.</t>
  </si>
  <si>
    <t>Charts</t>
  </si>
  <si>
    <t>Items</t>
  </si>
  <si>
    <t>Sheet</t>
  </si>
  <si>
    <t>Reference</t>
  </si>
  <si>
    <t>Assumption</t>
  </si>
  <si>
    <t>Purchases of stock, Changes in inventories of finished goods, wip and stock in-trade</t>
  </si>
  <si>
    <t>Employee benefits expense, Other Expenses</t>
  </si>
  <si>
    <t>Non -Current Assets Items</t>
  </si>
  <si>
    <t>Current Assets</t>
  </si>
  <si>
    <t>Non-Current Liabilities</t>
  </si>
  <si>
    <t>Current Liabilities</t>
  </si>
  <si>
    <t>Interest Rate</t>
  </si>
  <si>
    <t>DSO, DIO, DPO</t>
  </si>
  <si>
    <t>Revenue Buildup</t>
  </si>
  <si>
    <t>Cost Build_up</t>
  </si>
  <si>
    <t>B_sheet</t>
  </si>
  <si>
    <t>W.C Schedules</t>
  </si>
  <si>
    <t>B16:Q17</t>
  </si>
  <si>
    <t>B19:Q23</t>
  </si>
  <si>
    <t>B32:Q39</t>
  </si>
  <si>
    <t>The Other Income is compared with  the % as the revenue and for the future projection I took average of the 5 year historical data.</t>
  </si>
  <si>
    <t>Purchase of stocks and Changes in inventories of the finished goods, works in progress and stock in trade is compare with the % of revenue , for the forecasted year I take the average of the 5 year historical for both items.</t>
  </si>
  <si>
    <t>The Non-Current Assets items taken as the average of the historical year with Compare with the % of the Reveneu.</t>
  </si>
  <si>
    <t>The Current Assets items taken as the average of the historical year with Compare with the % of the Reveneu.</t>
  </si>
  <si>
    <t>The Current Liabilities items taken as the average of the historical year with Compare with the % of the Reveneus .</t>
  </si>
  <si>
    <t>The non Current Liabilities items taken as the average of the historical year with Compare with the % of the Reveneus .</t>
  </si>
  <si>
    <t>Interest rate is consider as the average of the 5 year average with compare with the opening Debt.</t>
  </si>
  <si>
    <t>C21</t>
  </si>
  <si>
    <t>B27:Q28</t>
  </si>
  <si>
    <t>B30:Q34</t>
  </si>
  <si>
    <t>B39:Q39</t>
  </si>
  <si>
    <t>B14:Q21</t>
  </si>
  <si>
    <t>B23:Q31</t>
  </si>
  <si>
    <t>B35:Q43</t>
  </si>
  <si>
    <t>B46:Q55</t>
  </si>
  <si>
    <t>B16:Q16</t>
  </si>
  <si>
    <t>B21:Q23</t>
  </si>
  <si>
    <t>Historical P &amp; L</t>
  </si>
  <si>
    <t>Historical Balance Sheet</t>
  </si>
  <si>
    <t>Revenue Build_Up</t>
  </si>
  <si>
    <t>DCF Model</t>
  </si>
  <si>
    <t>Balance_Sheet Forecasting</t>
  </si>
  <si>
    <t>Forecasted Income Statement</t>
  </si>
  <si>
    <t>Forecasted Balance Sheet</t>
  </si>
  <si>
    <t>Cash Flow</t>
  </si>
  <si>
    <t>Relative Valuation</t>
  </si>
  <si>
    <t>FootBall Field Analysis</t>
  </si>
  <si>
    <t>Ratios Analysis</t>
  </si>
  <si>
    <t>Click to go</t>
  </si>
  <si>
    <t>NSE</t>
  </si>
  <si>
    <t>BSE</t>
  </si>
  <si>
    <t>INE769A01020</t>
  </si>
  <si>
    <t>AARTIIND</t>
  </si>
  <si>
    <t>Detailed  &amp; Dynamic DCF Analysis</t>
  </si>
  <si>
    <t xml:space="preserve"> - Dhiraj Mehta</t>
  </si>
  <si>
    <t>Master Check</t>
  </si>
  <si>
    <t>DCF (Average)</t>
  </si>
  <si>
    <t>Deferred Tax Liabilities (Net)</t>
  </si>
  <si>
    <t>Micro and Small Enterprise</t>
  </si>
  <si>
    <t>Other than Micro and Small Enterprise</t>
  </si>
  <si>
    <t>Cash Flow from Operating Activities:</t>
  </si>
  <si>
    <t>Net Profit before Tax and Exceptional/Extraordinary Items</t>
  </si>
  <si>
    <t>Adjustments for:</t>
  </si>
  <si>
    <t>Depreciation</t>
  </si>
  <si>
    <t>Consolidated Adjustments</t>
  </si>
  <si>
    <t>Profit on Sale of Investments/Assets</t>
  </si>
  <si>
    <t>Dividend Received from other Investments</t>
  </si>
  <si>
    <t>Lease Rent Received</t>
  </si>
  <si>
    <t>Operating Profit before Working Capital Changes</t>
  </si>
  <si>
    <t>(Increase)/Decrease in Trade and Other Receivables</t>
  </si>
  <si>
    <t>Increase/(Decrease) in Trade Payables and Other Current Liabilities</t>
  </si>
  <si>
    <t>(Increase)/Decrease in Inventories</t>
  </si>
  <si>
    <t>Cash Generated from Operations</t>
  </si>
  <si>
    <t>Direct Taxes Paid</t>
  </si>
  <si>
    <t>Net Cash Flow from Operating Activities (A)</t>
  </si>
  <si>
    <t>Cash Flow from Investing Activities:</t>
  </si>
  <si>
    <t>Addition to Property, Plant &amp; Equipment/Capital WIP</t>
  </si>
  <si>
    <t>Sale/Written off of Property, Plant &amp; Equipment</t>
  </si>
  <si>
    <t>(Increase)/Decrease in Other Investments</t>
  </si>
  <si>
    <t>Dividend Received from Other Investments</t>
  </si>
  <si>
    <t>Profit on Sale of Investments</t>
  </si>
  <si>
    <t>Net Cash Flow from Investing Activities (B)</t>
  </si>
  <si>
    <t>Cash Flow from Financing Activities:</t>
  </si>
  <si>
    <t>Proceeds of Long-Term Borrowings</t>
  </si>
  <si>
    <t>Repayment of Long-Term Borrowings</t>
  </si>
  <si>
    <t>Proceeds/(Repayment) of Other Borrowings</t>
  </si>
  <si>
    <t>Increase in Equity through QIP Allotment (Net of Expenses)</t>
  </si>
  <si>
    <t>Dividend Paid</t>
  </si>
  <si>
    <t>Net Cash Flow from Financing Activities (C )</t>
  </si>
  <si>
    <t>Net Increase/(Decrease) in Cash and Cash Equivalents (A+B+C)</t>
  </si>
  <si>
    <t>Cash and Cash Equivalents (Opening Balance)</t>
  </si>
  <si>
    <t>Cash and Cash Equivalents (Closing Balance)</t>
  </si>
  <si>
    <t>Loss on Sale of Assets</t>
  </si>
  <si>
    <t>Unrealised Foreign Exchange</t>
  </si>
  <si>
    <t>Interest Income</t>
  </si>
  <si>
    <t>Investment in Joint Venture</t>
  </si>
  <si>
    <t>(Increase)/Decrease in Other Bank Balance</t>
  </si>
  <si>
    <t>Principal Repayment of Lease Liability</t>
  </si>
  <si>
    <t>Deferref Taxes</t>
  </si>
  <si>
    <t>Aarti Industries’ total asset turnover increased from 0.66x to 0.88x before declining to 0.72x historically, indicating reduced efficiency in generating revenue from total assets. Forecasts remain stable at 0.77x, reflecting consistent asset utilization levels and steady revenue generation relative to the company’s overall asset base in the coming years.</t>
  </si>
  <si>
    <t>Cost of material Consumed is compare with the % of revenue , and take the average of the 5 Year for the future prediction.</t>
  </si>
  <si>
    <t>Employee Benefits Expenses &amp; Other Expenses is compare with the % of revenue , for the forecasted year I take the average of the 5 year historical for the employee benefits and for the other expenses I take average for the future year.</t>
  </si>
  <si>
    <t>Effective Tax Rate is compare with the % of EBT , for the forecasted year I take the 6% , which is average of the last 5 year.</t>
  </si>
  <si>
    <t>DSO, DIO, DPO is consider as the average of the last  5 year DSO, DIO, DPO  for the future year.</t>
  </si>
  <si>
    <t>Cashflow statement</t>
  </si>
  <si>
    <t>Annual growth Tapering</t>
  </si>
  <si>
    <t>Revenue from operation</t>
  </si>
  <si>
    <t>Revenue from Operation</t>
  </si>
  <si>
    <t>Deperciation schedules</t>
  </si>
  <si>
    <t>PPE Opening</t>
  </si>
  <si>
    <t>Plus -Capex</t>
  </si>
  <si>
    <t>Less-Dep</t>
  </si>
  <si>
    <t>PPE Closing</t>
  </si>
  <si>
    <t>Deperciation &amp; Amotisartion Exp. (%of PPE)</t>
  </si>
  <si>
    <r>
      <t xml:space="preserve">The Gross Margin has shown decline trends during the audited years, declining from </t>
    </r>
    <r>
      <rPr>
        <b/>
        <sz val="11"/>
        <color theme="1"/>
        <rFont val="Calibri"/>
        <family val="2"/>
        <scheme val="minor"/>
      </rPr>
      <t>52.76% and 53.09%</t>
    </r>
    <r>
      <rPr>
        <sz val="11"/>
        <color theme="1"/>
        <rFont val="Calibri"/>
        <family val="2"/>
        <scheme val="minor"/>
      </rPr>
      <t xml:space="preserve"> in the early years to a low of </t>
    </r>
    <r>
      <rPr>
        <b/>
        <sz val="11"/>
        <color theme="1"/>
        <rFont val="Calibri"/>
        <family val="2"/>
        <scheme val="minor"/>
      </rPr>
      <t>35.98% in 2025</t>
    </r>
    <r>
      <rPr>
        <sz val="11"/>
        <color theme="1"/>
        <rFont val="Calibri"/>
        <family val="2"/>
        <scheme val="minor"/>
      </rPr>
      <t xml:space="preserve">, reflecting rising cost pressures and reduced pricing efficiency.Our forecasts suggest that the Gross Margin will stabilize around </t>
    </r>
    <r>
      <rPr>
        <b/>
        <sz val="11"/>
        <color theme="1"/>
        <rFont val="Calibri"/>
        <family val="2"/>
        <scheme val="minor"/>
      </rPr>
      <t>44.57%</t>
    </r>
    <r>
      <rPr>
        <sz val="11"/>
        <color theme="1"/>
        <rFont val="Calibri"/>
        <family val="2"/>
        <scheme val="minor"/>
      </rPr>
      <t xml:space="preserve"> over the projection period, reflecting steady cost control and stable revenue generation.</t>
    </r>
  </si>
  <si>
    <r>
      <t xml:space="preserve">The company’s EBITDA margin displayed considerable fluctuations, peaking at </t>
    </r>
    <r>
      <rPr>
        <b/>
        <sz val="11"/>
        <color theme="1"/>
        <rFont val="Calibri"/>
        <family val="2"/>
        <scheme val="minor"/>
      </rPr>
      <t>28.27%</t>
    </r>
    <r>
      <rPr>
        <sz val="11"/>
        <color theme="1"/>
        <rFont val="Calibri"/>
        <family val="2"/>
        <scheme val="minor"/>
      </rPr>
      <t xml:space="preserve"> before declining to a low of </t>
    </r>
    <r>
      <rPr>
        <b/>
        <sz val="11"/>
        <color theme="1"/>
        <rFont val="Calibri"/>
        <family val="2"/>
        <scheme val="minor"/>
      </rPr>
      <t>13.76%</t>
    </r>
    <r>
      <rPr>
        <sz val="11"/>
        <color theme="1"/>
        <rFont val="Calibri"/>
        <family val="2"/>
        <scheme val="minor"/>
      </rPr>
      <t xml:space="preserve">, reflecting cost pressures and weaker operating leverage. However, margins later improved to around </t>
    </r>
    <r>
      <rPr>
        <b/>
        <sz val="11"/>
        <color theme="1"/>
        <rFont val="Calibri"/>
        <family val="2"/>
        <scheme val="minor"/>
      </rPr>
      <t>19.11%</t>
    </r>
    <r>
      <rPr>
        <sz val="11"/>
        <color theme="1"/>
        <rFont val="Calibri"/>
        <family val="2"/>
        <scheme val="minor"/>
      </rPr>
      <t>, where they have stabilized in recent years. Our forecasts suggest the margin will remain steady at this level, supported by improved cost discipline and operational efficiency. While below the earlier peak, the stabilization highlights greater financial consistency, ensuring sustainable operating profitability and providing a solid foundation for long-term performance.</t>
    </r>
  </si>
  <si>
    <r>
      <t>Inventory Turnover</t>
    </r>
    <r>
      <rPr>
        <sz val="11"/>
        <color theme="1"/>
        <rFont val="Calibri"/>
        <family val="2"/>
        <scheme val="minor"/>
      </rPr>
      <t xml:space="preserve"> showed an improving trend during the audited years 2021–2025, rising from 2.27x in 2021 to 3.73x in 2023, before moderating slightly to 3.04x by 2025. Our forecasts suggest that the ratio will remain stable at 3.04x through 2035. The initial improvement reflects better inventory management and faster conversion of stock into sales, enhancing working capital efficiency.</t>
    </r>
  </si>
  <si>
    <r>
      <t>Receivable Turnover</t>
    </r>
    <r>
      <rPr>
        <sz val="11"/>
        <color theme="1"/>
        <rFont val="Calibri"/>
        <family val="2"/>
        <scheme val="minor"/>
      </rPr>
      <t xml:space="preserve"> improved during the audited years 2021–2025, rising from 5.68x in 2021 to 9.25x in 2025. This sharp increase indicates that the company has strengthened its credit management and is collecting dues from customers more quickly, which supports better liquidity and reduced credit risk.</t>
    </r>
  </si>
  <si>
    <r>
      <t>Payable Turnover</t>
    </r>
    <r>
      <rPr>
        <sz val="11"/>
        <color theme="1"/>
        <rFont val="Calibri"/>
        <family val="2"/>
        <scheme val="minor"/>
      </rPr>
      <t xml:space="preserve"> was volatile during 2021–2025, peaking at 17.82x in 2023 before easing to 3.76x in 2025. Forecasts indicate stability at 5.55x by 2035. This reflects normalization of supplier payment cycles, balancing timely payments with working capital efficiency.</t>
    </r>
  </si>
  <si>
    <t>Riskfree Rate</t>
  </si>
  <si>
    <t>C18</t>
  </si>
  <si>
    <t>C19</t>
  </si>
  <si>
    <t>Riskfree rate is taken as 10 - year indian bond .</t>
  </si>
  <si>
    <t>Dep Schedules</t>
  </si>
  <si>
    <t>B18:Q18</t>
  </si>
  <si>
    <t>EV/EBITDA  Taken as the Median of the peers caompanies of this Industy.</t>
  </si>
  <si>
    <t>Dep and Capex Schedules</t>
  </si>
  <si>
    <t>Capex % of Revenue</t>
  </si>
  <si>
    <r>
      <t xml:space="preserve">The company’s operating margin peaked at </t>
    </r>
    <r>
      <rPr>
        <b/>
        <sz val="11"/>
        <color theme="1"/>
        <rFont val="Calibri"/>
        <family val="2"/>
        <scheme val="minor"/>
      </rPr>
      <t>24.22% in 2022</t>
    </r>
    <r>
      <rPr>
        <sz val="11"/>
        <color theme="1"/>
        <rFont val="Calibri"/>
        <family val="2"/>
        <scheme val="minor"/>
      </rPr>
      <t xml:space="preserve"> before declining to 7.79</t>
    </r>
    <r>
      <rPr>
        <b/>
        <sz val="11"/>
        <color theme="1"/>
        <rFont val="Calibri"/>
        <family val="2"/>
        <scheme val="minor"/>
      </rPr>
      <t>% in 2025</t>
    </r>
    <r>
      <rPr>
        <sz val="11"/>
        <color theme="1"/>
        <rFont val="Calibri"/>
        <family val="2"/>
        <scheme val="minor"/>
      </rPr>
      <t xml:space="preserve">, reflecting rising operating costs and weaker efficiency. However, forecasts suggest a gradual recovery, with margins expected to improve steadily to </t>
    </r>
    <r>
      <rPr>
        <b/>
        <sz val="11"/>
        <color theme="1"/>
        <rFont val="Calibri"/>
        <family val="2"/>
        <scheme val="minor"/>
      </rPr>
      <t>12.88% by 2035.</t>
    </r>
    <r>
      <rPr>
        <sz val="11"/>
        <color theme="1"/>
        <rFont val="Calibri"/>
        <family val="2"/>
        <scheme val="minor"/>
      </rPr>
      <t xml:space="preserve"> This indicates stronger cost discipline and operational improvements,</t>
    </r>
  </si>
  <si>
    <r>
      <t xml:space="preserve">The company’s pretax margin peaked at </t>
    </r>
    <r>
      <rPr>
        <b/>
        <sz val="11"/>
        <color theme="1"/>
        <rFont val="Calibri"/>
        <family val="2"/>
        <scheme val="minor"/>
      </rPr>
      <t>22.55% in 2022</t>
    </r>
    <r>
      <rPr>
        <sz val="11"/>
        <color theme="1"/>
        <rFont val="Calibri"/>
        <family val="2"/>
        <scheme val="minor"/>
      </rPr>
      <t>, but declined sharply to 4.23</t>
    </r>
    <r>
      <rPr>
        <b/>
        <sz val="11"/>
        <color theme="1"/>
        <rFont val="Calibri"/>
        <family val="2"/>
        <scheme val="minor"/>
      </rPr>
      <t>% in 2025</t>
    </r>
    <r>
      <rPr>
        <sz val="11"/>
        <color theme="1"/>
        <rFont val="Calibri"/>
        <family val="2"/>
        <scheme val="minor"/>
      </rPr>
      <t xml:space="preserve">, reflecting rising expenses and weaker operating leverage. Forecasts suggest a steady recovery, with margins expected to improve gradually to </t>
    </r>
    <r>
      <rPr>
        <b/>
        <sz val="11"/>
        <color theme="1"/>
        <rFont val="Calibri"/>
        <family val="2"/>
        <scheme val="minor"/>
      </rPr>
      <t>11.00% by 2029 and decline to 9.95% in 2035</t>
    </r>
    <r>
      <rPr>
        <sz val="11"/>
        <color theme="1"/>
        <rFont val="Calibri"/>
        <family val="2"/>
        <scheme val="minor"/>
      </rPr>
      <t>. the upward trajectory indicates improving efficiency and financial discipline.</t>
    </r>
  </si>
  <si>
    <r>
      <t xml:space="preserve">he company’s effective tax rate was </t>
    </r>
    <r>
      <rPr>
        <b/>
        <sz val="11"/>
        <color theme="1"/>
        <rFont val="Calibri"/>
        <family val="2"/>
        <scheme val="minor"/>
      </rPr>
      <t>19.46% in 2021</t>
    </r>
    <r>
      <rPr>
        <sz val="11"/>
        <color theme="1"/>
        <rFont val="Calibri"/>
        <family val="2"/>
        <scheme val="minor"/>
      </rPr>
      <t xml:space="preserve">, but turned negative in subsequent years, reaching </t>
    </r>
    <r>
      <rPr>
        <b/>
        <sz val="11"/>
        <color theme="1"/>
        <rFont val="Calibri"/>
        <family val="2"/>
        <scheme val="minor"/>
      </rPr>
      <t>-7.75% in 2025</t>
    </r>
    <r>
      <rPr>
        <sz val="11"/>
        <color theme="1"/>
        <rFont val="Calibri"/>
        <family val="2"/>
        <scheme val="minor"/>
      </rPr>
      <t xml:space="preserve">, likely due to tax credits or losses carried forward. Forecasts suggest normalization, with the rate stabilizing at </t>
    </r>
    <r>
      <rPr>
        <b/>
        <sz val="11"/>
        <color theme="1"/>
        <rFont val="Calibri"/>
        <family val="2"/>
        <scheme val="minor"/>
      </rPr>
      <t>6.15% by 2035</t>
    </r>
    <r>
      <rPr>
        <sz val="11"/>
        <color theme="1"/>
        <rFont val="Calibri"/>
        <family val="2"/>
        <scheme val="minor"/>
      </rPr>
      <t>. While significantly below historical levels, the steady outlook reflects improved predictability, though the lower rate may also indicate limited taxable income growth compared to earlier years.</t>
    </r>
  </si>
  <si>
    <r>
      <t xml:space="preserve">The company’s net profit margin peaked at </t>
    </r>
    <r>
      <rPr>
        <b/>
        <sz val="11"/>
        <color theme="1"/>
        <rFont val="Calibri"/>
        <family val="2"/>
        <scheme val="minor"/>
      </rPr>
      <t>19.48% in 2022</t>
    </r>
    <r>
      <rPr>
        <sz val="11"/>
        <color theme="1"/>
        <rFont val="Calibri"/>
        <family val="2"/>
        <scheme val="minor"/>
      </rPr>
      <t>, but declined significantly to 4.55</t>
    </r>
    <r>
      <rPr>
        <b/>
        <sz val="11"/>
        <color theme="1"/>
        <rFont val="Calibri"/>
        <family val="2"/>
        <scheme val="minor"/>
      </rPr>
      <t>% in 2025</t>
    </r>
    <r>
      <rPr>
        <sz val="11"/>
        <color theme="1"/>
        <rFont val="Calibri"/>
        <family val="2"/>
        <scheme val="minor"/>
      </rPr>
      <t xml:space="preserve">, reflecting rising costs and weaker profitability. Forecasts suggest gradual improvement, with margins expected to reach </t>
    </r>
    <r>
      <rPr>
        <b/>
        <sz val="11"/>
        <color theme="1"/>
        <rFont val="Calibri"/>
        <family val="2"/>
        <scheme val="minor"/>
      </rPr>
      <t>10.32% by 2029 and decline to 9.34% in 2035</t>
    </r>
    <r>
      <rPr>
        <sz val="11"/>
        <color theme="1"/>
        <rFont val="Calibri"/>
        <family val="2"/>
        <scheme val="minor"/>
      </rPr>
      <t>.  the steady upward trend highlights improving efficiency, cost management, and a healthier long-term earnings outlook.</t>
    </r>
  </si>
  <si>
    <r>
      <t xml:space="preserve">The company’s ROE reached a peak of </t>
    </r>
    <r>
      <rPr>
        <b/>
        <sz val="11"/>
        <color theme="1"/>
        <rFont val="Calibri"/>
        <family val="2"/>
        <scheme val="minor"/>
      </rPr>
      <t>26.25% in 2022</t>
    </r>
    <r>
      <rPr>
        <sz val="11"/>
        <color theme="1"/>
        <rFont val="Calibri"/>
        <family val="2"/>
        <scheme val="minor"/>
      </rPr>
      <t>, reflecting strong profitability and efficient equity utilization. However, it declined to 5.90</t>
    </r>
    <r>
      <rPr>
        <b/>
        <sz val="11"/>
        <color theme="1"/>
        <rFont val="Calibri"/>
        <family val="2"/>
        <scheme val="minor"/>
      </rPr>
      <t>% in 2025</t>
    </r>
    <r>
      <rPr>
        <sz val="11"/>
        <color theme="1"/>
        <rFont val="Calibri"/>
        <family val="2"/>
        <scheme val="minor"/>
      </rPr>
      <t>, driven by weaker margins and reduced earnings growth. Forecasts suggest a continued downtrend, with ROE expected to fall further to 9.85</t>
    </r>
    <r>
      <rPr>
        <b/>
        <sz val="11"/>
        <color theme="1"/>
        <rFont val="Calibri"/>
        <family val="2"/>
        <scheme val="minor"/>
      </rPr>
      <t>% by 2035</t>
    </r>
    <r>
      <rPr>
        <sz val="11"/>
        <color theme="1"/>
        <rFont val="Calibri"/>
        <family val="2"/>
        <scheme val="minor"/>
      </rPr>
      <t>. This indicates declining returns for shareholders and highlights the need for improved profitability or capital efficiency to sustain investor confidence.</t>
    </r>
  </si>
  <si>
    <r>
      <t xml:space="preserve">The company’s ROCE peaked at </t>
    </r>
    <r>
      <rPr>
        <b/>
        <sz val="11"/>
        <color theme="1"/>
        <rFont val="Calibri"/>
        <family val="2"/>
        <scheme val="minor"/>
      </rPr>
      <t>25.92% in 2022,</t>
    </r>
    <r>
      <rPr>
        <sz val="11"/>
        <color theme="1"/>
        <rFont val="Calibri"/>
        <family val="2"/>
        <scheme val="minor"/>
      </rPr>
      <t xml:space="preserve"> supported by strong profitability and efficient capital utilization. However, it declined to 7.40</t>
    </r>
    <r>
      <rPr>
        <b/>
        <sz val="11"/>
        <color theme="1"/>
        <rFont val="Calibri"/>
        <family val="2"/>
        <scheme val="minor"/>
      </rPr>
      <t>% in 2025</t>
    </r>
    <r>
      <rPr>
        <sz val="11"/>
        <color theme="1"/>
        <rFont val="Calibri"/>
        <family val="2"/>
        <scheme val="minor"/>
      </rPr>
      <t>, reflecting reduced operating efficiency and weaker earnings generation. Forecasts indicate a further slowdown, with ROCE expected to fall to 10.72</t>
    </r>
    <r>
      <rPr>
        <b/>
        <sz val="11"/>
        <color theme="1"/>
        <rFont val="Calibri"/>
        <family val="2"/>
        <scheme val="minor"/>
      </rPr>
      <t>% by 2035</t>
    </r>
    <r>
      <rPr>
        <sz val="11"/>
        <color theme="1"/>
        <rFont val="Calibri"/>
        <family val="2"/>
        <scheme val="minor"/>
      </rPr>
      <t>. This suggests diminishing returns on invested capital over time, highlighting the need for improved operational performance and better deployment of resources to enhance long-term shareholder value.</t>
    </r>
  </si>
  <si>
    <r>
      <t xml:space="preserve">The company’s ROA peaked at </t>
    </r>
    <r>
      <rPr>
        <b/>
        <sz val="11"/>
        <color theme="1"/>
        <rFont val="Calibri"/>
        <family val="2"/>
        <scheme val="minor"/>
      </rPr>
      <t>15.10% in 2022</t>
    </r>
    <r>
      <rPr>
        <sz val="11"/>
        <color theme="1"/>
        <rFont val="Calibri"/>
        <family val="2"/>
        <scheme val="minor"/>
      </rPr>
      <t>, reflecting strong asset efficiency and profitability. However, it dropped to 2.98</t>
    </r>
    <r>
      <rPr>
        <b/>
        <sz val="11"/>
        <color theme="1"/>
        <rFont val="Calibri"/>
        <family val="2"/>
        <scheme val="minor"/>
      </rPr>
      <t>% in 2025</t>
    </r>
    <r>
      <rPr>
        <sz val="11"/>
        <color theme="1"/>
        <rFont val="Calibri"/>
        <family val="2"/>
        <scheme val="minor"/>
      </rPr>
      <t>, driven by weaker earnings relative to the asset base. Forecasts indicate a gradual decline, with ROA expected to fall further to 5.64</t>
    </r>
    <r>
      <rPr>
        <b/>
        <sz val="11"/>
        <color theme="1"/>
        <rFont val="Calibri"/>
        <family val="2"/>
        <scheme val="minor"/>
      </rPr>
      <t>% by 2035</t>
    </r>
    <r>
      <rPr>
        <sz val="11"/>
        <color theme="1"/>
        <rFont val="Calibri"/>
        <family val="2"/>
        <scheme val="minor"/>
      </rPr>
      <t>. This downward trend highlights reduced asset productivity and underscores the need for better earnings generation from existing resources to sustain long-term financial performance.</t>
    </r>
  </si>
  <si>
    <r>
      <t xml:space="preserve">The Quick Ratio shows weak liquidity historically, ranging from </t>
    </r>
    <r>
      <rPr>
        <b/>
        <sz val="11"/>
        <color theme="1"/>
        <rFont val="Calibri"/>
        <family val="2"/>
        <scheme val="minor"/>
      </rPr>
      <t>0.60x (2021)</t>
    </r>
    <r>
      <rPr>
        <sz val="11"/>
        <color theme="1"/>
        <rFont val="Calibri"/>
        <family val="2"/>
        <scheme val="minor"/>
      </rPr>
      <t xml:space="preserve"> to </t>
    </r>
    <r>
      <rPr>
        <b/>
        <sz val="11"/>
        <color theme="1"/>
        <rFont val="Calibri"/>
        <family val="2"/>
        <scheme val="minor"/>
      </rPr>
      <t>0.42x (2025)</t>
    </r>
    <r>
      <rPr>
        <sz val="11"/>
        <color theme="1"/>
        <rFont val="Calibri"/>
        <family val="2"/>
        <scheme val="minor"/>
      </rPr>
      <t xml:space="preserve">, all below the ideal </t>
    </r>
    <r>
      <rPr>
        <b/>
        <sz val="11"/>
        <color theme="1"/>
        <rFont val="Calibri"/>
        <family val="2"/>
        <scheme val="minor"/>
      </rPr>
      <t>1.0x</t>
    </r>
    <r>
      <rPr>
        <sz val="11"/>
        <color theme="1"/>
        <rFont val="Calibri"/>
        <family val="2"/>
        <scheme val="minor"/>
      </rPr>
      <t xml:space="preserve"> benchmark. However, estimates indicate gradual improvement from </t>
    </r>
    <r>
      <rPr>
        <b/>
        <sz val="11"/>
        <color theme="1"/>
        <rFont val="Calibri"/>
        <family val="2"/>
        <scheme val="minor"/>
      </rPr>
      <t>0.52x</t>
    </r>
    <r>
      <rPr>
        <sz val="11"/>
        <color theme="1"/>
        <rFont val="Calibri"/>
        <family val="2"/>
        <scheme val="minor"/>
      </rPr>
      <t xml:space="preserve"> to </t>
    </r>
    <r>
      <rPr>
        <b/>
        <sz val="11"/>
        <color theme="1"/>
        <rFont val="Calibri"/>
        <family val="2"/>
        <scheme val="minor"/>
      </rPr>
      <t>0.73x</t>
    </r>
    <r>
      <rPr>
        <sz val="11"/>
        <color theme="1"/>
        <rFont val="Calibri"/>
        <family val="2"/>
        <scheme val="minor"/>
      </rPr>
      <t xml:space="preserve"> by 2031, before slightly declining to </t>
    </r>
    <r>
      <rPr>
        <b/>
        <sz val="11"/>
        <color theme="1"/>
        <rFont val="Calibri"/>
        <family val="2"/>
        <scheme val="minor"/>
      </rPr>
      <t>0.63x</t>
    </r>
    <r>
      <rPr>
        <sz val="11"/>
        <color theme="1"/>
        <rFont val="Calibri"/>
        <family val="2"/>
        <scheme val="minor"/>
      </rPr>
      <t xml:space="preserve"> in 2035. This trend suggests cautious liquidity management but potential recovery in short-term solvency ahead.</t>
    </r>
  </si>
  <si>
    <r>
      <t xml:space="preserve">The cash conversion cycle stood at </t>
    </r>
    <r>
      <rPr>
        <b/>
        <sz val="11"/>
        <color theme="1"/>
        <rFont val="Calibri"/>
        <family val="2"/>
        <scheme val="minor"/>
      </rPr>
      <t>126 days in 2021</t>
    </r>
    <r>
      <rPr>
        <sz val="11"/>
        <color theme="1"/>
        <rFont val="Calibri"/>
        <family val="2"/>
        <scheme val="minor"/>
      </rPr>
      <t xml:space="preserve">, reflecting a long duration to convert investments in inventory and receivables into cash inflows. By </t>
    </r>
    <r>
      <rPr>
        <b/>
        <sz val="11"/>
        <color theme="1"/>
        <rFont val="Calibri"/>
        <family val="2"/>
        <scheme val="minor"/>
      </rPr>
      <t>2025, it improved significantly to 56 days</t>
    </r>
    <r>
      <rPr>
        <sz val="11"/>
        <color theme="1"/>
        <rFont val="Calibri"/>
        <family val="2"/>
        <scheme val="minor"/>
      </rPr>
      <t xml:space="preserve">, indicating better efficiency in managing working capital. Looking ahead to </t>
    </r>
    <r>
      <rPr>
        <b/>
        <sz val="11"/>
        <color theme="1"/>
        <rFont val="Calibri"/>
        <family val="2"/>
        <scheme val="minor"/>
      </rPr>
      <t>2035, the CCC is projected to remain stable at 108 days</t>
    </r>
    <r>
      <rPr>
        <sz val="11"/>
        <color theme="1"/>
        <rFont val="Calibri"/>
        <family val="2"/>
        <scheme val="minor"/>
      </rPr>
      <t>, suggesting that the company has achieved a consistent and sustainable balance in receivables, payables, and inventory management. While stability is positive, further reduction could unlock additional efficiency and free up cash for growth opportunities.</t>
    </r>
  </si>
  <si>
    <r>
      <t xml:space="preserve">The Current Ratio begins at </t>
    </r>
    <r>
      <rPr>
        <b/>
        <sz val="11"/>
        <color theme="1"/>
        <rFont val="Calibri"/>
        <family val="2"/>
        <scheme val="minor"/>
      </rPr>
      <t>0.99x (2021)</t>
    </r>
    <r>
      <rPr>
        <sz val="11"/>
        <color theme="1"/>
        <rFont val="Calibri"/>
        <family val="2"/>
        <scheme val="minor"/>
      </rPr>
      <t xml:space="preserve">, peaks at </t>
    </r>
    <r>
      <rPr>
        <b/>
        <sz val="11"/>
        <color theme="1"/>
        <rFont val="Calibri"/>
        <family val="2"/>
        <scheme val="minor"/>
      </rPr>
      <t>1.25x (2022)</t>
    </r>
    <r>
      <rPr>
        <sz val="11"/>
        <color theme="1"/>
        <rFont val="Calibri"/>
        <family val="2"/>
        <scheme val="minor"/>
      </rPr>
      <t xml:space="preserve">, then dips to </t>
    </r>
    <r>
      <rPr>
        <b/>
        <sz val="11"/>
        <color theme="1"/>
        <rFont val="Calibri"/>
        <family val="2"/>
        <scheme val="minor"/>
      </rPr>
      <t>0.84x (2025)</t>
    </r>
    <r>
      <rPr>
        <sz val="11"/>
        <color theme="1"/>
        <rFont val="Calibri"/>
        <family val="2"/>
        <scheme val="minor"/>
      </rPr>
      <t xml:space="preserve">, reflecting weaker short-term solvency. However, from </t>
    </r>
    <r>
      <rPr>
        <b/>
        <sz val="11"/>
        <color theme="1"/>
        <rFont val="Calibri"/>
        <family val="2"/>
        <scheme val="minor"/>
      </rPr>
      <t>0.92x onward</t>
    </r>
    <r>
      <rPr>
        <sz val="11"/>
        <color theme="1"/>
        <rFont val="Calibri"/>
        <family val="2"/>
        <scheme val="minor"/>
      </rPr>
      <t xml:space="preserve">, estimates show gradual strengthening, reaching a stable range of </t>
    </r>
    <r>
      <rPr>
        <b/>
        <sz val="11"/>
        <color theme="1"/>
        <rFont val="Calibri"/>
        <family val="2"/>
        <scheme val="minor"/>
      </rPr>
      <t>1.13x (2030–2032)</t>
    </r>
    <r>
      <rPr>
        <sz val="11"/>
        <color theme="1"/>
        <rFont val="Calibri"/>
        <family val="2"/>
        <scheme val="minor"/>
      </rPr>
      <t xml:space="preserve"> before slightly softening to </t>
    </r>
    <r>
      <rPr>
        <b/>
        <sz val="11"/>
        <color theme="1"/>
        <rFont val="Calibri"/>
        <family val="2"/>
        <scheme val="minor"/>
      </rPr>
      <t>1.04x (2035)</t>
    </r>
    <r>
      <rPr>
        <sz val="11"/>
        <color theme="1"/>
        <rFont val="Calibri"/>
        <family val="2"/>
        <scheme val="minor"/>
      </rPr>
      <t xml:space="preserve">. Overall, liquidity improves toward and above the ideal benchmark of </t>
    </r>
    <r>
      <rPr>
        <b/>
        <sz val="11"/>
        <color theme="1"/>
        <rFont val="Calibri"/>
        <family val="2"/>
        <scheme val="minor"/>
      </rPr>
      <t>1.0x</t>
    </r>
    <r>
      <rPr>
        <sz val="11"/>
        <color theme="1"/>
        <rFont val="Calibri"/>
        <family val="2"/>
        <scheme val="minor"/>
      </rPr>
      <t>.</t>
    </r>
  </si>
  <si>
    <r>
      <t xml:space="preserve">In </t>
    </r>
    <r>
      <rPr>
        <b/>
        <sz val="11"/>
        <color theme="1"/>
        <rFont val="Calibri"/>
        <family val="2"/>
        <scheme val="minor"/>
      </rPr>
      <t>2021</t>
    </r>
    <r>
      <rPr>
        <sz val="11"/>
        <color theme="1"/>
        <rFont val="Calibri"/>
        <family val="2"/>
        <scheme val="minor"/>
      </rPr>
      <t xml:space="preserve">, the Asset-to-Equity ratio stood at </t>
    </r>
    <r>
      <rPr>
        <b/>
        <sz val="11"/>
        <color theme="1"/>
        <rFont val="Calibri"/>
        <family val="2"/>
        <scheme val="minor"/>
      </rPr>
      <t>2.17x</t>
    </r>
    <r>
      <rPr>
        <sz val="11"/>
        <color theme="1"/>
        <rFont val="Calibri"/>
        <family val="2"/>
        <scheme val="minor"/>
      </rPr>
      <t xml:space="preserve">, showing that the company used moderate leverage, with equity funding a fair share of assets. By </t>
    </r>
    <r>
      <rPr>
        <b/>
        <sz val="11"/>
        <color theme="1"/>
        <rFont val="Calibri"/>
        <family val="2"/>
        <scheme val="minor"/>
      </rPr>
      <t>2025, it improved to 1.98x</t>
    </r>
    <r>
      <rPr>
        <sz val="11"/>
        <color theme="1"/>
        <rFont val="Calibri"/>
        <family val="2"/>
        <scheme val="minor"/>
      </rPr>
      <t xml:space="preserve">, reflecting a shift toward stronger equity backing and lower dependence on debt. Looking ahead to </t>
    </r>
    <r>
      <rPr>
        <b/>
        <sz val="11"/>
        <color theme="1"/>
        <rFont val="Calibri"/>
        <family val="2"/>
        <scheme val="minor"/>
      </rPr>
      <t>2035, the ratio is forecasted at 1.74x</t>
    </r>
    <r>
      <rPr>
        <sz val="11"/>
        <color theme="1"/>
        <rFont val="Calibri"/>
        <family val="2"/>
        <scheme val="minor"/>
      </rPr>
      <t>, suggesting further deleveraging and a healthier balance sheet. This trend highlights growing financial stability, reduced risk from external liabilities, and long-term sustainability.</t>
    </r>
  </si>
  <si>
    <r>
      <t xml:space="preserve">The company’s debt-to-equity ratio was </t>
    </r>
    <r>
      <rPr>
        <b/>
        <sz val="11"/>
        <color theme="1"/>
        <rFont val="Calibri"/>
        <family val="2"/>
        <scheme val="minor"/>
      </rPr>
      <t>0.71x in 2021</t>
    </r>
    <r>
      <rPr>
        <sz val="11"/>
        <color theme="1"/>
        <rFont val="Calibri"/>
        <family val="2"/>
        <scheme val="minor"/>
      </rPr>
      <t xml:space="preserve">, reflecting moderate leverage with debt forming just over half of equity. By </t>
    </r>
    <r>
      <rPr>
        <b/>
        <sz val="11"/>
        <color theme="1"/>
        <rFont val="Calibri"/>
        <family val="2"/>
        <scheme val="minor"/>
      </rPr>
      <t>2025, the ratio declined to 0.69x</t>
    </r>
    <r>
      <rPr>
        <sz val="11"/>
        <color theme="1"/>
        <rFont val="Calibri"/>
        <family val="2"/>
        <scheme val="minor"/>
      </rPr>
      <t xml:space="preserve">, indicating reduced reliance on borrowings and a stronger equity position. Looking forward, the ratio is projected to fall further to </t>
    </r>
    <r>
      <rPr>
        <b/>
        <sz val="11"/>
        <color theme="1"/>
        <rFont val="Calibri"/>
        <family val="2"/>
        <scheme val="minor"/>
      </rPr>
      <t>0.53x by 2035</t>
    </r>
    <r>
      <rPr>
        <sz val="11"/>
        <color theme="1"/>
        <rFont val="Calibri"/>
        <family val="2"/>
        <scheme val="minor"/>
      </rPr>
      <t>, highlighting a conservative capital structure with minimal financial risk. This declining leverage trend signals enhanced balance sheet strength, lower interest burden, and greater capacity to fund growth through internal accruals.</t>
    </r>
  </si>
  <si>
    <r>
      <t xml:space="preserve">The Debt Ratio remains fairly stable, starting at </t>
    </r>
    <r>
      <rPr>
        <b/>
        <sz val="11"/>
        <color theme="1"/>
        <rFont val="Calibri"/>
        <family val="2"/>
        <scheme val="minor"/>
      </rPr>
      <t>0.33x (2021)</t>
    </r>
    <r>
      <rPr>
        <sz val="11"/>
        <color theme="1"/>
        <rFont val="Calibri"/>
        <family val="2"/>
        <scheme val="minor"/>
      </rPr>
      <t xml:space="preserve">, peaking slightly at </t>
    </r>
    <r>
      <rPr>
        <b/>
        <sz val="11"/>
        <color theme="1"/>
        <rFont val="Calibri"/>
        <family val="2"/>
        <scheme val="minor"/>
      </rPr>
      <t>0.36x (2024)</t>
    </r>
    <r>
      <rPr>
        <sz val="11"/>
        <color theme="1"/>
        <rFont val="Calibri"/>
        <family val="2"/>
        <scheme val="minor"/>
      </rPr>
      <t xml:space="preserve">, and then gradually declining to </t>
    </r>
    <r>
      <rPr>
        <b/>
        <sz val="11"/>
        <color theme="1"/>
        <rFont val="Calibri"/>
        <family val="2"/>
        <scheme val="minor"/>
      </rPr>
      <t>0.30x (2035)</t>
    </r>
    <r>
      <rPr>
        <sz val="11"/>
        <color theme="1"/>
        <rFont val="Calibri"/>
        <family val="2"/>
        <scheme val="minor"/>
      </rPr>
      <t>. This consistent downward trend suggests controlled debt usage and strengthening reliance on equity financing, lowering financial risk. Overall, the company maintains a conservative capital structure with manageable debt levels throughout the period.</t>
    </r>
  </si>
  <si>
    <r>
      <t xml:space="preserve">The Interest Coverage ratio shows high volatility, starting at </t>
    </r>
    <r>
      <rPr>
        <b/>
        <sz val="11"/>
        <color theme="1"/>
        <rFont val="Calibri"/>
        <family val="2"/>
        <scheme val="minor"/>
      </rPr>
      <t>7.69x (2021)</t>
    </r>
    <r>
      <rPr>
        <sz val="11"/>
        <color theme="1"/>
        <rFont val="Calibri"/>
        <family val="2"/>
        <scheme val="minor"/>
      </rPr>
      <t xml:space="preserve"> and peaking at </t>
    </r>
    <r>
      <rPr>
        <b/>
        <sz val="11"/>
        <color theme="1"/>
        <rFont val="Calibri"/>
        <family val="2"/>
        <scheme val="minor"/>
      </rPr>
      <t>13.41x (2022)</t>
    </r>
    <r>
      <rPr>
        <sz val="11"/>
        <color theme="1"/>
        <rFont val="Calibri"/>
        <family val="2"/>
        <scheme val="minor"/>
      </rPr>
      <t xml:space="preserve">, before sharply dropping to a weak </t>
    </r>
    <r>
      <rPr>
        <b/>
        <sz val="11"/>
        <color theme="1"/>
        <rFont val="Calibri"/>
        <family val="2"/>
        <scheme val="minor"/>
      </rPr>
      <t>1.12x (2025)</t>
    </r>
    <r>
      <rPr>
        <sz val="11"/>
        <color theme="1"/>
        <rFont val="Calibri"/>
        <family val="2"/>
        <scheme val="minor"/>
      </rPr>
      <t xml:space="preserve">, indicating pressure in meeting interest obligations. Thereafter, it stabilizes in the </t>
    </r>
    <r>
      <rPr>
        <b/>
        <sz val="11"/>
        <color theme="1"/>
        <rFont val="Calibri"/>
        <family val="2"/>
        <scheme val="minor"/>
      </rPr>
      <t>3.30x–3.82x</t>
    </r>
    <r>
      <rPr>
        <sz val="11"/>
        <color theme="1"/>
        <rFont val="Calibri"/>
        <family val="2"/>
        <scheme val="minor"/>
      </rPr>
      <t xml:space="preserve"> range through 2035, reflecting moderate but sustainable debt-servicing ability, though below earlier strong levels</t>
    </r>
  </si>
  <si>
    <r>
      <t xml:space="preserve">The Fixed Asset Turnover Ratio starts at </t>
    </r>
    <r>
      <rPr>
        <b/>
        <sz val="11"/>
        <color theme="1"/>
        <rFont val="Calibri"/>
        <family val="2"/>
        <scheme val="minor"/>
      </rPr>
      <t>1.03x (2021)</t>
    </r>
    <r>
      <rPr>
        <sz val="11"/>
        <color theme="1"/>
        <rFont val="Calibri"/>
        <family val="2"/>
        <scheme val="minor"/>
      </rPr>
      <t xml:space="preserve">, peaks at </t>
    </r>
    <r>
      <rPr>
        <b/>
        <sz val="11"/>
        <color theme="1"/>
        <rFont val="Calibri"/>
        <family val="2"/>
        <scheme val="minor"/>
      </rPr>
      <t>1.39x (2022)</t>
    </r>
    <r>
      <rPr>
        <sz val="11"/>
        <color theme="1"/>
        <rFont val="Calibri"/>
        <family val="2"/>
        <scheme val="minor"/>
      </rPr>
      <t xml:space="preserve">, then declines to </t>
    </r>
    <r>
      <rPr>
        <b/>
        <sz val="11"/>
        <color theme="1"/>
        <rFont val="Calibri"/>
        <family val="2"/>
        <scheme val="minor"/>
      </rPr>
      <t>1.02x (2024)</t>
    </r>
    <r>
      <rPr>
        <sz val="11"/>
        <color theme="1"/>
        <rFont val="Calibri"/>
        <family val="2"/>
        <scheme val="minor"/>
      </rPr>
      <t xml:space="preserve">, indicating reduced efficiency. From </t>
    </r>
    <r>
      <rPr>
        <b/>
        <sz val="11"/>
        <color theme="1"/>
        <rFont val="Calibri"/>
        <family val="2"/>
        <scheme val="minor"/>
      </rPr>
      <t>2026–2030</t>
    </r>
    <r>
      <rPr>
        <sz val="11"/>
        <color theme="1"/>
        <rFont val="Calibri"/>
        <family val="2"/>
        <scheme val="minor"/>
      </rPr>
      <t xml:space="preserve">, it improves slightly, stabilizing between </t>
    </r>
    <r>
      <rPr>
        <b/>
        <sz val="11"/>
        <color theme="1"/>
        <rFont val="Calibri"/>
        <family val="2"/>
        <scheme val="minor"/>
      </rPr>
      <t>1.08x–1.14x</t>
    </r>
    <r>
      <rPr>
        <sz val="11"/>
        <color theme="1"/>
        <rFont val="Calibri"/>
        <family val="2"/>
        <scheme val="minor"/>
      </rPr>
      <t xml:space="preserve">, before gradually falling to </t>
    </r>
    <r>
      <rPr>
        <b/>
        <sz val="11"/>
        <color theme="1"/>
        <rFont val="Calibri"/>
        <family val="2"/>
        <scheme val="minor"/>
      </rPr>
      <t>0.96x (2035)</t>
    </r>
    <r>
      <rPr>
        <sz val="11"/>
        <color theme="1"/>
        <rFont val="Calibri"/>
        <family val="2"/>
        <scheme val="minor"/>
      </rPr>
      <t>. Overall, asset utilization shows short-term recovery but long-term weakening, reflecting declining efficiency in generating sales from fixed assets.</t>
    </r>
  </si>
  <si>
    <r>
      <t>Net Profit Margin</t>
    </r>
    <r>
      <rPr>
        <sz val="11"/>
        <color theme="1"/>
        <rFont val="Calibri"/>
        <family val="2"/>
        <scheme val="minor"/>
      </rPr>
      <t xml:space="preserve"> was volatile during 2021–2025, rising from 11.62% in 2021 to a peak of 19.48% in 2022, before declining to 4.55% in 2025. Forecasts suggest a steady recovery, improving to 9.34% by 2035. The initial drop reflects margin pressures from rising costs and operational inefficiencies, while the gradual rebound indicates stronger cost control and improved profitability over the long term.</t>
    </r>
  </si>
  <si>
    <r>
      <t>Asset Turnover Ratio</t>
    </r>
    <r>
      <rPr>
        <sz val="11"/>
        <color theme="1"/>
        <rFont val="Calibri"/>
        <family val="2"/>
        <scheme val="minor"/>
      </rPr>
      <t xml:space="preserve"> declined during 2021–2025, falling from 0.66x in 2021 to 0.72x in 2025 after peaking at 0.88x in 2022. Forecasts indicate a continued decline to 0.67x by 2035. This reflects weakening efficiency in generating revenues from assets, suggesting that sales growth has lagged behind asset expansion.</t>
    </r>
  </si>
  <si>
    <r>
      <t>Financial Leverage</t>
    </r>
    <r>
      <rPr>
        <sz val="11"/>
        <color theme="1"/>
        <rFont val="Calibri"/>
        <family val="2"/>
        <scheme val="minor"/>
      </rPr>
      <t xml:space="preserve"> was on a declining trend during the audited years 2021–2025, where it fell from 2.17x in 2021 to 1.98x in 2025. Our forecasts suggest that the declining trend will continue, with the ratio falling further to 1.74x by 2035. This indicates that the company is steadily reducing its reliance on debt financing and shifting towards an equity-driven structure. While this lowers financial risk and improves long-term stability, it may slightly reduce the positive impact of leverage on ROE</t>
    </r>
  </si>
  <si>
    <r>
      <t xml:space="preserve">ROE starts strong at </t>
    </r>
    <r>
      <rPr>
        <b/>
        <sz val="11"/>
        <color theme="1"/>
        <rFont val="Calibri"/>
        <family val="2"/>
        <scheme val="minor"/>
      </rPr>
      <t>16.60% (2021)</t>
    </r>
    <r>
      <rPr>
        <sz val="11"/>
        <color theme="1"/>
        <rFont val="Calibri"/>
        <family val="2"/>
        <scheme val="minor"/>
      </rPr>
      <t xml:space="preserve">, peaks at </t>
    </r>
    <r>
      <rPr>
        <b/>
        <sz val="11"/>
        <color theme="1"/>
        <rFont val="Calibri"/>
        <family val="2"/>
        <scheme val="minor"/>
      </rPr>
      <t>29.64% (2022)</t>
    </r>
    <r>
      <rPr>
        <sz val="11"/>
        <color theme="1"/>
        <rFont val="Calibri"/>
        <family val="2"/>
        <scheme val="minor"/>
      </rPr>
      <t xml:space="preserve">, then declines sharply to </t>
    </r>
    <r>
      <rPr>
        <b/>
        <sz val="11"/>
        <color theme="1"/>
        <rFont val="Calibri"/>
        <family val="2"/>
        <scheme val="minor"/>
      </rPr>
      <t>6.53% (2025)</t>
    </r>
    <r>
      <rPr>
        <sz val="11"/>
        <color theme="1"/>
        <rFont val="Calibri"/>
        <family val="2"/>
        <scheme val="minor"/>
      </rPr>
      <t xml:space="preserve">, reflecting profitability pressures. Post-2026, it recovers to around </t>
    </r>
    <r>
      <rPr>
        <b/>
        <sz val="11"/>
        <color theme="1"/>
        <rFont val="Calibri"/>
        <family val="2"/>
        <scheme val="minor"/>
      </rPr>
      <t>14–15%</t>
    </r>
    <r>
      <rPr>
        <sz val="11"/>
        <color theme="1"/>
        <rFont val="Calibri"/>
        <family val="2"/>
        <scheme val="minor"/>
      </rPr>
      <t xml:space="preserve">, but gradually tapers off to </t>
    </r>
    <r>
      <rPr>
        <b/>
        <sz val="11"/>
        <color theme="1"/>
        <rFont val="Calibri"/>
        <family val="2"/>
        <scheme val="minor"/>
      </rPr>
      <t>10.93% (2035)</t>
    </r>
    <r>
      <rPr>
        <sz val="11"/>
        <color theme="1"/>
        <rFont val="Calibri"/>
        <family val="2"/>
        <scheme val="minor"/>
      </rPr>
      <t>. Overall, the trend shows initial volatility, mid-term stabilization, and a slow long-term decline, highlighting moderate but weakening shareholder returns over time.</t>
    </r>
  </si>
  <si>
    <t>Annual Growth tapering is taken as 8 % as it make the growth rate of revenue as the perpetual Growth rate.</t>
  </si>
  <si>
    <t>Capex</t>
  </si>
  <si>
    <t>Revenue from operation is forecasted on the three case , base, best and worst case. For this I make a  scenario and take max for the best case, min for the worst case and average for the base case. Max, min and Average is consider from the last four year growth rate. for best case there is 37 % growth rate , for average 13% and for worst it is -4%. also take the annual growth tapering of 8 %.</t>
  </si>
  <si>
    <t>B18:Q19</t>
  </si>
  <si>
    <t>Total Net Revenue</t>
  </si>
  <si>
    <t>The total net Revenue is forecasted by using Revenue from operation Minus the GST tax.</t>
  </si>
  <si>
    <t>GST Collected</t>
  </si>
  <si>
    <t>The GST collected is compared with  the % as the revenue and for the future projection I took average of the 5 year historical data which is 10%.</t>
  </si>
  <si>
    <t>I take the 6 % Growth rate for the terminal Value  as india GDP growth rate for the year is forecasted 6.4%.</t>
  </si>
  <si>
    <t>Net Working Capital</t>
  </si>
  <si>
    <t xml:space="preserve">Deperciation &amp; Amotisartion Exp. </t>
  </si>
  <si>
    <t>B17:Q17</t>
  </si>
  <si>
    <t>Capex compare as % of Revenue for the historical year and forecasted CAPEX taken as the average of the  latest 5  year and  increase of 0.5% every year for next 10 years.</t>
  </si>
  <si>
    <t xml:space="preserve"> Dep &amp; Amortisation is compare with the % of the opening PPE and then for forecated year it taken as the average of the  historical 5  year for next 10 years.</t>
  </si>
  <si>
    <t>Interest expenses</t>
  </si>
  <si>
    <t>For the forecasted year the Interest expenmses is taken as the multiple of interest rate with opening debt of the company.</t>
  </si>
  <si>
    <t>Dividend payout Ratio</t>
  </si>
  <si>
    <t>Income statement</t>
  </si>
  <si>
    <t>B50:Q50</t>
  </si>
  <si>
    <t>Dividend payout ratio taken as the % of Dividend paid by Net income, for the forecasted year I consider the average of the last 5 year Dividend payout ratio for the 10 years.</t>
  </si>
  <si>
    <t>B53:Q53</t>
  </si>
  <si>
    <t>Retained Earning is taken as the remaining profit after payment of the Dividend to the shareholder ( Net profit- Dividend Paid).</t>
  </si>
  <si>
    <t>Balancesheet statement</t>
  </si>
  <si>
    <t>B41:Q41</t>
  </si>
  <si>
    <t>B42:Q42</t>
  </si>
  <si>
    <t>B43:Q43</t>
  </si>
  <si>
    <t>The Equity Share Capital is taken as same of the last year (2025) for the forecasted year.</t>
  </si>
  <si>
    <t>The other equity for the forecated year taken as the previous year equity + Net Profit of the current year - Dividend paid of current year.</t>
  </si>
  <si>
    <t>The Non Controlling Interest is taken as same of the last year (2025) for the forecasted year.</t>
  </si>
  <si>
    <t>F14</t>
  </si>
  <si>
    <t>The equity market Return is taken of the last 10 year market data of BSE sensex of daily basis.</t>
  </si>
  <si>
    <t>J15</t>
  </si>
  <si>
    <t>The beta of the company is calculated by using the monthly return of the equity and stocks closing price of the last 10 years.</t>
  </si>
  <si>
    <t>B37:L47</t>
  </si>
  <si>
    <t>Comparable valuation</t>
  </si>
  <si>
    <t>The Comparable valustion is calculated by taking the peers company which same industry and taken Average and median data of EV/EBITDA, EV/sales and P/E ratio for company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</si>
</sst>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 #,##0.00_ ;_ * \-#,##0.00_ ;_ * &quot;-&quot;??_ ;_ @_ "/>
    <numFmt numFmtId="164" formatCode="&quot;₹&quot;\ #,##0;[Red]\(&quot;₹&quot;\ #,##0\);\-"/>
    <numFmt numFmtId="165" formatCode="&quot;₹&quot;\ #,##0.00;[Red]\(&quot;₹&quot;\ #,##0.00\);\-"/>
    <numFmt numFmtId="166" formatCode="0.0%"/>
    <numFmt numFmtId="167" formatCode="0.0"/>
    <numFmt numFmtId="168" formatCode="&quot;₹&quot;\ #,##0.0;[Red]\(&quot;₹&quot;\ #,##0.0\);\-"/>
    <numFmt numFmtId="169" formatCode="&quot;₹&quot;\ #,##0.00;[Red]&quot;₹&quot;\ #,##0.00"/>
    <numFmt numFmtId="170" formatCode="&quot;₹&quot;\ #,##0;[Red]&quot;₹&quot;\ #,##0"/>
    <numFmt numFmtId="171" formatCode="0&quot; Days&quot;"/>
    <numFmt numFmtId="172" formatCode="#,##0.00;\(#,##0.00\);&quot;-&quot;"/>
    <numFmt numFmtId="173" formatCode="#,##0.0"/>
    <numFmt numFmtId="174" formatCode="&quot;₹&quot;\ #,##0"/>
    <numFmt numFmtId="175" formatCode="&quot;₹&quot;\ #,##0.00"/>
    <numFmt numFmtId="176" formatCode="&quot;₹&quot;\ #,##0.0;\(&quot;₹&quot;\ #,##0.0\);\-"/>
    <numFmt numFmtId="177" formatCode="0.00&quot;x&quot;"/>
    <numFmt numFmtId="178" formatCode="&quot;₹&quot;\ #,##0.0"/>
    <numFmt numFmtId="179" formatCode="0&quot;x&quot;"/>
    <numFmt numFmtId="180" formatCode="0.0&quot;x&quot;"/>
    <numFmt numFmtId="181" formatCode="#,##0.0&quot;x&quot;"/>
    <numFmt numFmtId="182" formatCode="&quot;₹&quot;\ #,##0;\(&quot;₹&quot;\ #,##0\);\-"/>
    <numFmt numFmtId="183" formatCode="#,##0;\(#,##0\);\-"/>
  </numFmts>
  <fonts count="5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0070C0"/>
      <name val="Calibri"/>
      <family val="2"/>
      <scheme val="minor"/>
    </font>
    <font>
      <sz val="11"/>
      <color rgb="FF0070C0"/>
      <name val="Calibri"/>
      <family val="2"/>
      <scheme val="minor"/>
    </font>
    <font>
      <sz val="11"/>
      <color theme="1"/>
      <name val="Calibri"/>
      <family val="2"/>
      <scheme val="minor"/>
    </font>
    <font>
      <i/>
      <sz val="11"/>
      <color theme="1"/>
      <name val="Calibri"/>
      <family val="2"/>
      <scheme val="minor"/>
    </font>
    <font>
      <i/>
      <sz val="11"/>
      <color theme="0" tint="-0.499984740745262"/>
      <name val="Calibri"/>
      <family val="2"/>
      <scheme val="minor"/>
    </font>
    <font>
      <b/>
      <i/>
      <sz val="11"/>
      <color theme="1"/>
      <name val="Calibri"/>
      <family val="2"/>
      <scheme val="minor"/>
    </font>
    <font>
      <b/>
      <i/>
      <sz val="11"/>
      <color theme="0"/>
      <name val="Calibri"/>
      <family val="2"/>
      <scheme val="minor"/>
    </font>
    <font>
      <b/>
      <i/>
      <sz val="11"/>
      <color theme="0" tint="-0.34998626667073579"/>
      <name val="Calibri"/>
      <family val="2"/>
      <scheme val="minor"/>
    </font>
    <font>
      <sz val="11"/>
      <color theme="1"/>
      <name val="Cambria"/>
      <family val="1"/>
    </font>
    <font>
      <i/>
      <sz val="11"/>
      <color theme="0" tint="-0.34998626667073579"/>
      <name val="Calibri"/>
      <family val="2"/>
      <scheme val="minor"/>
    </font>
    <font>
      <b/>
      <u/>
      <sz val="11"/>
      <color theme="1"/>
      <name val="Calibri"/>
      <family val="2"/>
      <scheme val="minor"/>
    </font>
    <font>
      <b/>
      <sz val="11"/>
      <color rgb="FF00B050"/>
      <name val="Calibri"/>
      <family val="2"/>
      <scheme val="minor"/>
    </font>
    <font>
      <i/>
      <sz val="11"/>
      <color theme="0"/>
      <name val="Calibri"/>
      <family val="2"/>
      <scheme val="minor"/>
    </font>
    <font>
      <b/>
      <sz val="12"/>
      <color theme="0"/>
      <name val="Cambria"/>
      <family val="1"/>
    </font>
    <font>
      <b/>
      <sz val="11"/>
      <name val="Cambria"/>
      <family val="1"/>
    </font>
    <font>
      <i/>
      <sz val="11"/>
      <name val="Cambria"/>
      <family val="1"/>
    </font>
    <font>
      <i/>
      <sz val="10"/>
      <color theme="1"/>
      <name val="Calibri"/>
      <family val="2"/>
      <scheme val="minor"/>
    </font>
    <font>
      <b/>
      <sz val="11"/>
      <color theme="0"/>
      <name val="Times New Roman"/>
      <family val="1"/>
    </font>
    <font>
      <sz val="11"/>
      <color theme="1"/>
      <name val="Times New Roman"/>
      <family val="1"/>
    </font>
    <font>
      <sz val="11"/>
      <color theme="0"/>
      <name val="Times New Roman"/>
      <family val="1"/>
    </font>
    <font>
      <b/>
      <sz val="10"/>
      <color theme="1"/>
      <name val="Times New Roman"/>
      <family val="1"/>
    </font>
    <font>
      <sz val="10"/>
      <color theme="1"/>
      <name val="Times New Roman"/>
      <family val="1"/>
    </font>
    <font>
      <b/>
      <sz val="10"/>
      <color theme="0"/>
      <name val="Times New Roman"/>
      <family val="1"/>
    </font>
    <font>
      <sz val="10"/>
      <color theme="0"/>
      <name val="Calibri"/>
      <family val="2"/>
      <scheme val="minor"/>
    </font>
    <font>
      <b/>
      <sz val="10"/>
      <color theme="0"/>
      <name val="Calibri"/>
      <family val="2"/>
      <scheme val="minor"/>
    </font>
    <font>
      <sz val="11"/>
      <color rgb="FF00B050"/>
      <name val="Calibri"/>
      <family val="2"/>
      <scheme val="minor"/>
    </font>
    <font>
      <sz val="10"/>
      <name val="Times New Roman"/>
      <family val="1"/>
    </font>
    <font>
      <b/>
      <sz val="10"/>
      <name val="Times New Roman"/>
      <family val="1"/>
    </font>
    <font>
      <b/>
      <sz val="10"/>
      <name val="Calibri"/>
      <family val="2"/>
      <scheme val="minor"/>
    </font>
    <font>
      <sz val="10"/>
      <name val="Calibri"/>
      <family val="2"/>
      <scheme val="minor"/>
    </font>
    <font>
      <sz val="11"/>
      <color rgb="FF0070C0"/>
      <name val="Times New Roman"/>
      <family val="1"/>
    </font>
    <font>
      <b/>
      <sz val="12"/>
      <color theme="0"/>
      <name val="Calibri"/>
      <family val="2"/>
      <scheme val="minor"/>
    </font>
    <font>
      <i/>
      <sz val="11"/>
      <color theme="5" tint="0.59999389629810485"/>
      <name val="Calibri"/>
      <family val="2"/>
      <scheme val="minor"/>
    </font>
    <font>
      <i/>
      <sz val="11"/>
      <color theme="1" tint="0.14999847407452621"/>
      <name val="Calibri"/>
      <family val="2"/>
      <scheme val="minor"/>
    </font>
    <font>
      <b/>
      <sz val="12"/>
      <color rgb="FFFFFFFF"/>
      <name val="Cambria"/>
      <family val="1"/>
    </font>
    <font>
      <u/>
      <sz val="11"/>
      <color theme="10"/>
      <name val="Calibri"/>
      <family val="2"/>
      <scheme val="minor"/>
    </font>
    <font>
      <i/>
      <u/>
      <sz val="12"/>
      <color theme="1"/>
      <name val="Calibri"/>
      <family val="2"/>
      <scheme val="minor"/>
    </font>
    <font>
      <b/>
      <i/>
      <sz val="10"/>
      <color theme="1"/>
      <name val="Calibri"/>
      <family val="2"/>
      <scheme val="minor"/>
    </font>
    <font>
      <sz val="11"/>
      <color rgb="FF002060"/>
      <name val="Calibri"/>
      <family val="2"/>
      <scheme val="minor"/>
    </font>
    <font>
      <b/>
      <i/>
      <sz val="11"/>
      <color rgb="FF002060"/>
      <name val="Calibri"/>
      <family val="2"/>
      <scheme val="minor"/>
    </font>
    <font>
      <b/>
      <sz val="11"/>
      <color rgb="FF002060"/>
      <name val="Calibri"/>
      <family val="2"/>
      <scheme val="minor"/>
    </font>
    <font>
      <b/>
      <sz val="20"/>
      <color theme="0"/>
      <name val="Calibri"/>
      <family val="2"/>
      <scheme val="minor"/>
    </font>
    <font>
      <b/>
      <sz val="11"/>
      <color theme="1" tint="4.9989318521683403E-2"/>
      <name val="Calibri"/>
      <family val="2"/>
      <scheme val="minor"/>
    </font>
    <font>
      <b/>
      <i/>
      <sz val="11"/>
      <color rgb="FF00B050"/>
      <name val="Calibri"/>
      <family val="2"/>
      <scheme val="minor"/>
    </font>
    <font>
      <i/>
      <sz val="10"/>
      <color rgb="FF00B050"/>
      <name val="Calibri"/>
      <family val="2"/>
      <scheme val="minor"/>
    </font>
    <font>
      <b/>
      <i/>
      <sz val="12"/>
      <color theme="1"/>
      <name val="Calibri"/>
      <family val="2"/>
      <scheme val="minor"/>
    </font>
    <font>
      <i/>
      <sz val="11"/>
      <color theme="3"/>
      <name val="Calibri"/>
      <family val="2"/>
      <scheme val="minor"/>
    </font>
  </fonts>
  <fills count="15">
    <fill>
      <patternFill patternType="none"/>
    </fill>
    <fill>
      <patternFill patternType="gray125"/>
    </fill>
    <fill>
      <patternFill patternType="solid">
        <fgColor theme="5" tint="-0.249977111117893"/>
        <bgColor indexed="64"/>
      </patternFill>
    </fill>
    <fill>
      <patternFill patternType="solid">
        <fgColor rgb="FFA5A5A5"/>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mediumGray">
        <bgColor theme="5" tint="0.59996337778862885"/>
      </patternFill>
    </fill>
    <fill>
      <patternFill patternType="solid">
        <fgColor theme="0"/>
        <bgColor indexed="64"/>
      </patternFill>
    </fill>
    <fill>
      <patternFill patternType="mediumGray">
        <bgColor theme="5" tint="0.39994506668294322"/>
      </patternFill>
    </fill>
    <fill>
      <patternFill patternType="solid">
        <fgColor theme="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s>
  <borders count="82">
    <border>
      <left/>
      <right/>
      <top/>
      <bottom/>
      <diagonal/>
    </border>
    <border>
      <left/>
      <right/>
      <top/>
      <bottom style="thin">
        <color indexed="64"/>
      </bottom>
      <diagonal/>
    </border>
    <border>
      <left/>
      <right/>
      <top style="thin">
        <color indexed="64"/>
      </top>
      <bottom style="medium">
        <color indexed="64"/>
      </bottom>
      <diagonal/>
    </border>
    <border>
      <left/>
      <right/>
      <top style="hair">
        <color auto="1"/>
      </top>
      <bottom style="hair">
        <color auto="1"/>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style="double">
        <color rgb="FF3F3F3F"/>
      </left>
      <right style="double">
        <color rgb="FF3F3F3F"/>
      </right>
      <top style="double">
        <color rgb="FF3F3F3F"/>
      </top>
      <bottom style="double">
        <color rgb="FF3F3F3F"/>
      </bottom>
      <diagonal/>
    </border>
    <border>
      <left/>
      <right/>
      <top style="hair">
        <color auto="1"/>
      </top>
      <bottom/>
      <diagonal/>
    </border>
    <border>
      <left/>
      <right/>
      <top style="hair">
        <color indexed="64"/>
      </top>
      <bottom style="thin">
        <color indexed="64"/>
      </bottom>
      <diagonal/>
    </border>
    <border>
      <left/>
      <right style="thin">
        <color indexed="64"/>
      </right>
      <top style="thin">
        <color indexed="64"/>
      </top>
      <bottom style="thin">
        <color indexed="64"/>
      </bottom>
      <diagonal/>
    </border>
    <border>
      <left/>
      <right style="double">
        <color rgb="FF3F3F3F"/>
      </right>
      <top style="double">
        <color rgb="FF3F3F3F"/>
      </top>
      <bottom style="double">
        <color rgb="FF3F3F3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bottom/>
      <diagonal/>
    </border>
    <border>
      <left/>
      <right/>
      <top/>
      <bottom style="medium">
        <color indexed="64"/>
      </bottom>
      <diagonal/>
    </border>
    <border>
      <left style="hair">
        <color indexed="64"/>
      </left>
      <right style="hair">
        <color indexed="64"/>
      </right>
      <top style="medium">
        <color indexed="64"/>
      </top>
      <bottom/>
      <diagonal/>
    </border>
    <border>
      <left/>
      <right/>
      <top style="medium">
        <color indexed="64"/>
      </top>
      <bottom/>
      <diagonal/>
    </border>
    <border>
      <left/>
      <right/>
      <top style="medium">
        <color indexed="64"/>
      </top>
      <bottom style="thin">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0"/>
      </bottom>
      <diagonal/>
    </border>
    <border>
      <left/>
      <right/>
      <top style="thin">
        <color indexed="64"/>
      </top>
      <bottom style="hair">
        <color indexed="64"/>
      </bottom>
      <diagonal/>
    </border>
    <border>
      <left/>
      <right/>
      <top style="double">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hair">
        <color auto="1"/>
      </left>
      <right style="hair">
        <color auto="1"/>
      </right>
      <top style="hair">
        <color auto="1"/>
      </top>
      <bottom style="hair">
        <color auto="1"/>
      </bottom>
      <diagonal/>
    </border>
    <border>
      <left/>
      <right/>
      <top/>
      <bottom style="hair">
        <color auto="1"/>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hair">
        <color auto="1"/>
      </bottom>
      <diagonal/>
    </border>
    <border>
      <left/>
      <right style="medium">
        <color indexed="64"/>
      </right>
      <top/>
      <bottom style="hair">
        <color auto="1"/>
      </bottom>
      <diagonal/>
    </border>
    <border>
      <left style="medium">
        <color indexed="64"/>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hair">
        <color auto="1"/>
      </top>
      <bottom style="medium">
        <color indexed="64"/>
      </bottom>
      <diagonal/>
    </border>
    <border>
      <left/>
      <right/>
      <top style="hair">
        <color indexed="64"/>
      </top>
      <bottom style="medium">
        <color indexed="64"/>
      </bottom>
      <diagonal/>
    </border>
    <border>
      <left/>
      <right style="medium">
        <color indexed="64"/>
      </right>
      <top style="hair">
        <color auto="1"/>
      </top>
      <bottom style="medium">
        <color indexed="64"/>
      </bottom>
      <diagonal/>
    </border>
    <border>
      <left/>
      <right style="hair">
        <color auto="1"/>
      </right>
      <top style="hair">
        <color auto="1"/>
      </top>
      <bottom style="hair">
        <color auto="1"/>
      </bottom>
      <diagonal/>
    </border>
    <border>
      <left/>
      <right/>
      <top style="medium">
        <color indexed="64"/>
      </top>
      <bottom style="hair">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auto="1"/>
      </left>
      <right/>
      <top style="hair">
        <color auto="1"/>
      </top>
      <bottom/>
      <diagonal/>
    </border>
    <border>
      <left style="hair">
        <color auto="1"/>
      </left>
      <right/>
      <top/>
      <bottom style="hair">
        <color auto="1"/>
      </bottom>
      <diagonal/>
    </border>
    <border>
      <left style="hair">
        <color auto="1"/>
      </left>
      <right/>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indexed="64"/>
      </right>
      <top style="hair">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medium">
        <color indexed="64"/>
      </left>
      <right style="hair">
        <color auto="1"/>
      </right>
      <top style="medium">
        <color indexed="64"/>
      </top>
      <bottom/>
      <diagonal/>
    </border>
    <border>
      <left style="hair">
        <color auto="1"/>
      </left>
      <right style="hair">
        <color auto="1"/>
      </right>
      <top style="medium">
        <color indexed="64"/>
      </top>
      <bottom style="hair">
        <color auto="1"/>
      </bottom>
      <diagonal/>
    </border>
    <border>
      <left style="hair">
        <color auto="1"/>
      </left>
      <right/>
      <top style="medium">
        <color indexed="64"/>
      </top>
      <bottom/>
      <diagonal/>
    </border>
    <border>
      <left style="medium">
        <color indexed="64"/>
      </left>
      <right style="hair">
        <color auto="1"/>
      </right>
      <top/>
      <bottom style="hair">
        <color auto="1"/>
      </bottom>
      <diagonal/>
    </border>
    <border>
      <left/>
      <right style="hair">
        <color auto="1"/>
      </right>
      <top style="hair">
        <color indexed="64"/>
      </top>
      <bottom/>
      <diagonal/>
    </border>
    <border>
      <left/>
      <right style="hair">
        <color auto="1"/>
      </right>
      <top/>
      <bottom style="hair">
        <color auto="1"/>
      </bottom>
      <diagonal/>
    </border>
    <border>
      <left/>
      <right style="hair">
        <color auto="1"/>
      </right>
      <top/>
      <bottom/>
      <diagonal/>
    </border>
  </borders>
  <cellStyleXfs count="5">
    <xf numFmtId="0" fontId="0" fillId="0" borderId="0"/>
    <xf numFmtId="9" fontId="6" fillId="0" borderId="0" applyFont="0" applyFill="0" applyBorder="0" applyAlignment="0" applyProtection="0"/>
    <xf numFmtId="43" fontId="6" fillId="0" borderId="0" applyFont="0" applyFill="0" applyBorder="0" applyAlignment="0" applyProtection="0"/>
    <xf numFmtId="0" fontId="1" fillId="3" borderId="7" applyNumberFormat="0" applyAlignment="0" applyProtection="0"/>
    <xf numFmtId="0" fontId="39" fillId="0" borderId="0" applyNumberFormat="0" applyFill="0" applyBorder="0" applyAlignment="0" applyProtection="0"/>
  </cellStyleXfs>
  <cellXfs count="506">
    <xf numFmtId="0" fontId="0" fillId="0" borderId="0" xfId="0"/>
    <xf numFmtId="0" fontId="2" fillId="0" borderId="0" xfId="0" applyFont="1"/>
    <xf numFmtId="4" fontId="0" fillId="0" borderId="0" xfId="0" applyNumberFormat="1"/>
    <xf numFmtId="0" fontId="0" fillId="0" borderId="0" xfId="0" applyFont="1"/>
    <xf numFmtId="0" fontId="2" fillId="0" borderId="1" xfId="0" applyFont="1" applyBorder="1"/>
    <xf numFmtId="0" fontId="2" fillId="0" borderId="2" xfId="0" applyFont="1" applyBorder="1"/>
    <xf numFmtId="0" fontId="0" fillId="0" borderId="3" xfId="0" applyBorder="1"/>
    <xf numFmtId="0" fontId="1" fillId="2" borderId="0" xfId="0" applyFont="1" applyFill="1"/>
    <xf numFmtId="0" fontId="0" fillId="0" borderId="0" xfId="0" applyAlignment="1">
      <alignment horizontal="left" indent="2"/>
    </xf>
    <xf numFmtId="0" fontId="2" fillId="0" borderId="4" xfId="0" applyFont="1" applyBorder="1"/>
    <xf numFmtId="0" fontId="2" fillId="0" borderId="5" xfId="0" applyFont="1" applyBorder="1"/>
    <xf numFmtId="164" fontId="0" fillId="0" borderId="0" xfId="0" applyNumberFormat="1"/>
    <xf numFmtId="164" fontId="2" fillId="0" borderId="4" xfId="0" applyNumberFormat="1" applyFont="1" applyBorder="1"/>
    <xf numFmtId="164" fontId="2" fillId="0" borderId="5" xfId="0" applyNumberFormat="1" applyFont="1" applyBorder="1"/>
    <xf numFmtId="164" fontId="2" fillId="0" borderId="0" xfId="0" applyNumberFormat="1" applyFont="1"/>
    <xf numFmtId="164" fontId="2" fillId="0" borderId="2" xfId="0" applyNumberFormat="1" applyFont="1" applyBorder="1"/>
    <xf numFmtId="164" fontId="5" fillId="0" borderId="0" xfId="0" applyNumberFormat="1" applyFont="1"/>
    <xf numFmtId="0" fontId="5" fillId="0" borderId="3" xfId="0" applyFont="1" applyBorder="1"/>
    <xf numFmtId="0" fontId="7" fillId="0" borderId="0" xfId="0" applyFont="1"/>
    <xf numFmtId="0" fontId="0" fillId="0" borderId="0" xfId="0" applyAlignment="1">
      <alignment horizontal="left"/>
    </xf>
    <xf numFmtId="9" fontId="7" fillId="0" borderId="0" xfId="1" applyFont="1"/>
    <xf numFmtId="3" fontId="0" fillId="0" borderId="0" xfId="0" applyNumberFormat="1"/>
    <xf numFmtId="1" fontId="0" fillId="0" borderId="0" xfId="0" applyNumberFormat="1"/>
    <xf numFmtId="0" fontId="8" fillId="0" borderId="0" xfId="0" applyFont="1"/>
    <xf numFmtId="9" fontId="8" fillId="0" borderId="0" xfId="1" applyFont="1"/>
    <xf numFmtId="9" fontId="8" fillId="0" borderId="0" xfId="0" applyNumberFormat="1" applyFont="1"/>
    <xf numFmtId="0" fontId="0" fillId="0" borderId="4" xfId="0" applyBorder="1"/>
    <xf numFmtId="0" fontId="9" fillId="0" borderId="0" xfId="0" applyFont="1"/>
    <xf numFmtId="0" fontId="2" fillId="0" borderId="6" xfId="0" applyFont="1" applyBorder="1"/>
    <xf numFmtId="9" fontId="0" fillId="0" borderId="0" xfId="1" applyFont="1"/>
    <xf numFmtId="9" fontId="0" fillId="0" borderId="0" xfId="0" applyNumberFormat="1"/>
    <xf numFmtId="10" fontId="0" fillId="0" borderId="0" xfId="0" applyNumberFormat="1"/>
    <xf numFmtId="168" fontId="0" fillId="0" borderId="0" xfId="0" applyNumberFormat="1"/>
    <xf numFmtId="169" fontId="0" fillId="0" borderId="0" xfId="0" applyNumberFormat="1"/>
    <xf numFmtId="0" fontId="0" fillId="0" borderId="0" xfId="0" applyBorder="1"/>
    <xf numFmtId="0" fontId="0" fillId="0" borderId="0" xfId="0" applyFont="1" applyBorder="1"/>
    <xf numFmtId="170" fontId="2" fillId="0" borderId="5" xfId="0" applyNumberFormat="1" applyFont="1" applyBorder="1"/>
    <xf numFmtId="168" fontId="2" fillId="0" borderId="2" xfId="0" applyNumberFormat="1" applyFont="1" applyBorder="1"/>
    <xf numFmtId="0" fontId="11" fillId="0" borderId="1" xfId="0" applyFont="1" applyBorder="1"/>
    <xf numFmtId="171" fontId="7" fillId="0" borderId="3" xfId="0" applyNumberFormat="1" applyFont="1" applyBorder="1"/>
    <xf numFmtId="171" fontId="7" fillId="0" borderId="8" xfId="0" applyNumberFormat="1" applyFont="1" applyBorder="1"/>
    <xf numFmtId="171" fontId="2" fillId="0" borderId="5" xfId="0" applyNumberFormat="1" applyFont="1" applyBorder="1"/>
    <xf numFmtId="171" fontId="0" fillId="0" borderId="3" xfId="0" applyNumberFormat="1" applyBorder="1"/>
    <xf numFmtId="171" fontId="7" fillId="0" borderId="9" xfId="0" applyNumberFormat="1" applyFont="1" applyBorder="1"/>
    <xf numFmtId="0" fontId="9" fillId="0" borderId="3" xfId="0" applyFont="1" applyBorder="1"/>
    <xf numFmtId="0" fontId="9" fillId="0" borderId="9" xfId="0" applyFont="1" applyBorder="1"/>
    <xf numFmtId="10" fontId="0" fillId="0" borderId="0" xfId="1" applyNumberFormat="1" applyFont="1"/>
    <xf numFmtId="168" fontId="2" fillId="0" borderId="5" xfId="0" applyNumberFormat="1" applyFont="1" applyBorder="1"/>
    <xf numFmtId="0" fontId="13" fillId="0" borderId="0" xfId="0" applyFont="1"/>
    <xf numFmtId="9" fontId="13" fillId="0" borderId="0" xfId="1" applyFont="1"/>
    <xf numFmtId="9" fontId="13" fillId="0" borderId="0" xfId="1" applyNumberFormat="1" applyFont="1"/>
    <xf numFmtId="9" fontId="13" fillId="0" borderId="0" xfId="0" applyNumberFormat="1" applyFont="1"/>
    <xf numFmtId="0" fontId="2" fillId="0" borderId="0" xfId="0" applyFont="1" applyBorder="1"/>
    <xf numFmtId="0" fontId="14" fillId="0" borderId="0" xfId="0" applyFont="1"/>
    <xf numFmtId="164" fontId="2" fillId="0" borderId="10" xfId="0" applyNumberFormat="1" applyFont="1" applyBorder="1"/>
    <xf numFmtId="0" fontId="0" fillId="2" borderId="1" xfId="0" applyFill="1" applyBorder="1"/>
    <xf numFmtId="0" fontId="16" fillId="2" borderId="1" xfId="0" applyFont="1" applyFill="1" applyBorder="1"/>
    <xf numFmtId="0" fontId="1" fillId="2" borderId="4" xfId="0" applyFont="1" applyFill="1" applyBorder="1"/>
    <xf numFmtId="174" fontId="2" fillId="0" borderId="0" xfId="0" applyNumberFormat="1" applyFont="1"/>
    <xf numFmtId="174" fontId="2" fillId="0" borderId="4" xfId="0" applyNumberFormat="1" applyFont="1" applyBorder="1"/>
    <xf numFmtId="175" fontId="2" fillId="0" borderId="6" xfId="0" applyNumberFormat="1" applyFont="1" applyBorder="1"/>
    <xf numFmtId="9" fontId="9" fillId="0" borderId="6" xfId="0" applyNumberFormat="1" applyFont="1" applyBorder="1"/>
    <xf numFmtId="174" fontId="0" fillId="0" borderId="0" xfId="0" applyNumberFormat="1"/>
    <xf numFmtId="174" fontId="2" fillId="0" borderId="2" xfId="0" applyNumberFormat="1" applyFont="1" applyBorder="1"/>
    <xf numFmtId="174" fontId="2" fillId="0" borderId="1" xfId="0" applyNumberFormat="1" applyFont="1" applyBorder="1"/>
    <xf numFmtId="0" fontId="0" fillId="7" borderId="0" xfId="0" applyFill="1"/>
    <xf numFmtId="0" fontId="7" fillId="0" borderId="3" xfId="0" applyFont="1" applyBorder="1"/>
    <xf numFmtId="0" fontId="0" fillId="2" borderId="0" xfId="0" applyFill="1"/>
    <xf numFmtId="0" fontId="0" fillId="0" borderId="12" xfId="0" applyBorder="1"/>
    <xf numFmtId="1" fontId="2" fillId="0" borderId="2" xfId="0" applyNumberFormat="1" applyFont="1" applyBorder="1"/>
    <xf numFmtId="0" fontId="0" fillId="5" borderId="16" xfId="0" applyFill="1" applyBorder="1"/>
    <xf numFmtId="0" fontId="0" fillId="5" borderId="18" xfId="0" applyFill="1" applyBorder="1"/>
    <xf numFmtId="167" fontId="9" fillId="5" borderId="17" xfId="0" applyNumberFormat="1" applyFont="1" applyFill="1" applyBorder="1"/>
    <xf numFmtId="9" fontId="9" fillId="5" borderId="19" xfId="1" applyFont="1" applyFill="1" applyBorder="1"/>
    <xf numFmtId="0" fontId="19" fillId="0" borderId="4" xfId="0" applyFont="1" applyBorder="1" applyAlignment="1">
      <alignment horizontal="center"/>
    </xf>
    <xf numFmtId="0" fontId="19" fillId="0" borderId="21" xfId="0" applyFont="1" applyBorder="1" applyAlignment="1">
      <alignment horizontal="center"/>
    </xf>
    <xf numFmtId="0" fontId="18" fillId="0" borderId="4" xfId="0" applyFont="1" applyBorder="1" applyAlignment="1">
      <alignment horizontal="center"/>
    </xf>
    <xf numFmtId="0" fontId="18" fillId="0" borderId="21" xfId="0" applyFont="1" applyBorder="1" applyAlignment="1">
      <alignment horizontal="center"/>
    </xf>
    <xf numFmtId="167" fontId="18" fillId="0" borderId="4" xfId="0" applyNumberFormat="1" applyFont="1" applyBorder="1" applyAlignment="1">
      <alignment horizontal="center" vertical="center"/>
    </xf>
    <xf numFmtId="167" fontId="18" fillId="0" borderId="21" xfId="0" applyNumberFormat="1" applyFont="1" applyBorder="1" applyAlignment="1">
      <alignment horizontal="center" vertical="center"/>
    </xf>
    <xf numFmtId="0" fontId="0" fillId="0" borderId="22" xfId="0" applyBorder="1"/>
    <xf numFmtId="166" fontId="2" fillId="0" borderId="20" xfId="1" applyNumberFormat="1" applyFont="1" applyBorder="1"/>
    <xf numFmtId="0" fontId="0" fillId="0" borderId="0" xfId="0" applyFill="1" applyBorder="1" applyAlignment="1"/>
    <xf numFmtId="0" fontId="0" fillId="0" borderId="21" xfId="0" applyFill="1" applyBorder="1" applyAlignment="1"/>
    <xf numFmtId="0" fontId="7" fillId="0" borderId="24" xfId="0" applyFont="1" applyFill="1" applyBorder="1" applyAlignment="1">
      <alignment horizontal="center"/>
    </xf>
    <xf numFmtId="0" fontId="7" fillId="0" borderId="24" xfId="0" applyFont="1" applyFill="1" applyBorder="1" applyAlignment="1">
      <alignment horizontal="centerContinuous"/>
    </xf>
    <xf numFmtId="0" fontId="9" fillId="6" borderId="25" xfId="0" applyFont="1" applyFill="1" applyBorder="1"/>
    <xf numFmtId="2" fontId="9" fillId="6" borderId="25" xfId="0" applyNumberFormat="1" applyFont="1" applyFill="1" applyBorder="1"/>
    <xf numFmtId="0" fontId="9" fillId="6" borderId="26" xfId="0" applyFont="1" applyFill="1" applyBorder="1"/>
    <xf numFmtId="2" fontId="9" fillId="6" borderId="26" xfId="0" applyNumberFormat="1" applyFont="1" applyFill="1" applyBorder="1"/>
    <xf numFmtId="0" fontId="9" fillId="6" borderId="27" xfId="0" applyFont="1" applyFill="1" applyBorder="1"/>
    <xf numFmtId="2" fontId="9" fillId="6" borderId="27" xfId="0" applyNumberFormat="1" applyFont="1" applyFill="1" applyBorder="1"/>
    <xf numFmtId="0" fontId="0" fillId="0" borderId="23" xfId="0" applyBorder="1"/>
    <xf numFmtId="0" fontId="0" fillId="0" borderId="13" xfId="0" applyBorder="1"/>
    <xf numFmtId="0" fontId="0" fillId="0" borderId="28" xfId="0" applyBorder="1"/>
    <xf numFmtId="0" fontId="0" fillId="0" borderId="29" xfId="0" applyBorder="1"/>
    <xf numFmtId="0" fontId="7" fillId="0" borderId="30" xfId="0" applyFont="1" applyFill="1" applyBorder="1" applyAlignment="1">
      <alignment horizontal="centerContinuous"/>
    </xf>
    <xf numFmtId="0" fontId="0" fillId="0" borderId="28" xfId="0" applyFill="1" applyBorder="1" applyAlignment="1"/>
    <xf numFmtId="0" fontId="0" fillId="0" borderId="14" xfId="0" applyFill="1" applyBorder="1" applyAlignment="1"/>
    <xf numFmtId="0" fontId="7" fillId="0" borderId="30" xfId="0" applyFont="1" applyFill="1" applyBorder="1" applyAlignment="1">
      <alignment horizontal="center"/>
    </xf>
    <xf numFmtId="0" fontId="7" fillId="0" borderId="31" xfId="0" applyFont="1" applyFill="1" applyBorder="1" applyAlignment="1">
      <alignment horizontal="center"/>
    </xf>
    <xf numFmtId="0" fontId="0" fillId="0" borderId="29" xfId="0" applyFill="1" applyBorder="1" applyAlignment="1"/>
    <xf numFmtId="0" fontId="0" fillId="0" borderId="15" xfId="0" applyFill="1" applyBorder="1" applyAlignment="1"/>
    <xf numFmtId="0" fontId="2" fillId="6" borderId="21" xfId="0" applyFont="1" applyFill="1" applyBorder="1" applyAlignment="1"/>
    <xf numFmtId="0" fontId="20" fillId="0" borderId="0" xfId="0" applyFont="1"/>
    <xf numFmtId="0" fontId="22" fillId="8" borderId="0" xfId="0" applyFont="1" applyFill="1"/>
    <xf numFmtId="0" fontId="23" fillId="8" borderId="0" xfId="0" applyFont="1" applyFill="1" applyAlignment="1"/>
    <xf numFmtId="0" fontId="3" fillId="8" borderId="0" xfId="0" applyFont="1" applyFill="1"/>
    <xf numFmtId="3" fontId="25" fillId="8" borderId="0" xfId="0" applyNumberFormat="1" applyFont="1" applyFill="1"/>
    <xf numFmtId="0" fontId="27" fillId="8" borderId="0" xfId="0" applyFont="1" applyFill="1"/>
    <xf numFmtId="3" fontId="25" fillId="8" borderId="0" xfId="0" applyNumberFormat="1" applyFont="1" applyFill="1" applyBorder="1"/>
    <xf numFmtId="176" fontId="29" fillId="0" borderId="3" xfId="0" applyNumberFormat="1" applyFont="1" applyBorder="1"/>
    <xf numFmtId="0" fontId="29" fillId="0" borderId="3" xfId="0" applyFont="1" applyBorder="1"/>
    <xf numFmtId="174" fontId="0" fillId="0" borderId="3" xfId="0" applyNumberFormat="1" applyBorder="1"/>
    <xf numFmtId="174" fontId="29" fillId="0" borderId="3" xfId="0" applyNumberFormat="1" applyFont="1" applyBorder="1"/>
    <xf numFmtId="177" fontId="0" fillId="0" borderId="3" xfId="0" applyNumberFormat="1" applyBorder="1"/>
    <xf numFmtId="1" fontId="29" fillId="0" borderId="3" xfId="0" applyNumberFormat="1" applyFont="1" applyBorder="1"/>
    <xf numFmtId="167" fontId="29" fillId="0" borderId="3" xfId="0" applyNumberFormat="1" applyFont="1" applyBorder="1"/>
    <xf numFmtId="0" fontId="5" fillId="0" borderId="8" xfId="0" applyFont="1" applyBorder="1"/>
    <xf numFmtId="0" fontId="24" fillId="2" borderId="0" xfId="0" applyFont="1" applyFill="1" applyBorder="1"/>
    <xf numFmtId="9" fontId="24" fillId="2" borderId="0" xfId="1" applyFont="1" applyFill="1" applyBorder="1"/>
    <xf numFmtId="0" fontId="26" fillId="2" borderId="0" xfId="0" applyFont="1" applyFill="1" applyBorder="1"/>
    <xf numFmtId="9" fontId="26" fillId="2" borderId="0" xfId="1" applyFont="1" applyFill="1" applyBorder="1"/>
    <xf numFmtId="3" fontId="26" fillId="2" borderId="0" xfId="0" applyNumberFormat="1" applyFont="1" applyFill="1" applyBorder="1" applyAlignment="1">
      <alignment horizontal="center"/>
    </xf>
    <xf numFmtId="9" fontId="26" fillId="2" borderId="0" xfId="0" applyNumberFormat="1" applyFont="1" applyFill="1" applyBorder="1" applyAlignment="1">
      <alignment horizontal="center"/>
    </xf>
    <xf numFmtId="166" fontId="26" fillId="2" borderId="0" xfId="1" applyNumberFormat="1" applyFont="1" applyFill="1" applyBorder="1" applyAlignment="1">
      <alignment horizontal="center"/>
    </xf>
    <xf numFmtId="0" fontId="28" fillId="2" borderId="0" xfId="0" applyFont="1" applyFill="1" applyBorder="1" applyAlignment="1">
      <alignment horizontal="center"/>
    </xf>
    <xf numFmtId="0" fontId="22" fillId="0" borderId="3" xfId="0" applyFont="1" applyBorder="1"/>
    <xf numFmtId="3" fontId="22" fillId="0" borderId="3" xfId="0" applyNumberFormat="1" applyFont="1" applyBorder="1"/>
    <xf numFmtId="181" fontId="34" fillId="0" borderId="3" xfId="0" applyNumberFormat="1" applyFont="1" applyBorder="1"/>
    <xf numFmtId="174" fontId="22" fillId="0" borderId="3" xfId="2" applyNumberFormat="1" applyFont="1" applyBorder="1"/>
    <xf numFmtId="174" fontId="22" fillId="0" borderId="3" xfId="0" applyNumberFormat="1" applyFont="1" applyBorder="1"/>
    <xf numFmtId="174" fontId="0" fillId="0" borderId="3" xfId="0" applyNumberFormat="1" applyFont="1" applyBorder="1"/>
    <xf numFmtId="1" fontId="0" fillId="0" borderId="3" xfId="0" applyNumberFormat="1" applyFont="1" applyBorder="1"/>
    <xf numFmtId="0" fontId="0" fillId="0" borderId="3" xfId="0" applyFont="1" applyBorder="1"/>
    <xf numFmtId="181" fontId="5" fillId="0" borderId="3" xfId="0" applyNumberFormat="1" applyFont="1" applyBorder="1"/>
    <xf numFmtId="174" fontId="0" fillId="0" borderId="3" xfId="2" applyNumberFormat="1" applyFont="1" applyBorder="1"/>
    <xf numFmtId="10" fontId="0" fillId="0" borderId="3" xfId="1" applyNumberFormat="1" applyFont="1" applyBorder="1"/>
    <xf numFmtId="9" fontId="5" fillId="0" borderId="3" xfId="1" applyFont="1" applyBorder="1"/>
    <xf numFmtId="2" fontId="0" fillId="0" borderId="3" xfId="0" applyNumberFormat="1" applyBorder="1"/>
    <xf numFmtId="9" fontId="0" fillId="0" borderId="3" xfId="1" applyFont="1" applyBorder="1"/>
    <xf numFmtId="0" fontId="21" fillId="2" borderId="0" xfId="0" applyFont="1" applyFill="1" applyBorder="1"/>
    <xf numFmtId="9" fontId="21" fillId="2" borderId="0" xfId="1" applyFont="1" applyFill="1" applyBorder="1"/>
    <xf numFmtId="3" fontId="21" fillId="2" borderId="0" xfId="0" applyNumberFormat="1" applyFont="1" applyFill="1" applyBorder="1"/>
    <xf numFmtId="9" fontId="21" fillId="2" borderId="0" xfId="0" applyNumberFormat="1" applyFont="1" applyFill="1"/>
    <xf numFmtId="166" fontId="21" fillId="2" borderId="0" xfId="1" applyNumberFormat="1" applyFont="1" applyFill="1"/>
    <xf numFmtId="0" fontId="2" fillId="5" borderId="3" xfId="0" applyFont="1" applyFill="1" applyBorder="1"/>
    <xf numFmtId="10" fontId="2" fillId="5" borderId="3" xfId="1" applyNumberFormat="1" applyFont="1" applyFill="1" applyBorder="1"/>
    <xf numFmtId="2" fontId="2" fillId="5" borderId="3" xfId="1" applyNumberFormat="1" applyFont="1" applyFill="1" applyBorder="1"/>
    <xf numFmtId="0" fontId="22" fillId="0" borderId="0" xfId="0" applyFont="1" applyBorder="1"/>
    <xf numFmtId="3" fontId="22" fillId="0" borderId="0" xfId="0" applyNumberFormat="1" applyFont="1" applyBorder="1"/>
    <xf numFmtId="10" fontId="22" fillId="0" borderId="0" xfId="1" applyNumberFormat="1" applyFont="1" applyBorder="1"/>
    <xf numFmtId="0" fontId="0" fillId="0" borderId="21" xfId="0" applyFont="1" applyBorder="1"/>
    <xf numFmtId="10" fontId="6" fillId="0" borderId="21" xfId="1" applyNumberFormat="1" applyFont="1" applyBorder="1"/>
    <xf numFmtId="10" fontId="6" fillId="0" borderId="0" xfId="1" applyNumberFormat="1" applyFont="1" applyBorder="1"/>
    <xf numFmtId="0" fontId="22" fillId="0" borderId="0" xfId="0" applyFont="1" applyFill="1" applyBorder="1"/>
    <xf numFmtId="3" fontId="22" fillId="0" borderId="0" xfId="0" applyNumberFormat="1" applyFont="1" applyFill="1" applyBorder="1"/>
    <xf numFmtId="3" fontId="0" fillId="0" borderId="0" xfId="0" applyNumberFormat="1" applyFont="1" applyBorder="1"/>
    <xf numFmtId="0" fontId="0" fillId="8" borderId="21" xfId="0" applyFont="1" applyFill="1" applyBorder="1"/>
    <xf numFmtId="166" fontId="0" fillId="8" borderId="21" xfId="1" applyNumberFormat="1" applyFont="1" applyFill="1" applyBorder="1"/>
    <xf numFmtId="166" fontId="0" fillId="0" borderId="0" xfId="1" applyNumberFormat="1" applyFont="1" applyBorder="1"/>
    <xf numFmtId="0" fontId="0" fillId="0" borderId="0" xfId="0" applyFont="1" applyFill="1" applyBorder="1"/>
    <xf numFmtId="166" fontId="0" fillId="0" borderId="2" xfId="1" applyNumberFormat="1" applyFont="1" applyBorder="1"/>
    <xf numFmtId="0" fontId="2" fillId="0" borderId="0" xfId="0" applyFont="1" applyFill="1" applyBorder="1"/>
    <xf numFmtId="4" fontId="0" fillId="0" borderId="0" xfId="0" applyNumberFormat="1" applyFont="1" applyBorder="1"/>
    <xf numFmtId="0" fontId="2" fillId="0" borderId="2" xfId="0" applyFont="1" applyFill="1" applyBorder="1"/>
    <xf numFmtId="0" fontId="1" fillId="2" borderId="5" xfId="0" applyFont="1" applyFill="1" applyBorder="1"/>
    <xf numFmtId="178" fontId="0" fillId="0" borderId="0" xfId="0" applyNumberFormat="1"/>
    <xf numFmtId="0" fontId="0" fillId="0" borderId="34" xfId="0" applyBorder="1"/>
    <xf numFmtId="175" fontId="0" fillId="0" borderId="34" xfId="0" applyNumberFormat="1" applyBorder="1"/>
    <xf numFmtId="0" fontId="0" fillId="0" borderId="9" xfId="0" applyBorder="1"/>
    <xf numFmtId="175" fontId="0" fillId="0" borderId="9" xfId="0" applyNumberFormat="1" applyBorder="1"/>
    <xf numFmtId="0" fontId="1" fillId="2" borderId="2" xfId="0" applyFont="1" applyFill="1" applyBorder="1"/>
    <xf numFmtId="175" fontId="1" fillId="2" borderId="2" xfId="0" applyNumberFormat="1" applyFont="1" applyFill="1" applyBorder="1"/>
    <xf numFmtId="0" fontId="7" fillId="4" borderId="33" xfId="0" applyNumberFormat="1" applyFont="1" applyFill="1" applyBorder="1"/>
    <xf numFmtId="179" fontId="7" fillId="4" borderId="33" xfId="0" applyNumberFormat="1" applyFont="1" applyFill="1" applyBorder="1"/>
    <xf numFmtId="0" fontId="7" fillId="4" borderId="3" xfId="0" applyNumberFormat="1" applyFont="1" applyFill="1" applyBorder="1"/>
    <xf numFmtId="9" fontId="7" fillId="4" borderId="3" xfId="1" applyFont="1" applyFill="1" applyBorder="1"/>
    <xf numFmtId="0" fontId="7" fillId="4" borderId="9" xfId="0" applyNumberFormat="1" applyFont="1" applyFill="1" applyBorder="1"/>
    <xf numFmtId="182" fontId="0" fillId="0" borderId="34" xfId="0" applyNumberFormat="1" applyBorder="1"/>
    <xf numFmtId="182" fontId="29" fillId="0" borderId="3" xfId="0" applyNumberFormat="1" applyFont="1" applyBorder="1"/>
    <xf numFmtId="182" fontId="1" fillId="2" borderId="2" xfId="0" applyNumberFormat="1" applyFont="1" applyFill="1" applyBorder="1"/>
    <xf numFmtId="0" fontId="1" fillId="2" borderId="6" xfId="0" applyFont="1" applyFill="1" applyBorder="1"/>
    <xf numFmtId="182" fontId="29" fillId="0" borderId="9" xfId="0" applyNumberFormat="1" applyFont="1" applyBorder="1"/>
    <xf numFmtId="9" fontId="1" fillId="2" borderId="5" xfId="1" applyNumberFormat="1" applyFont="1" applyFill="1" applyBorder="1"/>
    <xf numFmtId="175" fontId="29" fillId="0" borderId="34" xfId="0" applyNumberFormat="1" applyFont="1" applyBorder="1"/>
    <xf numFmtId="9" fontId="1" fillId="2" borderId="2" xfId="1" applyFont="1" applyFill="1" applyBorder="1"/>
    <xf numFmtId="0" fontId="0" fillId="9" borderId="0" xfId="0" applyFill="1"/>
    <xf numFmtId="174" fontId="0" fillId="0" borderId="0" xfId="0" applyNumberFormat="1" applyBorder="1"/>
    <xf numFmtId="174" fontId="0" fillId="0" borderId="21" xfId="0" applyNumberFormat="1" applyBorder="1"/>
    <xf numFmtId="9" fontId="9" fillId="5" borderId="37" xfId="1" applyNumberFormat="1" applyFont="1" applyFill="1" applyBorder="1"/>
    <xf numFmtId="166" fontId="9" fillId="5" borderId="4" xfId="0" applyNumberFormat="1" applyFont="1" applyFill="1" applyBorder="1"/>
    <xf numFmtId="166" fontId="9" fillId="5" borderId="4" xfId="1" applyNumberFormat="1" applyFont="1" applyFill="1" applyBorder="1"/>
    <xf numFmtId="182" fontId="36" fillId="5" borderId="35" xfId="0" applyNumberFormat="1" applyFont="1" applyFill="1" applyBorder="1"/>
    <xf numFmtId="0" fontId="3" fillId="2" borderId="30" xfId="0" applyFont="1" applyFill="1" applyBorder="1"/>
    <xf numFmtId="0" fontId="3" fillId="2" borderId="24" xfId="0" applyFont="1" applyFill="1" applyBorder="1"/>
    <xf numFmtId="0" fontId="0" fillId="2" borderId="39" xfId="0" applyFill="1" applyBorder="1"/>
    <xf numFmtId="166" fontId="9" fillId="5" borderId="40" xfId="0" applyNumberFormat="1" applyFont="1" applyFill="1" applyBorder="1"/>
    <xf numFmtId="174" fontId="0" fillId="0" borderId="29" xfId="0" applyNumberFormat="1" applyBorder="1"/>
    <xf numFmtId="9" fontId="9" fillId="5" borderId="38" xfId="1" applyNumberFormat="1" applyFont="1" applyFill="1" applyBorder="1"/>
    <xf numFmtId="174" fontId="0" fillId="0" borderId="15" xfId="0" applyNumberFormat="1" applyBorder="1"/>
    <xf numFmtId="179" fontId="9" fillId="5" borderId="4" xfId="0" applyNumberFormat="1" applyFont="1" applyFill="1" applyBorder="1"/>
    <xf numFmtId="179" fontId="9" fillId="5" borderId="40" xfId="0" applyNumberFormat="1" applyFont="1" applyFill="1" applyBorder="1"/>
    <xf numFmtId="179" fontId="9" fillId="5" borderId="33" xfId="0" applyNumberFormat="1" applyFont="1" applyFill="1" applyBorder="1"/>
    <xf numFmtId="174" fontId="1" fillId="2" borderId="6" xfId="0" applyNumberFormat="1" applyFont="1" applyFill="1" applyBorder="1"/>
    <xf numFmtId="168" fontId="0" fillId="0" borderId="0" xfId="0" applyNumberFormat="1" applyFont="1"/>
    <xf numFmtId="168" fontId="2" fillId="0" borderId="4" xfId="0" applyNumberFormat="1" applyFont="1" applyBorder="1"/>
    <xf numFmtId="10" fontId="2" fillId="0" borderId="2" xfId="1" applyNumberFormat="1" applyFont="1" applyBorder="1"/>
    <xf numFmtId="10" fontId="2" fillId="0" borderId="0" xfId="1" applyNumberFormat="1" applyFont="1"/>
    <xf numFmtId="10" fontId="2" fillId="0" borderId="4" xfId="1" applyNumberFormat="1" applyFont="1" applyBorder="1"/>
    <xf numFmtId="10" fontId="2" fillId="0" borderId="5" xfId="1" applyNumberFormat="1" applyFont="1" applyBorder="1"/>
    <xf numFmtId="0" fontId="2" fillId="0" borderId="45" xfId="0" applyFont="1" applyBorder="1"/>
    <xf numFmtId="0" fontId="2" fillId="0" borderId="46" xfId="0" applyFont="1" applyBorder="1" applyAlignment="1">
      <alignment horizontal="center"/>
    </xf>
    <xf numFmtId="0" fontId="2" fillId="0" borderId="47" xfId="0" applyFont="1" applyBorder="1" applyAlignment="1">
      <alignment horizontal="center"/>
    </xf>
    <xf numFmtId="0" fontId="0" fillId="0" borderId="48" xfId="0" applyBorder="1"/>
    <xf numFmtId="0" fontId="0" fillId="0" borderId="44" xfId="0" applyBorder="1"/>
    <xf numFmtId="174" fontId="0" fillId="0" borderId="44" xfId="0" applyNumberFormat="1" applyBorder="1"/>
    <xf numFmtId="174" fontId="0" fillId="0" borderId="49" xfId="0" applyNumberFormat="1" applyBorder="1"/>
    <xf numFmtId="0" fontId="0" fillId="0" borderId="50" xfId="0" applyBorder="1"/>
    <xf numFmtId="174" fontId="0" fillId="0" borderId="51" xfId="0" applyNumberFormat="1" applyBorder="1"/>
    <xf numFmtId="0" fontId="0" fillId="0" borderId="52" xfId="0" applyBorder="1"/>
    <xf numFmtId="0" fontId="0" fillId="0" borderId="53" xfId="0" applyBorder="1"/>
    <xf numFmtId="174" fontId="0" fillId="0" borderId="53" xfId="0" applyNumberFormat="1" applyBorder="1"/>
    <xf numFmtId="174" fontId="0" fillId="0" borderId="54" xfId="0" applyNumberFormat="1" applyBorder="1"/>
    <xf numFmtId="0" fontId="1" fillId="2" borderId="12" xfId="0" applyFont="1" applyFill="1" applyBorder="1"/>
    <xf numFmtId="0" fontId="0" fillId="2" borderId="23" xfId="0" applyFill="1" applyBorder="1"/>
    <xf numFmtId="0" fontId="0" fillId="2" borderId="13" xfId="0" applyFill="1" applyBorder="1"/>
    <xf numFmtId="0" fontId="15" fillId="0" borderId="3" xfId="0" applyFont="1" applyBorder="1"/>
    <xf numFmtId="0" fontId="1" fillId="2" borderId="1" xfId="0" applyFont="1" applyFill="1" applyBorder="1"/>
    <xf numFmtId="0" fontId="10" fillId="2" borderId="1" xfId="0" applyFont="1" applyFill="1" applyBorder="1"/>
    <xf numFmtId="0" fontId="22" fillId="0" borderId="44" xfId="0" applyFont="1" applyBorder="1"/>
    <xf numFmtId="3" fontId="22" fillId="0" borderId="44" xfId="0" applyNumberFormat="1" applyFont="1" applyBorder="1"/>
    <xf numFmtId="181" fontId="34" fillId="0" borderId="44" xfId="0" applyNumberFormat="1" applyFont="1" applyBorder="1"/>
    <xf numFmtId="174" fontId="22" fillId="0" borderId="44" xfId="2" applyNumberFormat="1" applyFont="1" applyBorder="1"/>
    <xf numFmtId="174" fontId="22" fillId="0" borderId="44" xfId="0" applyNumberFormat="1" applyFont="1" applyBorder="1"/>
    <xf numFmtId="174" fontId="0" fillId="0" borderId="44" xfId="0" applyNumberFormat="1" applyFont="1" applyBorder="1"/>
    <xf numFmtId="1" fontId="0" fillId="0" borderId="44" xfId="0" applyNumberFormat="1" applyFont="1" applyBorder="1"/>
    <xf numFmtId="0" fontId="21" fillId="2" borderId="5" xfId="0" applyFont="1" applyFill="1" applyBorder="1"/>
    <xf numFmtId="3" fontId="21" fillId="2" borderId="5" xfId="0" applyNumberFormat="1" applyFont="1" applyFill="1" applyBorder="1"/>
    <xf numFmtId="0" fontId="15" fillId="0" borderId="44" xfId="0" applyFont="1" applyBorder="1"/>
    <xf numFmtId="0" fontId="0" fillId="0" borderId="0" xfId="0" applyAlignment="1">
      <alignment horizontal="left" wrapText="1"/>
    </xf>
    <xf numFmtId="0" fontId="0" fillId="0" borderId="0" xfId="0" applyAlignment="1">
      <alignment wrapText="1"/>
    </xf>
    <xf numFmtId="0" fontId="0" fillId="2" borderId="4" xfId="0" applyFill="1" applyBorder="1"/>
    <xf numFmtId="10" fontId="0" fillId="0" borderId="3" xfId="0" applyNumberFormat="1" applyBorder="1"/>
    <xf numFmtId="0" fontId="0" fillId="4" borderId="57" xfId="0" applyFill="1" applyBorder="1"/>
    <xf numFmtId="0" fontId="0" fillId="4" borderId="50" xfId="0" applyFill="1" applyBorder="1"/>
    <xf numFmtId="9" fontId="0" fillId="4" borderId="51" xfId="0" applyNumberFormat="1" applyFill="1" applyBorder="1"/>
    <xf numFmtId="180" fontId="0" fillId="4" borderId="51" xfId="0" applyNumberFormat="1" applyFill="1" applyBorder="1"/>
    <xf numFmtId="0" fontId="0" fillId="4" borderId="52" xfId="0" applyFill="1" applyBorder="1"/>
    <xf numFmtId="174" fontId="0" fillId="4" borderId="54" xfId="0" applyNumberFormat="1" applyFill="1" applyBorder="1"/>
    <xf numFmtId="0" fontId="4" fillId="4" borderId="48" xfId="0" applyFont="1" applyFill="1" applyBorder="1"/>
    <xf numFmtId="0" fontId="4" fillId="4" borderId="49" xfId="0" applyFont="1" applyFill="1" applyBorder="1"/>
    <xf numFmtId="0" fontId="2" fillId="4" borderId="50" xfId="0" applyFont="1" applyFill="1" applyBorder="1"/>
    <xf numFmtId="0" fontId="2" fillId="4" borderId="51" xfId="0" applyFont="1" applyFill="1" applyBorder="1"/>
    <xf numFmtId="0" fontId="0" fillId="4" borderId="21" xfId="0" applyFill="1" applyBorder="1"/>
    <xf numFmtId="0" fontId="2" fillId="4" borderId="57" xfId="0" applyFont="1" applyFill="1" applyBorder="1"/>
    <xf numFmtId="0" fontId="2" fillId="4" borderId="63" xfId="0" applyFont="1" applyFill="1" applyBorder="1"/>
    <xf numFmtId="0" fontId="1" fillId="2" borderId="36" xfId="0" applyFont="1" applyFill="1" applyBorder="1"/>
    <xf numFmtId="0" fontId="10" fillId="2" borderId="1" xfId="0" applyFont="1" applyFill="1" applyBorder="1" applyAlignment="1">
      <alignment horizontal="right"/>
    </xf>
    <xf numFmtId="0" fontId="0" fillId="2" borderId="5" xfId="0" applyFill="1" applyBorder="1"/>
    <xf numFmtId="0" fontId="0" fillId="10" borderId="0" xfId="0" applyFill="1"/>
    <xf numFmtId="0" fontId="2" fillId="10" borderId="0" xfId="0" applyFont="1" applyFill="1"/>
    <xf numFmtId="4" fontId="2" fillId="10" borderId="0" xfId="0" applyNumberFormat="1" applyFont="1" applyFill="1"/>
    <xf numFmtId="0" fontId="1" fillId="10" borderId="5" xfId="0" applyFont="1" applyFill="1" applyBorder="1"/>
    <xf numFmtId="0" fontId="0" fillId="4" borderId="43" xfId="0" applyFont="1" applyFill="1" applyBorder="1" applyAlignment="1">
      <alignment horizontal="left" vertical="top"/>
    </xf>
    <xf numFmtId="0" fontId="41" fillId="0" borderId="0" xfId="0" applyFont="1"/>
    <xf numFmtId="0" fontId="0" fillId="5" borderId="4" xfId="0" applyFill="1" applyBorder="1"/>
    <xf numFmtId="0" fontId="0" fillId="5" borderId="0" xfId="0" applyFill="1" applyBorder="1"/>
    <xf numFmtId="0" fontId="42" fillId="8" borderId="0" xfId="0" applyFont="1" applyFill="1" applyBorder="1"/>
    <xf numFmtId="0" fontId="43" fillId="8" borderId="0" xfId="0" applyFont="1" applyFill="1" applyBorder="1" applyAlignment="1">
      <alignment horizontal="center"/>
    </xf>
    <xf numFmtId="0" fontId="44" fillId="8" borderId="0" xfId="0" applyFont="1" applyFill="1" applyBorder="1" applyAlignment="1">
      <alignment horizontal="center"/>
    </xf>
    <xf numFmtId="0" fontId="35" fillId="2" borderId="0" xfId="0" applyFont="1" applyFill="1" applyBorder="1"/>
    <xf numFmtId="0" fontId="0" fillId="2" borderId="0" xfId="0" applyFill="1" applyBorder="1"/>
    <xf numFmtId="0" fontId="0" fillId="5" borderId="1" xfId="0" applyFill="1" applyBorder="1"/>
    <xf numFmtId="14" fontId="5" fillId="4" borderId="58" xfId="0" applyNumberFormat="1" applyFont="1" applyFill="1" applyBorder="1"/>
    <xf numFmtId="14" fontId="5" fillId="4" borderId="51" xfId="0" applyNumberFormat="1" applyFont="1" applyFill="1" applyBorder="1"/>
    <xf numFmtId="9" fontId="5" fillId="4" borderId="51" xfId="1" applyFont="1" applyFill="1" applyBorder="1"/>
    <xf numFmtId="10" fontId="5" fillId="4" borderId="51" xfId="1" applyNumberFormat="1" applyFont="1" applyFill="1" applyBorder="1"/>
    <xf numFmtId="174" fontId="5" fillId="4" borderId="51" xfId="0" applyNumberFormat="1" applyFont="1" applyFill="1" applyBorder="1"/>
    <xf numFmtId="165" fontId="5" fillId="0" borderId="0" xfId="0" applyNumberFormat="1" applyFont="1"/>
    <xf numFmtId="174" fontId="5" fillId="0" borderId="0" xfId="0" applyNumberFormat="1" applyFont="1"/>
    <xf numFmtId="174" fontId="15" fillId="0" borderId="1" xfId="0" applyNumberFormat="1" applyFont="1" applyBorder="1"/>
    <xf numFmtId="174" fontId="4" fillId="0" borderId="1" xfId="0" applyNumberFormat="1" applyFont="1" applyBorder="1"/>
    <xf numFmtId="174" fontId="15" fillId="0" borderId="0" xfId="0" applyNumberFormat="1" applyFont="1"/>
    <xf numFmtId="174" fontId="46" fillId="0" borderId="0" xfId="0" applyNumberFormat="1" applyFont="1"/>
    <xf numFmtId="168" fontId="15" fillId="0" borderId="0" xfId="0" applyNumberFormat="1" applyFont="1"/>
    <xf numFmtId="9" fontId="47" fillId="0" borderId="6" xfId="1" applyFont="1" applyBorder="1"/>
    <xf numFmtId="170" fontId="0" fillId="0" borderId="3" xfId="0" applyNumberFormat="1" applyBorder="1"/>
    <xf numFmtId="170" fontId="0" fillId="0" borderId="9" xfId="0" applyNumberFormat="1" applyBorder="1"/>
    <xf numFmtId="170" fontId="29" fillId="0" borderId="3" xfId="0" applyNumberFormat="1" applyFont="1" applyBorder="1"/>
    <xf numFmtId="170" fontId="29" fillId="0" borderId="9" xfId="0" applyNumberFormat="1" applyFont="1" applyBorder="1"/>
    <xf numFmtId="178" fontId="29" fillId="0" borderId="0" xfId="0" applyNumberFormat="1" applyFont="1"/>
    <xf numFmtId="164" fontId="29" fillId="0" borderId="0" xfId="0" applyNumberFormat="1" applyFont="1"/>
    <xf numFmtId="15" fontId="5" fillId="0" borderId="20" xfId="0" applyNumberFormat="1" applyFont="1" applyBorder="1"/>
    <xf numFmtId="167" fontId="5" fillId="0" borderId="20" xfId="0" applyNumberFormat="1" applyFont="1" applyBorder="1"/>
    <xf numFmtId="17" fontId="5" fillId="0" borderId="22" xfId="0" applyNumberFormat="1" applyFont="1" applyBorder="1"/>
    <xf numFmtId="167" fontId="5" fillId="0" borderId="22" xfId="0" applyNumberFormat="1" applyFont="1" applyBorder="1"/>
    <xf numFmtId="17" fontId="5" fillId="0" borderId="20" xfId="0" applyNumberFormat="1" applyFont="1" applyBorder="1"/>
    <xf numFmtId="0" fontId="5" fillId="0" borderId="33" xfId="0" applyFont="1" applyBorder="1"/>
    <xf numFmtId="174" fontId="5" fillId="0" borderId="33" xfId="0" applyNumberFormat="1" applyFont="1" applyBorder="1"/>
    <xf numFmtId="2" fontId="5" fillId="0" borderId="33" xfId="0" applyNumberFormat="1" applyFont="1" applyBorder="1"/>
    <xf numFmtId="174" fontId="5" fillId="0" borderId="3" xfId="0" applyNumberFormat="1" applyFont="1" applyBorder="1"/>
    <xf numFmtId="2" fontId="5" fillId="0" borderId="3" xfId="0" applyNumberFormat="1" applyFont="1" applyBorder="1"/>
    <xf numFmtId="0" fontId="5" fillId="0" borderId="9" xfId="0" applyFont="1" applyBorder="1"/>
    <xf numFmtId="174" fontId="5" fillId="0" borderId="9" xfId="0" applyNumberFormat="1" applyFont="1" applyBorder="1"/>
    <xf numFmtId="2" fontId="5" fillId="0" borderId="9" xfId="0" applyNumberFormat="1" applyFont="1" applyBorder="1"/>
    <xf numFmtId="0" fontId="5" fillId="5" borderId="5" xfId="0" applyFont="1" applyFill="1" applyBorder="1"/>
    <xf numFmtId="174" fontId="5" fillId="5" borderId="5" xfId="0" applyNumberFormat="1" applyFont="1" applyFill="1" applyBorder="1"/>
    <xf numFmtId="2" fontId="5" fillId="5" borderId="5" xfId="0" applyNumberFormat="1" applyFont="1" applyFill="1" applyBorder="1"/>
    <xf numFmtId="166" fontId="29" fillId="0" borderId="0" xfId="1" applyNumberFormat="1" applyFont="1" applyBorder="1"/>
    <xf numFmtId="168" fontId="29" fillId="0" borderId="0" xfId="0" applyNumberFormat="1" applyFont="1"/>
    <xf numFmtId="0" fontId="37" fillId="11" borderId="3" xfId="0" applyFont="1" applyFill="1" applyBorder="1" applyAlignment="1">
      <alignment horizontal="left"/>
    </xf>
    <xf numFmtId="9" fontId="37" fillId="11" borderId="3" xfId="1" applyFont="1" applyFill="1" applyBorder="1"/>
    <xf numFmtId="9" fontId="37" fillId="11" borderId="55" xfId="1" applyFont="1" applyFill="1" applyBorder="1"/>
    <xf numFmtId="9" fontId="37" fillId="11" borderId="3" xfId="0" applyNumberFormat="1" applyFont="1" applyFill="1" applyBorder="1"/>
    <xf numFmtId="176" fontId="15" fillId="0" borderId="0" xfId="0" applyNumberFormat="1" applyFont="1"/>
    <xf numFmtId="176" fontId="2" fillId="0" borderId="0" xfId="0" applyNumberFormat="1" applyFont="1"/>
    <xf numFmtId="182" fontId="2" fillId="0" borderId="4" xfId="0" applyNumberFormat="1" applyFont="1" applyBorder="1"/>
    <xf numFmtId="182" fontId="0" fillId="0" borderId="0" xfId="0" applyNumberFormat="1"/>
    <xf numFmtId="182" fontId="4" fillId="0" borderId="1" xfId="0" applyNumberFormat="1" applyFont="1" applyBorder="1"/>
    <xf numFmtId="182" fontId="2" fillId="0" borderId="1" xfId="0" applyNumberFormat="1" applyFont="1" applyBorder="1"/>
    <xf numFmtId="182" fontId="5" fillId="0" borderId="0" xfId="0" applyNumberFormat="1" applyFont="1"/>
    <xf numFmtId="182" fontId="2" fillId="0" borderId="0" xfId="0" applyNumberFormat="1" applyFont="1"/>
    <xf numFmtId="182" fontId="2" fillId="0" borderId="2" xfId="0" applyNumberFormat="1" applyFont="1" applyBorder="1"/>
    <xf numFmtId="165" fontId="2" fillId="0" borderId="4" xfId="0" applyNumberFormat="1" applyFont="1" applyBorder="1"/>
    <xf numFmtId="165" fontId="0" fillId="0" borderId="0" xfId="0" applyNumberFormat="1"/>
    <xf numFmtId="165" fontId="2" fillId="0" borderId="5" xfId="0" applyNumberFormat="1" applyFont="1" applyBorder="1"/>
    <xf numFmtId="165" fontId="2" fillId="0" borderId="0" xfId="0" applyNumberFormat="1" applyFont="1"/>
    <xf numFmtId="0" fontId="1" fillId="2" borderId="0" xfId="0" applyFont="1" applyFill="1" applyBorder="1"/>
    <xf numFmtId="183" fontId="5" fillId="0" borderId="0" xfId="0" applyNumberFormat="1" applyFont="1"/>
    <xf numFmtId="183" fontId="29" fillId="0" borderId="0" xfId="0" applyNumberFormat="1" applyFont="1"/>
    <xf numFmtId="183" fontId="0" fillId="0" borderId="0" xfId="0" applyNumberFormat="1"/>
    <xf numFmtId="183" fontId="2" fillId="0" borderId="0" xfId="0" applyNumberFormat="1" applyFont="1"/>
    <xf numFmtId="183" fontId="2" fillId="0" borderId="2" xfId="0" applyNumberFormat="1" applyFont="1" applyBorder="1"/>
    <xf numFmtId="183" fontId="2" fillId="0" borderId="4" xfId="0" applyNumberFormat="1" applyFont="1" applyBorder="1"/>
    <xf numFmtId="183" fontId="2" fillId="0" borderId="5" xfId="0" applyNumberFormat="1" applyFont="1" applyBorder="1"/>
    <xf numFmtId="183" fontId="0" fillId="0" borderId="0" xfId="0" applyNumberFormat="1" applyFont="1"/>
    <xf numFmtId="164" fontId="2" fillId="0" borderId="1" xfId="0" applyNumberFormat="1" applyFont="1" applyBorder="1"/>
    <xf numFmtId="164" fontId="15" fillId="0" borderId="5" xfId="0" applyNumberFormat="1" applyFont="1" applyBorder="1"/>
    <xf numFmtId="173" fontId="2" fillId="6" borderId="11" xfId="3" applyNumberFormat="1" applyFont="1" applyFill="1" applyBorder="1" applyAlignment="1">
      <alignment horizontal="center"/>
    </xf>
    <xf numFmtId="173" fontId="2" fillId="6" borderId="7" xfId="3" applyNumberFormat="1" applyFont="1" applyFill="1" applyAlignment="1">
      <alignment horizontal="center"/>
    </xf>
    <xf numFmtId="0" fontId="9" fillId="4" borderId="5" xfId="0" applyFont="1" applyFill="1" applyBorder="1"/>
    <xf numFmtId="0" fontId="49" fillId="4" borderId="5" xfId="0" applyFont="1" applyFill="1" applyBorder="1"/>
    <xf numFmtId="182" fontId="2" fillId="0" borderId="5" xfId="0" applyNumberFormat="1" applyFont="1" applyBorder="1"/>
    <xf numFmtId="169" fontId="2" fillId="0" borderId="5" xfId="0" applyNumberFormat="1" applyFont="1" applyBorder="1"/>
    <xf numFmtId="174" fontId="29" fillId="0" borderId="0" xfId="0" applyNumberFormat="1" applyFont="1"/>
    <xf numFmtId="182" fontId="29" fillId="0" borderId="0" xfId="0" applyNumberFormat="1" applyFont="1"/>
    <xf numFmtId="167" fontId="5" fillId="4" borderId="51" xfId="0" applyNumberFormat="1" applyFont="1" applyFill="1" applyBorder="1"/>
    <xf numFmtId="3" fontId="30" fillId="4" borderId="3" xfId="0" applyNumberFormat="1" applyFont="1" applyFill="1" applyBorder="1"/>
    <xf numFmtId="177" fontId="30" fillId="4" borderId="3" xfId="0" applyNumberFormat="1" applyFont="1" applyFill="1" applyBorder="1"/>
    <xf numFmtId="0" fontId="31" fillId="4" borderId="3" xfId="0" applyFont="1" applyFill="1" applyBorder="1"/>
    <xf numFmtId="3" fontId="31" fillId="4" borderId="3" xfId="0" applyNumberFormat="1" applyFont="1" applyFill="1" applyBorder="1"/>
    <xf numFmtId="0" fontId="32" fillId="4" borderId="3" xfId="0" applyFont="1" applyFill="1" applyBorder="1"/>
    <xf numFmtId="177" fontId="31" fillId="4" borderId="3" xfId="0" applyNumberFormat="1" applyFont="1" applyFill="1" applyBorder="1"/>
    <xf numFmtId="0" fontId="30" fillId="4" borderId="3" xfId="0" applyFont="1" applyFill="1" applyBorder="1"/>
    <xf numFmtId="0" fontId="33" fillId="4" borderId="3" xfId="0" applyFont="1" applyFill="1" applyBorder="1"/>
    <xf numFmtId="9" fontId="0" fillId="4" borderId="51" xfId="1" applyNumberFormat="1" applyFont="1" applyFill="1" applyBorder="1"/>
    <xf numFmtId="9" fontId="7" fillId="4" borderId="9" xfId="1" applyNumberFormat="1" applyFont="1" applyFill="1" applyBorder="1"/>
    <xf numFmtId="0" fontId="20" fillId="12" borderId="0" xfId="0" applyFont="1" applyFill="1"/>
    <xf numFmtId="0" fontId="20" fillId="12" borderId="0" xfId="0" applyFont="1" applyFill="1" applyAlignment="1">
      <alignment horizontal="right"/>
    </xf>
    <xf numFmtId="0" fontId="20" fillId="12" borderId="3" xfId="0" applyFont="1" applyFill="1" applyBorder="1"/>
    <xf numFmtId="14" fontId="48" fillId="12" borderId="3" xfId="0" applyNumberFormat="1" applyFont="1" applyFill="1" applyBorder="1"/>
    <xf numFmtId="14" fontId="20" fillId="12" borderId="3" xfId="0" applyNumberFormat="1" applyFont="1" applyFill="1" applyBorder="1"/>
    <xf numFmtId="0" fontId="20" fillId="12" borderId="9" xfId="0" applyFont="1" applyFill="1" applyBorder="1"/>
    <xf numFmtId="2" fontId="20" fillId="12" borderId="9" xfId="0" applyNumberFormat="1" applyFont="1" applyFill="1" applyBorder="1"/>
    <xf numFmtId="166" fontId="2" fillId="0" borderId="2" xfId="1" applyNumberFormat="1" applyFont="1" applyBorder="1"/>
    <xf numFmtId="0" fontId="15" fillId="4" borderId="52" xfId="0" applyFont="1" applyFill="1" applyBorder="1"/>
    <xf numFmtId="0" fontId="15" fillId="4" borderId="54" xfId="0" applyFont="1" applyFill="1" applyBorder="1"/>
    <xf numFmtId="0" fontId="40" fillId="8" borderId="33" xfId="4" applyFont="1" applyFill="1" applyBorder="1"/>
    <xf numFmtId="0" fontId="0" fillId="8" borderId="33" xfId="0" applyFill="1" applyBorder="1"/>
    <xf numFmtId="0" fontId="40" fillId="8" borderId="3" xfId="4" applyFont="1" applyFill="1" applyBorder="1"/>
    <xf numFmtId="0" fontId="0" fillId="8" borderId="3" xfId="0" applyFill="1" applyBorder="1"/>
    <xf numFmtId="0" fontId="40" fillId="8" borderId="9" xfId="4" applyFont="1" applyFill="1" applyBorder="1"/>
    <xf numFmtId="0" fontId="0" fillId="8" borderId="9" xfId="0" applyFill="1" applyBorder="1"/>
    <xf numFmtId="0" fontId="39" fillId="8" borderId="3" xfId="4" applyFill="1" applyBorder="1"/>
    <xf numFmtId="0" fontId="0" fillId="4" borderId="43" xfId="0" applyFont="1" applyFill="1" applyBorder="1" applyAlignment="1">
      <alignment horizontal="left" vertical="center"/>
    </xf>
    <xf numFmtId="0" fontId="0" fillId="4" borderId="43" xfId="0" applyFont="1" applyFill="1" applyBorder="1" applyAlignment="1">
      <alignment horizontal="left"/>
    </xf>
    <xf numFmtId="0" fontId="9" fillId="13" borderId="0" xfId="0" applyFont="1" applyFill="1" applyBorder="1"/>
    <xf numFmtId="9" fontId="2" fillId="13" borderId="0" xfId="0" applyNumberFormat="1" applyFont="1" applyFill="1"/>
    <xf numFmtId="9" fontId="7" fillId="0" borderId="3" xfId="1" applyFont="1" applyBorder="1"/>
    <xf numFmtId="0" fontId="50" fillId="0" borderId="4" xfId="0" applyFont="1" applyBorder="1"/>
    <xf numFmtId="9" fontId="50" fillId="0" borderId="4" xfId="1" applyFont="1" applyBorder="1"/>
    <xf numFmtId="0" fontId="50" fillId="0" borderId="5" xfId="0" applyFont="1" applyBorder="1"/>
    <xf numFmtId="9" fontId="50" fillId="0" borderId="5" xfId="1" applyFont="1" applyBorder="1"/>
    <xf numFmtId="9" fontId="50" fillId="0" borderId="5" xfId="0" applyNumberFormat="1" applyFont="1" applyBorder="1"/>
    <xf numFmtId="4" fontId="9" fillId="0" borderId="0" xfId="0" applyNumberFormat="1" applyFont="1"/>
    <xf numFmtId="1" fontId="2" fillId="0" borderId="1" xfId="0" applyNumberFormat="1" applyFont="1" applyBorder="1"/>
    <xf numFmtId="10" fontId="29" fillId="4" borderId="51" xfId="1" applyNumberFormat="1" applyFont="1" applyFill="1" applyBorder="1"/>
    <xf numFmtId="0" fontId="0" fillId="0" borderId="5" xfId="0" applyBorder="1"/>
    <xf numFmtId="0" fontId="0" fillId="4" borderId="50" xfId="0" applyFill="1" applyBorder="1" applyAlignment="1">
      <alignment horizontal="center"/>
    </xf>
    <xf numFmtId="0" fontId="0" fillId="4" borderId="63" xfId="0" applyFont="1" applyFill="1" applyBorder="1" applyAlignment="1">
      <alignment horizontal="center" wrapText="1"/>
    </xf>
    <xf numFmtId="0" fontId="0" fillId="4" borderId="63" xfId="0" applyFont="1" applyFill="1" applyBorder="1" applyAlignment="1">
      <alignment horizontal="center" vertical="center" wrapText="1"/>
    </xf>
    <xf numFmtId="0" fontId="0" fillId="4" borderId="63" xfId="0" applyFont="1" applyFill="1" applyBorder="1" applyAlignment="1">
      <alignment horizontal="center"/>
    </xf>
    <xf numFmtId="0" fontId="0" fillId="4" borderId="43" xfId="0" applyFont="1" applyFill="1" applyBorder="1" applyAlignment="1">
      <alignment horizontal="left" vertical="center"/>
    </xf>
    <xf numFmtId="166" fontId="7" fillId="4" borderId="3" xfId="0" applyNumberFormat="1" applyFont="1" applyFill="1" applyBorder="1"/>
    <xf numFmtId="15" fontId="5" fillId="0" borderId="22" xfId="0" applyNumberFormat="1" applyFont="1" applyBorder="1"/>
    <xf numFmtId="0" fontId="5" fillId="0" borderId="22" xfId="0" applyFont="1" applyBorder="1"/>
    <xf numFmtId="0" fontId="5" fillId="0" borderId="20" xfId="0" applyFont="1" applyBorder="1"/>
    <xf numFmtId="0" fontId="22" fillId="0" borderId="33" xfId="0" applyFont="1" applyBorder="1"/>
    <xf numFmtId="0" fontId="22" fillId="8" borderId="53" xfId="0" applyFont="1" applyFill="1" applyBorder="1"/>
    <xf numFmtId="166" fontId="7" fillId="0" borderId="33" xfId="1" applyNumberFormat="1" applyFont="1" applyBorder="1"/>
    <xf numFmtId="166" fontId="7" fillId="14" borderId="33" xfId="0" applyNumberFormat="1" applyFont="1" applyFill="1" applyBorder="1"/>
    <xf numFmtId="9" fontId="7" fillId="0" borderId="53" xfId="1" applyFont="1" applyBorder="1"/>
    <xf numFmtId="9" fontId="7" fillId="14" borderId="53" xfId="1" applyFont="1" applyFill="1" applyBorder="1"/>
    <xf numFmtId="0" fontId="0" fillId="4" borderId="70" xfId="0" applyFont="1" applyFill="1" applyBorder="1" applyAlignment="1">
      <alignment horizontal="center" wrapText="1"/>
    </xf>
    <xf numFmtId="0" fontId="1" fillId="2" borderId="5" xfId="0" applyFont="1" applyFill="1" applyBorder="1" applyAlignment="1">
      <alignment horizontal="center"/>
    </xf>
    <xf numFmtId="0" fontId="45" fillId="2" borderId="0" xfId="0" applyFont="1" applyFill="1" applyBorder="1" applyAlignment="1">
      <alignment horizontal="center"/>
    </xf>
    <xf numFmtId="0" fontId="0" fillId="4" borderId="65" xfId="0" applyFont="1" applyFill="1" applyBorder="1" applyAlignment="1">
      <alignment horizontal="center" vertical="center" wrapText="1"/>
    </xf>
    <xf numFmtId="0" fontId="0" fillId="4" borderId="8" xfId="0" applyFont="1" applyFill="1" applyBorder="1" applyAlignment="1">
      <alignment horizontal="center" vertical="center" wrapText="1"/>
    </xf>
    <xf numFmtId="0" fontId="0" fillId="4" borderId="68" xfId="0" applyFont="1" applyFill="1" applyBorder="1" applyAlignment="1">
      <alignment horizontal="center" vertical="center" wrapText="1"/>
    </xf>
    <xf numFmtId="0" fontId="0" fillId="4" borderId="67" xfId="0" applyFont="1" applyFill="1" applyBorder="1" applyAlignment="1">
      <alignment horizontal="center" vertical="center" wrapText="1"/>
    </xf>
    <xf numFmtId="0" fontId="0" fillId="4" borderId="0" xfId="0" applyFont="1" applyFill="1" applyBorder="1" applyAlignment="1">
      <alignment horizontal="center" vertical="center" wrapText="1"/>
    </xf>
    <xf numFmtId="0" fontId="0" fillId="4" borderId="29" xfId="0" applyFont="1" applyFill="1" applyBorder="1" applyAlignment="1">
      <alignment horizontal="center" vertical="center" wrapText="1"/>
    </xf>
    <xf numFmtId="0" fontId="0" fillId="4" borderId="69" xfId="0" applyFont="1" applyFill="1" applyBorder="1" applyAlignment="1">
      <alignment horizontal="center" vertical="center" wrapText="1"/>
    </xf>
    <xf numFmtId="0" fontId="0" fillId="4" borderId="21" xfId="0" applyFont="1" applyFill="1" applyBorder="1" applyAlignment="1">
      <alignment horizontal="center" vertical="center" wrapText="1"/>
    </xf>
    <xf numFmtId="0" fontId="0" fillId="4" borderId="15" xfId="0" applyFont="1" applyFill="1" applyBorder="1" applyAlignment="1">
      <alignment horizontal="center" vertical="center" wrapText="1"/>
    </xf>
    <xf numFmtId="0" fontId="2" fillId="4" borderId="70" xfId="0" applyFont="1" applyFill="1" applyBorder="1" applyAlignment="1">
      <alignment horizontal="left" vertical="center" wrapText="1"/>
    </xf>
    <xf numFmtId="0" fontId="2" fillId="4" borderId="71" xfId="0" applyFont="1" applyFill="1" applyBorder="1" applyAlignment="1">
      <alignment horizontal="left" vertical="center" wrapText="1"/>
    </xf>
    <xf numFmtId="0" fontId="2" fillId="4" borderId="72" xfId="0" applyFont="1" applyFill="1" applyBorder="1" applyAlignment="1">
      <alignment horizontal="left" vertical="center" wrapText="1"/>
    </xf>
    <xf numFmtId="0" fontId="1" fillId="2" borderId="59" xfId="0" applyFont="1" applyFill="1" applyBorder="1" applyAlignment="1">
      <alignment horizontal="center"/>
    </xf>
    <xf numFmtId="0" fontId="1" fillId="2" borderId="60" xfId="0" applyFont="1" applyFill="1" applyBorder="1" applyAlignment="1">
      <alignment horizontal="center"/>
    </xf>
    <xf numFmtId="0" fontId="1" fillId="2" borderId="2" xfId="0" applyFont="1" applyFill="1" applyBorder="1" applyAlignment="1">
      <alignment horizontal="center"/>
    </xf>
    <xf numFmtId="0" fontId="0" fillId="4" borderId="61" xfId="0" applyFill="1" applyBorder="1" applyAlignment="1">
      <alignment horizontal="center"/>
    </xf>
    <xf numFmtId="0" fontId="0" fillId="4" borderId="56" xfId="0" applyFill="1" applyBorder="1" applyAlignment="1">
      <alignment horizontal="center"/>
    </xf>
    <xf numFmtId="0" fontId="0" fillId="4" borderId="58" xfId="0" applyFill="1" applyBorder="1" applyAlignment="1">
      <alignment horizontal="center"/>
    </xf>
    <xf numFmtId="0" fontId="0" fillId="4" borderId="62" xfId="0" applyFill="1" applyBorder="1" applyAlignment="1">
      <alignment horizontal="center"/>
    </xf>
    <xf numFmtId="0" fontId="0" fillId="4" borderId="3" xfId="0" applyFill="1" applyBorder="1" applyAlignment="1">
      <alignment horizontal="center"/>
    </xf>
    <xf numFmtId="0" fontId="0" fillId="4" borderId="51" xfId="0" applyFill="1" applyBorder="1" applyAlignment="1">
      <alignment horizontal="center"/>
    </xf>
    <xf numFmtId="0" fontId="39" fillId="4" borderId="43" xfId="4" applyFill="1" applyBorder="1" applyAlignment="1">
      <alignment horizontal="center"/>
    </xf>
    <xf numFmtId="0" fontId="0" fillId="4" borderId="43" xfId="0" applyFill="1" applyBorder="1" applyAlignment="1">
      <alignment horizontal="center"/>
    </xf>
    <xf numFmtId="0" fontId="0" fillId="4" borderId="64" xfId="0" applyFill="1" applyBorder="1" applyAlignment="1">
      <alignment horizontal="center"/>
    </xf>
    <xf numFmtId="0" fontId="0" fillId="4" borderId="70" xfId="0" applyFont="1" applyFill="1" applyBorder="1" applyAlignment="1">
      <alignment horizontal="center" vertical="center" wrapText="1"/>
    </xf>
    <xf numFmtId="0" fontId="0" fillId="4" borderId="78" xfId="0" applyFont="1" applyFill="1" applyBorder="1" applyAlignment="1">
      <alignment horizontal="center" vertical="center" wrapText="1"/>
    </xf>
    <xf numFmtId="0" fontId="0" fillId="4" borderId="73" xfId="0" applyFont="1" applyFill="1" applyBorder="1" applyAlignment="1">
      <alignment horizontal="center" vertical="center"/>
    </xf>
    <xf numFmtId="0" fontId="0" fillId="4" borderId="74" xfId="0" applyFont="1" applyFill="1" applyBorder="1" applyAlignment="1">
      <alignment horizontal="center" vertical="center"/>
    </xf>
    <xf numFmtId="0" fontId="1" fillId="10" borderId="5" xfId="0" applyFont="1" applyFill="1" applyBorder="1" applyAlignment="1">
      <alignment horizontal="center"/>
    </xf>
    <xf numFmtId="0" fontId="0" fillId="4" borderId="76" xfId="0" applyFont="1" applyFill="1" applyBorder="1" applyAlignment="1">
      <alignment horizontal="left" vertical="center"/>
    </xf>
    <xf numFmtId="0" fontId="0" fillId="4" borderId="43" xfId="0" applyFont="1" applyFill="1" applyBorder="1" applyAlignment="1">
      <alignment horizontal="left" vertical="center"/>
    </xf>
    <xf numFmtId="0" fontId="0" fillId="4" borderId="65" xfId="0" applyFont="1" applyFill="1" applyBorder="1" applyAlignment="1">
      <alignment horizontal="left" vertical="center" wrapText="1"/>
    </xf>
    <xf numFmtId="0" fontId="0" fillId="4" borderId="8" xfId="0" applyFont="1" applyFill="1" applyBorder="1" applyAlignment="1">
      <alignment horizontal="left" vertical="center" wrapText="1"/>
    </xf>
    <xf numFmtId="0" fontId="0" fillId="4" borderId="68" xfId="0" applyFont="1" applyFill="1" applyBorder="1" applyAlignment="1">
      <alignment horizontal="left" vertical="center" wrapText="1"/>
    </xf>
    <xf numFmtId="0" fontId="0" fillId="4" borderId="67" xfId="0" applyFont="1" applyFill="1" applyBorder="1" applyAlignment="1">
      <alignment horizontal="left" vertical="center" wrapText="1"/>
    </xf>
    <xf numFmtId="0" fontId="0" fillId="4" borderId="0" xfId="0" applyFont="1" applyFill="1" applyBorder="1" applyAlignment="1">
      <alignment horizontal="left" vertical="center" wrapText="1"/>
    </xf>
    <xf numFmtId="0" fontId="0" fillId="4" borderId="29" xfId="0" applyFont="1" applyFill="1" applyBorder="1" applyAlignment="1">
      <alignment horizontal="left" vertical="center" wrapText="1"/>
    </xf>
    <xf numFmtId="0" fontId="0" fillId="4" borderId="66" xfId="0" applyFont="1" applyFill="1" applyBorder="1" applyAlignment="1">
      <alignment horizontal="left" vertical="center" wrapText="1"/>
    </xf>
    <xf numFmtId="0" fontId="0" fillId="4" borderId="44" xfId="0" applyFont="1" applyFill="1" applyBorder="1" applyAlignment="1">
      <alignment horizontal="left" vertical="center" wrapText="1"/>
    </xf>
    <xf numFmtId="0" fontId="0" fillId="4" borderId="49" xfId="0" applyFont="1" applyFill="1" applyBorder="1" applyAlignment="1">
      <alignment horizontal="left" vertical="center" wrapText="1"/>
    </xf>
    <xf numFmtId="0" fontId="0" fillId="4" borderId="77" xfId="0" applyFont="1" applyFill="1" applyBorder="1" applyAlignment="1">
      <alignment horizontal="left" vertical="center" wrapText="1"/>
    </xf>
    <xf numFmtId="0" fontId="0" fillId="4" borderId="23" xfId="0" applyFont="1" applyFill="1" applyBorder="1" applyAlignment="1">
      <alignment horizontal="left" vertical="center" wrapText="1"/>
    </xf>
    <xf numFmtId="0" fontId="0" fillId="4" borderId="13" xfId="0" applyFont="1" applyFill="1" applyBorder="1" applyAlignment="1">
      <alignment horizontal="left" vertical="center" wrapText="1"/>
    </xf>
    <xf numFmtId="0" fontId="0" fillId="4" borderId="62" xfId="0" applyFont="1" applyFill="1" applyBorder="1" applyAlignment="1">
      <alignment horizontal="left" vertical="center"/>
    </xf>
    <xf numFmtId="0" fontId="0" fillId="4" borderId="3" xfId="0" applyFont="1" applyFill="1" applyBorder="1" applyAlignment="1">
      <alignment horizontal="left" vertical="center"/>
    </xf>
    <xf numFmtId="0" fontId="0" fillId="4" borderId="51" xfId="0" applyFont="1" applyFill="1" applyBorder="1" applyAlignment="1">
      <alignment horizontal="left" vertical="center"/>
    </xf>
    <xf numFmtId="0" fontId="0" fillId="4" borderId="62" xfId="0" applyFont="1" applyFill="1" applyBorder="1" applyAlignment="1">
      <alignment horizontal="left" vertical="center" wrapText="1"/>
    </xf>
    <xf numFmtId="0" fontId="0" fillId="4" borderId="3" xfId="0" applyFont="1" applyFill="1" applyBorder="1" applyAlignment="1">
      <alignment horizontal="left" vertical="center" wrapText="1"/>
    </xf>
    <xf numFmtId="0" fontId="0" fillId="4" borderId="51" xfId="0" applyFont="1" applyFill="1" applyBorder="1" applyAlignment="1">
      <alignment horizontal="left" vertical="center" wrapText="1"/>
    </xf>
    <xf numFmtId="172" fontId="0" fillId="4" borderId="70" xfId="0" applyNumberFormat="1" applyFont="1" applyFill="1" applyBorder="1" applyAlignment="1">
      <alignment horizontal="center" vertical="center" wrapText="1"/>
    </xf>
    <xf numFmtId="172" fontId="0" fillId="4" borderId="71" xfId="0" applyNumberFormat="1" applyFont="1" applyFill="1" applyBorder="1" applyAlignment="1">
      <alignment horizontal="center" vertical="center" wrapText="1"/>
    </xf>
    <xf numFmtId="172" fontId="0" fillId="4" borderId="78" xfId="0" applyNumberFormat="1" applyFont="1" applyFill="1" applyBorder="1" applyAlignment="1">
      <alignment horizontal="center" vertical="center" wrapText="1"/>
    </xf>
    <xf numFmtId="0" fontId="0" fillId="4" borderId="20" xfId="0" applyFont="1" applyFill="1" applyBorder="1" applyAlignment="1">
      <alignment horizontal="center" vertical="center"/>
    </xf>
    <xf numFmtId="172" fontId="0" fillId="4" borderId="75" xfId="0" applyNumberFormat="1" applyFont="1" applyFill="1" applyBorder="1" applyAlignment="1">
      <alignment horizontal="center" vertical="center" wrapText="1"/>
    </xf>
    <xf numFmtId="0" fontId="0" fillId="4" borderId="22" xfId="0" applyFont="1" applyFill="1" applyBorder="1" applyAlignment="1">
      <alignment horizontal="center" vertical="center"/>
    </xf>
    <xf numFmtId="0" fontId="0" fillId="4" borderId="43" xfId="0" applyFont="1" applyFill="1" applyBorder="1" applyAlignment="1">
      <alignment horizontal="left"/>
    </xf>
    <xf numFmtId="0" fontId="1" fillId="2" borderId="0" xfId="0" applyFont="1" applyFill="1" applyAlignment="1">
      <alignment horizontal="center"/>
    </xf>
    <xf numFmtId="0" fontId="17" fillId="2" borderId="0" xfId="0" applyFont="1" applyFill="1" applyAlignment="1">
      <alignment horizontal="center"/>
    </xf>
    <xf numFmtId="0" fontId="18" fillId="0" borderId="4" xfId="0" applyFont="1" applyBorder="1" applyAlignment="1">
      <alignment horizontal="center" vertical="center"/>
    </xf>
    <xf numFmtId="0" fontId="18" fillId="0" borderId="21" xfId="0" applyFont="1" applyBorder="1" applyAlignment="1">
      <alignment horizontal="center" vertical="center"/>
    </xf>
    <xf numFmtId="0" fontId="21" fillId="2" borderId="32" xfId="0" applyFont="1" applyFill="1" applyBorder="1" applyAlignment="1">
      <alignment horizontal="center"/>
    </xf>
    <xf numFmtId="0" fontId="1" fillId="2" borderId="0" xfId="0" applyFont="1" applyFill="1" applyBorder="1" applyAlignment="1">
      <alignment horizontal="center"/>
    </xf>
    <xf numFmtId="0" fontId="1" fillId="2" borderId="4" xfId="0" applyFont="1" applyFill="1" applyBorder="1" applyAlignment="1">
      <alignment horizontal="center"/>
    </xf>
    <xf numFmtId="0" fontId="1" fillId="2" borderId="24" xfId="0" applyFont="1" applyFill="1" applyBorder="1" applyAlignment="1">
      <alignment horizontal="center"/>
    </xf>
    <xf numFmtId="0" fontId="1" fillId="2" borderId="31" xfId="0" applyFont="1" applyFill="1" applyBorder="1" applyAlignment="1">
      <alignment horizontal="center"/>
    </xf>
    <xf numFmtId="0" fontId="1" fillId="2" borderId="41" xfId="0" applyFont="1" applyFill="1" applyBorder="1" applyAlignment="1">
      <alignment horizontal="center" textRotation="90"/>
    </xf>
    <xf numFmtId="0" fontId="1" fillId="2" borderId="42" xfId="0" applyFont="1" applyFill="1" applyBorder="1" applyAlignment="1">
      <alignment horizontal="center" textRotation="90"/>
    </xf>
    <xf numFmtId="0" fontId="35" fillId="2" borderId="5" xfId="0" applyFont="1" applyFill="1" applyBorder="1" applyAlignment="1">
      <alignment horizontal="center"/>
    </xf>
    <xf numFmtId="0" fontId="1" fillId="2" borderId="6" xfId="0" applyFont="1" applyFill="1" applyBorder="1" applyAlignment="1">
      <alignment horizontal="center"/>
    </xf>
    <xf numFmtId="0" fontId="38" fillId="2" borderId="0" xfId="0" applyFont="1" applyFill="1" applyAlignment="1">
      <alignment horizontal="center" wrapText="1"/>
    </xf>
    <xf numFmtId="0" fontId="12" fillId="0" borderId="3" xfId="0" applyFont="1" applyBorder="1" applyAlignment="1">
      <alignment horizontal="left" wrapText="1"/>
    </xf>
    <xf numFmtId="0" fontId="0" fillId="0" borderId="62" xfId="0" applyBorder="1" applyAlignment="1">
      <alignment horizontal="left" vertical="top" wrapText="1"/>
    </xf>
    <xf numFmtId="0" fontId="0" fillId="0" borderId="3" xfId="0" applyBorder="1" applyAlignment="1">
      <alignment horizontal="left" vertical="top" wrapText="1"/>
    </xf>
    <xf numFmtId="0" fontId="0" fillId="0" borderId="55" xfId="0" applyBorder="1" applyAlignment="1">
      <alignment horizontal="left" vertical="top" wrapText="1"/>
    </xf>
    <xf numFmtId="0" fontId="38" fillId="2" borderId="5" xfId="0" applyFont="1" applyFill="1" applyBorder="1" applyAlignment="1">
      <alignment horizontal="center" wrapText="1"/>
    </xf>
    <xf numFmtId="0" fontId="0" fillId="0" borderId="0" xfId="0" applyAlignment="1">
      <alignment horizontal="left" wrapText="1"/>
    </xf>
    <xf numFmtId="0" fontId="0" fillId="0" borderId="81" xfId="0" applyBorder="1" applyAlignment="1">
      <alignment horizontal="left" wrapText="1"/>
    </xf>
    <xf numFmtId="0" fontId="0" fillId="0" borderId="44" xfId="0" applyBorder="1" applyAlignment="1">
      <alignment horizontal="left" wrapText="1"/>
    </xf>
    <xf numFmtId="0" fontId="0" fillId="0" borderId="80" xfId="0" applyBorder="1" applyAlignment="1">
      <alignment horizontal="left" wrapText="1"/>
    </xf>
    <xf numFmtId="0" fontId="0" fillId="0" borderId="62" xfId="0" applyBorder="1" applyAlignment="1">
      <alignment horizontal="left" wrapText="1"/>
    </xf>
    <xf numFmtId="0" fontId="0" fillId="0" borderId="3" xfId="0" applyBorder="1" applyAlignment="1">
      <alignment horizontal="left" wrapText="1"/>
    </xf>
    <xf numFmtId="0" fontId="0" fillId="0" borderId="55" xfId="0" applyBorder="1" applyAlignment="1">
      <alignment horizontal="left" wrapText="1"/>
    </xf>
    <xf numFmtId="0" fontId="0" fillId="0" borderId="62" xfId="0" applyBorder="1" applyAlignment="1">
      <alignment wrapText="1"/>
    </xf>
    <xf numFmtId="0" fontId="0" fillId="0" borderId="3" xfId="0" applyBorder="1" applyAlignment="1">
      <alignment wrapText="1"/>
    </xf>
    <xf numFmtId="0" fontId="0" fillId="0" borderId="55" xfId="0" applyBorder="1" applyAlignment="1">
      <alignment wrapText="1"/>
    </xf>
    <xf numFmtId="0" fontId="2" fillId="0" borderId="62" xfId="0" applyFont="1" applyBorder="1" applyAlignment="1">
      <alignment horizontal="left" wrapText="1"/>
    </xf>
    <xf numFmtId="0" fontId="2" fillId="0" borderId="3" xfId="0" applyFont="1" applyBorder="1" applyAlignment="1">
      <alignment horizontal="left" wrapText="1"/>
    </xf>
    <xf numFmtId="0" fontId="2" fillId="0" borderId="55" xfId="0" applyFont="1" applyBorder="1" applyAlignment="1">
      <alignment horizontal="left" wrapText="1"/>
    </xf>
    <xf numFmtId="0" fontId="0" fillId="0" borderId="8" xfId="0" applyBorder="1" applyAlignment="1">
      <alignment horizontal="left" wrapText="1"/>
    </xf>
    <xf numFmtId="0" fontId="0" fillId="0" borderId="79" xfId="0" applyBorder="1" applyAlignment="1">
      <alignment horizontal="left" wrapText="1"/>
    </xf>
    <xf numFmtId="0" fontId="0" fillId="2" borderId="0" xfId="0" applyFill="1" applyAlignment="1">
      <alignment horizontal="center"/>
    </xf>
    <xf numFmtId="0" fontId="0" fillId="0" borderId="0" xfId="0" applyAlignment="1">
      <alignment horizontal="center" wrapText="1"/>
    </xf>
    <xf numFmtId="0" fontId="0" fillId="0" borderId="81" xfId="0" applyBorder="1" applyAlignment="1">
      <alignment horizontal="center" wrapText="1"/>
    </xf>
    <xf numFmtId="0" fontId="0" fillId="0" borderId="44" xfId="0" applyBorder="1" applyAlignment="1">
      <alignment horizontal="center" wrapText="1"/>
    </xf>
    <xf numFmtId="0" fontId="0" fillId="0" borderId="80" xfId="0" applyBorder="1" applyAlignment="1">
      <alignment horizontal="center" wrapText="1"/>
    </xf>
    <xf numFmtId="0" fontId="0" fillId="0" borderId="8" xfId="0" applyBorder="1" applyAlignment="1">
      <alignment horizontal="left" vertical="top" wrapText="1"/>
    </xf>
    <xf numFmtId="0" fontId="0" fillId="0" borderId="79" xfId="0" applyBorder="1" applyAlignment="1">
      <alignment horizontal="left" vertical="top" wrapText="1"/>
    </xf>
    <xf numFmtId="0" fontId="0" fillId="0" borderId="44" xfId="0" applyBorder="1" applyAlignment="1">
      <alignment horizontal="left" vertical="top" wrapText="1"/>
    </xf>
    <xf numFmtId="0" fontId="0" fillId="0" borderId="80" xfId="0" applyBorder="1" applyAlignment="1">
      <alignment horizontal="left" vertical="top" wrapText="1"/>
    </xf>
  </cellXfs>
  <cellStyles count="5">
    <cellStyle name="Check Cell" xfId="3" builtinId="23"/>
    <cellStyle name="Comma" xfId="2" builtinId="3"/>
    <cellStyle name="Hyperlink" xfId="4"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chemeClr val="accent2">
                    <a:lumMod val="75000"/>
                  </a:schemeClr>
                </a:solidFill>
              </a:rPr>
              <a:t>Football Field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'Football Field Analysis'!$B$14:$D$14</c:f>
              <c:strCache>
                <c:ptCount val="3"/>
                <c:pt idx="0">
                  <c:v>High</c:v>
                </c:pt>
              </c:strCache>
            </c:strRef>
          </c:tx>
          <c:spPr>
            <a:ln w="19050" cap="rnd">
              <a:noFill/>
              <a:round/>
            </a:ln>
            <a:effectLst/>
          </c:spPr>
          <c:marker>
            <c:symbol val="none"/>
          </c:marker>
          <c:dLbls>
            <c:delete val="1"/>
          </c:dLbls>
          <c:cat>
            <c:strRef>
              <c:f>'Football Field Analysis'!$E$13:$I$13</c:f>
              <c:strCache>
                <c:ptCount val="5"/>
                <c:pt idx="0">
                  <c:v>Comps Median</c:v>
                </c:pt>
                <c:pt idx="1">
                  <c:v>Comps Average</c:v>
                </c:pt>
                <c:pt idx="2">
                  <c:v>DCF (Average)</c:v>
                </c:pt>
                <c:pt idx="3">
                  <c:v>52-Week Hi/LO</c:v>
                </c:pt>
                <c:pt idx="4">
                  <c:v>Market Consenses</c:v>
                </c:pt>
              </c:strCache>
            </c:strRef>
          </c:cat>
          <c:val>
            <c:numRef>
              <c:f>'Football Field Analysis'!$E$14:$I$14</c:f>
              <c:numCache>
                <c:formatCode>"₹"\ #,##0</c:formatCode>
                <c:ptCount val="5"/>
                <c:pt idx="0">
                  <c:v>1343.5717566682622</c:v>
                </c:pt>
                <c:pt idx="1">
                  <c:v>1337.4393467819784</c:v>
                </c:pt>
                <c:pt idx="2">
                  <c:v>2172</c:v>
                </c:pt>
                <c:pt idx="3">
                  <c:v>766</c:v>
                </c:pt>
                <c:pt idx="4">
                  <c:v>625</c:v>
                </c:pt>
              </c:numCache>
            </c:numRef>
          </c:val>
          <c:smooth val="0"/>
          <c:extLst>
            <c:ext xmlns:c16="http://schemas.microsoft.com/office/drawing/2014/chart" uri="{C3380CC4-5D6E-409C-BE32-E72D297353CC}">
              <c16:uniqueId val="{00000000-C7B3-44DF-8164-4132D22C2683}"/>
            </c:ext>
          </c:extLst>
        </c:ser>
        <c:ser>
          <c:idx val="1"/>
          <c:order val="1"/>
          <c:tx>
            <c:strRef>
              <c:f>'Football Field Analysis'!$B$15:$D$15</c:f>
              <c:strCache>
                <c:ptCount val="3"/>
                <c:pt idx="0">
                  <c:v>High</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Analysis'!$E$13:$I$13</c:f>
              <c:strCache>
                <c:ptCount val="5"/>
                <c:pt idx="0">
                  <c:v>Comps Median</c:v>
                </c:pt>
                <c:pt idx="1">
                  <c:v>Comps Average</c:v>
                </c:pt>
                <c:pt idx="2">
                  <c:v>DCF (Average)</c:v>
                </c:pt>
                <c:pt idx="3">
                  <c:v>52-Week Hi/LO</c:v>
                </c:pt>
                <c:pt idx="4">
                  <c:v>Market Consenses</c:v>
                </c:pt>
              </c:strCache>
            </c:strRef>
          </c:cat>
          <c:val>
            <c:numRef>
              <c:f>'Football Field Analysis'!$E$15:$I$15</c:f>
              <c:numCache>
                <c:formatCode>"₹"\ #,##0</c:formatCode>
                <c:ptCount val="5"/>
                <c:pt idx="0">
                  <c:v>1343.5717566682622</c:v>
                </c:pt>
                <c:pt idx="1">
                  <c:v>1337.4393467819784</c:v>
                </c:pt>
                <c:pt idx="2">
                  <c:v>2172</c:v>
                </c:pt>
                <c:pt idx="3">
                  <c:v>766</c:v>
                </c:pt>
                <c:pt idx="4">
                  <c:v>625</c:v>
                </c:pt>
              </c:numCache>
            </c:numRef>
          </c:val>
          <c:smooth val="0"/>
          <c:extLst>
            <c:ext xmlns:c16="http://schemas.microsoft.com/office/drawing/2014/chart" uri="{C3380CC4-5D6E-409C-BE32-E72D297353CC}">
              <c16:uniqueId val="{00000001-C7B3-44DF-8164-4132D22C2683}"/>
            </c:ext>
          </c:extLst>
        </c:ser>
        <c:ser>
          <c:idx val="2"/>
          <c:order val="2"/>
          <c:tx>
            <c:strRef>
              <c:f>'Football Field Analysis'!$B$16:$D$16</c:f>
              <c:strCache>
                <c:ptCount val="3"/>
                <c:pt idx="0">
                  <c:v>Low</c:v>
                </c:pt>
              </c:strCache>
            </c:strRef>
          </c:tx>
          <c:spPr>
            <a:ln w="19050" cap="rnd">
              <a:noFill/>
              <a:round/>
            </a:ln>
            <a:effectLst/>
          </c:spPr>
          <c:marker>
            <c:symbol val="none"/>
          </c:marker>
          <c:dLbls>
            <c:delete val="1"/>
          </c:dLbls>
          <c:cat>
            <c:strRef>
              <c:f>'Football Field Analysis'!$E$13:$I$13</c:f>
              <c:strCache>
                <c:ptCount val="5"/>
                <c:pt idx="0">
                  <c:v>Comps Median</c:v>
                </c:pt>
                <c:pt idx="1">
                  <c:v>Comps Average</c:v>
                </c:pt>
                <c:pt idx="2">
                  <c:v>DCF (Average)</c:v>
                </c:pt>
                <c:pt idx="3">
                  <c:v>52-Week Hi/LO</c:v>
                </c:pt>
                <c:pt idx="4">
                  <c:v>Market Consenses</c:v>
                </c:pt>
              </c:strCache>
            </c:strRef>
          </c:cat>
          <c:val>
            <c:numRef>
              <c:f>'Football Field Analysis'!$E$16:$I$16</c:f>
              <c:numCache>
                <c:formatCode>"₹"\ #,##0</c:formatCode>
                <c:ptCount val="5"/>
                <c:pt idx="0">
                  <c:v>435.57919208837177</c:v>
                </c:pt>
                <c:pt idx="1">
                  <c:v>483.02775119612562</c:v>
                </c:pt>
                <c:pt idx="2">
                  <c:v>89</c:v>
                </c:pt>
                <c:pt idx="3">
                  <c:v>344</c:v>
                </c:pt>
                <c:pt idx="4">
                  <c:v>370</c:v>
                </c:pt>
              </c:numCache>
            </c:numRef>
          </c:val>
          <c:smooth val="0"/>
          <c:extLst>
            <c:ext xmlns:c16="http://schemas.microsoft.com/office/drawing/2014/chart" uri="{C3380CC4-5D6E-409C-BE32-E72D297353CC}">
              <c16:uniqueId val="{00000002-C7B3-44DF-8164-4132D22C2683}"/>
            </c:ext>
          </c:extLst>
        </c:ser>
        <c:ser>
          <c:idx val="3"/>
          <c:order val="3"/>
          <c:tx>
            <c:strRef>
              <c:f>'Football Field Analysis'!$B$17:$D$17</c:f>
              <c:strCache>
                <c:ptCount val="3"/>
                <c:pt idx="0">
                  <c:v>Low</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Analysis'!$E$13:$I$13</c:f>
              <c:strCache>
                <c:ptCount val="5"/>
                <c:pt idx="0">
                  <c:v>Comps Median</c:v>
                </c:pt>
                <c:pt idx="1">
                  <c:v>Comps Average</c:v>
                </c:pt>
                <c:pt idx="2">
                  <c:v>DCF (Average)</c:v>
                </c:pt>
                <c:pt idx="3">
                  <c:v>52-Week Hi/LO</c:v>
                </c:pt>
                <c:pt idx="4">
                  <c:v>Market Consenses</c:v>
                </c:pt>
              </c:strCache>
            </c:strRef>
          </c:cat>
          <c:val>
            <c:numRef>
              <c:f>'Football Field Analysis'!$E$17:$I$17</c:f>
              <c:numCache>
                <c:formatCode>"₹"\ #,##0</c:formatCode>
                <c:ptCount val="5"/>
                <c:pt idx="0">
                  <c:v>435.57919208837177</c:v>
                </c:pt>
                <c:pt idx="1">
                  <c:v>483.02775119612562</c:v>
                </c:pt>
                <c:pt idx="2">
                  <c:v>89</c:v>
                </c:pt>
                <c:pt idx="3">
                  <c:v>344</c:v>
                </c:pt>
                <c:pt idx="4">
                  <c:v>370</c:v>
                </c:pt>
              </c:numCache>
            </c:numRef>
          </c:val>
          <c:smooth val="0"/>
          <c:extLst>
            <c:ext xmlns:c16="http://schemas.microsoft.com/office/drawing/2014/chart" uri="{C3380CC4-5D6E-409C-BE32-E72D297353CC}">
              <c16:uniqueId val="{00000003-C7B3-44DF-8164-4132D22C2683}"/>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accent2">
                  <a:lumMod val="75000"/>
                </a:schemeClr>
              </a:solidFill>
              <a:ln w="9525" cap="flat" cmpd="sng" algn="ctr">
                <a:solidFill>
                  <a:schemeClr val="tx1">
                    <a:lumMod val="65000"/>
                    <a:lumOff val="35000"/>
                  </a:schemeClr>
                </a:solidFill>
                <a:round/>
              </a:ln>
              <a:effectLst/>
            </c:spPr>
          </c:downBars>
        </c:upDownBars>
        <c:axId val="867881272"/>
        <c:axId val="867880944"/>
      </c:stockChart>
      <c:catAx>
        <c:axId val="867881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7880944"/>
        <c:crosses val="autoZero"/>
        <c:auto val="1"/>
        <c:lblAlgn val="ctr"/>
        <c:lblOffset val="100"/>
        <c:noMultiLvlLbl val="0"/>
      </c:catAx>
      <c:valAx>
        <c:axId val="86788094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7881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accent2">
                    <a:lumMod val="75000"/>
                  </a:schemeClr>
                </a:solidFill>
                <a:latin typeface="+mn-lt"/>
                <a:ea typeface="+mn-ea"/>
                <a:cs typeface="+mn-cs"/>
              </a:defRPr>
            </a:pPr>
            <a:r>
              <a:rPr lang="en-IN" b="1" u="sng">
                <a:solidFill>
                  <a:schemeClr val="accent2">
                    <a:lumMod val="75000"/>
                  </a:schemeClr>
                </a:solidFill>
              </a:rPr>
              <a:t>Gross Profit &amp; Gross Margin</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accent2">
                  <a:lumMod val="7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[1]Sheet1!$B$6</c:f>
              <c:strCache>
                <c:ptCount val="1"/>
                <c:pt idx="0">
                  <c:v>Gross Profit</c:v>
                </c:pt>
              </c:strCache>
            </c:strRef>
          </c:tx>
          <c:spPr>
            <a:solidFill>
              <a:schemeClr val="accent2">
                <a:lumMod val="75000"/>
              </a:schemeClr>
            </a:solidFill>
            <a:ln w="9525" cap="flat" cmpd="sng" algn="ctr">
              <a:solidFill>
                <a:schemeClr val="accent1">
                  <a:shade val="95000"/>
                </a:schemeClr>
              </a:solidFill>
              <a:round/>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[1]Sheet1!$C$5:$Q$5</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[1]Sheet1!$C$6:$Q$6</c:f>
              <c:numCache>
                <c:formatCode>General</c:formatCode>
                <c:ptCount val="15"/>
                <c:pt idx="0">
                  <c:v>2377.5399999999995</c:v>
                </c:pt>
                <c:pt idx="1">
                  <c:v>3231.0600000000004</c:v>
                </c:pt>
                <c:pt idx="2">
                  <c:v>2776.91</c:v>
                </c:pt>
                <c:pt idx="3">
                  <c:v>2488.9200000000005</c:v>
                </c:pt>
                <c:pt idx="4">
                  <c:v>2616.2000000000007</c:v>
                </c:pt>
                <c:pt idx="5">
                  <c:v>3385.7072034338771</c:v>
                </c:pt>
                <c:pt idx="6">
                  <c:v>3758.7509938134117</c:v>
                </c:pt>
                <c:pt idx="7">
                  <c:v>4185.8556925434686</c:v>
                </c:pt>
                <c:pt idx="8">
                  <c:v>4675.9298036814034</c:v>
                </c:pt>
                <c:pt idx="9">
                  <c:v>5239.5351187289389</c:v>
                </c:pt>
                <c:pt idx="10">
                  <c:v>5889.2237335062709</c:v>
                </c:pt>
                <c:pt idx="11">
                  <c:v>6639.9499072756789</c:v>
                </c:pt>
                <c:pt idx="12">
                  <c:v>7509.574677739316</c:v>
                </c:pt>
                <c:pt idx="13">
                  <c:v>8519.4857351305091</c:v>
                </c:pt>
                <c:pt idx="14">
                  <c:v>9695.3608978306365</c:v>
                </c:pt>
              </c:numCache>
            </c:numRef>
          </c:val>
          <c:extLst>
            <c:ext xmlns:c16="http://schemas.microsoft.com/office/drawing/2014/chart" uri="{C3380CC4-5D6E-409C-BE32-E72D297353CC}">
              <c16:uniqueId val="{00000000-DCD6-49EC-B91F-293209D107D0}"/>
            </c:ext>
          </c:extLst>
        </c:ser>
        <c:dLbls>
          <c:showLegendKey val="0"/>
          <c:showVal val="0"/>
          <c:showCatName val="0"/>
          <c:showSerName val="0"/>
          <c:showPercent val="0"/>
          <c:showBubbleSize val="0"/>
        </c:dLbls>
        <c:gapWidth val="219"/>
        <c:overlap val="-27"/>
        <c:axId val="522502912"/>
        <c:axId val="522506192"/>
      </c:barChart>
      <c:lineChart>
        <c:grouping val="standard"/>
        <c:varyColors val="0"/>
        <c:ser>
          <c:idx val="1"/>
          <c:order val="1"/>
          <c:tx>
            <c:strRef>
              <c:f>[1]Sheet1!$B$7</c:f>
              <c:strCache>
                <c:ptCount val="1"/>
                <c:pt idx="0">
                  <c:v>Gross Margin</c:v>
                </c:pt>
              </c:strCache>
            </c:strRef>
          </c:tx>
          <c:spPr>
            <a:ln w="15875" cap="rnd">
              <a:solidFill>
                <a:srgbClr val="00B050"/>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[1]Sheet1!$C$5:$Q$5</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[1]Sheet1!$C$7:$Q$7</c:f>
              <c:numCache>
                <c:formatCode>General</c:formatCode>
                <c:ptCount val="15"/>
                <c:pt idx="0">
                  <c:v>0.52762699451854145</c:v>
                </c:pt>
                <c:pt idx="1">
                  <c:v>0.53094317485305265</c:v>
                </c:pt>
                <c:pt idx="2">
                  <c:v>0.41956280652345368</c:v>
                </c:pt>
                <c:pt idx="3">
                  <c:v>0.390676210209079</c:v>
                </c:pt>
                <c:pt idx="4">
                  <c:v>0.35979712074286385</c:v>
                </c:pt>
                <c:pt idx="5">
                  <c:v>0.41707668248129198</c:v>
                </c:pt>
                <c:pt idx="6">
                  <c:v>0.41207668248129187</c:v>
                </c:pt>
                <c:pt idx="7">
                  <c:v>0.40707668248129186</c:v>
                </c:pt>
                <c:pt idx="8">
                  <c:v>0.40207668248129197</c:v>
                </c:pt>
                <c:pt idx="9">
                  <c:v>0.39707668248129185</c:v>
                </c:pt>
                <c:pt idx="10">
                  <c:v>0.39207668248129196</c:v>
                </c:pt>
                <c:pt idx="11">
                  <c:v>0.38707668248129184</c:v>
                </c:pt>
                <c:pt idx="12">
                  <c:v>0.38207668248129184</c:v>
                </c:pt>
                <c:pt idx="13">
                  <c:v>0.37707668248129189</c:v>
                </c:pt>
                <c:pt idx="14">
                  <c:v>0.37207668248129189</c:v>
                </c:pt>
              </c:numCache>
            </c:numRef>
          </c:val>
          <c:smooth val="0"/>
          <c:extLst>
            <c:ext xmlns:c16="http://schemas.microsoft.com/office/drawing/2014/chart" uri="{C3380CC4-5D6E-409C-BE32-E72D297353CC}">
              <c16:uniqueId val="{00000001-DCD6-49EC-B91F-293209D107D0}"/>
            </c:ext>
          </c:extLst>
        </c:ser>
        <c:dLbls>
          <c:showLegendKey val="0"/>
          <c:showVal val="0"/>
          <c:showCatName val="0"/>
          <c:showSerName val="0"/>
          <c:showPercent val="0"/>
          <c:showBubbleSize val="0"/>
        </c:dLbls>
        <c:marker val="1"/>
        <c:smooth val="0"/>
        <c:axId val="522500944"/>
        <c:axId val="522507832"/>
      </c:lineChart>
      <c:catAx>
        <c:axId val="52250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22506192"/>
        <c:crosses val="autoZero"/>
        <c:auto val="1"/>
        <c:lblAlgn val="ctr"/>
        <c:lblOffset val="100"/>
        <c:noMultiLvlLbl val="0"/>
      </c:catAx>
      <c:valAx>
        <c:axId val="52250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50000"/>
                    <a:lumOff val="50000"/>
                  </a:schemeClr>
                </a:solidFill>
                <a:latin typeface="+mn-lt"/>
                <a:ea typeface="+mn-ea"/>
                <a:cs typeface="+mn-cs"/>
              </a:defRPr>
            </a:pPr>
            <a:endParaRPr lang="en-US"/>
          </a:p>
        </c:txPr>
        <c:crossAx val="522502912"/>
        <c:crosses val="autoZero"/>
        <c:crossBetween val="between"/>
      </c:valAx>
      <c:valAx>
        <c:axId val="5225078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22500944"/>
        <c:crosses val="max"/>
        <c:crossBetween val="between"/>
      </c:valAx>
      <c:catAx>
        <c:axId val="522500944"/>
        <c:scaling>
          <c:orientation val="minMax"/>
        </c:scaling>
        <c:delete val="1"/>
        <c:axPos val="b"/>
        <c:numFmt formatCode="General" sourceLinked="1"/>
        <c:majorTickMark val="none"/>
        <c:minorTickMark val="none"/>
        <c:tickLblPos val="nextTo"/>
        <c:crossAx val="5225078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200" b="1" u="sng">
                <a:solidFill>
                  <a:schemeClr val="accent2">
                    <a:lumMod val="75000"/>
                  </a:schemeClr>
                </a:solidFill>
              </a:rPr>
              <a:t>EBITDA &amp; EBITDA MARGIN</a:t>
            </a:r>
          </a:p>
        </c:rich>
      </c:tx>
      <c:layout>
        <c:manualLayout>
          <c:xMode val="edge"/>
          <c:yMode val="edge"/>
          <c:x val="0.34762492177713711"/>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[1]Sheet2!$B$6</c:f>
              <c:strCache>
                <c:ptCount val="1"/>
                <c:pt idx="0">
                  <c:v>EBITDA</c:v>
                </c:pt>
              </c:strCache>
            </c:strRef>
          </c:tx>
          <c:spPr>
            <a:solidFill>
              <a:schemeClr val="accent2">
                <a:lumMod val="75000"/>
              </a:schemeClr>
            </a:solidFill>
            <a:ln w="9525" cap="flat" cmpd="sng" algn="ctr">
              <a:solidFill>
                <a:schemeClr val="accent2">
                  <a:lumMod val="75000"/>
                </a:schemeClr>
              </a:solidFill>
              <a:round/>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[1]Sheet2!$C$5:$Q$5</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[1]Sheet2!$C$6:$Q$6</c:f>
              <c:numCache>
                <c:formatCode>General</c:formatCode>
                <c:ptCount val="15"/>
                <c:pt idx="0">
                  <c:v>981.52999999999929</c:v>
                </c:pt>
                <c:pt idx="1">
                  <c:v>1720.1100000000004</c:v>
                </c:pt>
                <c:pt idx="2">
                  <c:v>1088.97</c:v>
                </c:pt>
                <c:pt idx="3">
                  <c:v>974.15000000000032</c:v>
                </c:pt>
                <c:pt idx="4">
                  <c:v>1000.4500000000007</c:v>
                </c:pt>
                <c:pt idx="5">
                  <c:v>1319.1137002602215</c:v>
                </c:pt>
                <c:pt idx="6">
                  <c:v>1459.4217165496559</c:v>
                </c:pt>
                <c:pt idx="7">
                  <c:v>1619.5106761833126</c:v>
                </c:pt>
                <c:pt idx="8">
                  <c:v>1802.5443041844815</c:v>
                </c:pt>
                <c:pt idx="9">
                  <c:v>2012.2562732622328</c:v>
                </c:pt>
                <c:pt idx="10">
                  <c:v>2253.0627699225947</c:v>
                </c:pt>
                <c:pt idx="11">
                  <c:v>2530.1992439858263</c:v>
                </c:pt>
                <c:pt idx="12">
                  <c:v>2849.8869271017838</c:v>
                </c:pt>
                <c:pt idx="13">
                  <c:v>3219.5360826587826</c:v>
                </c:pt>
                <c:pt idx="14">
                  <c:v>3647.994685443794</c:v>
                </c:pt>
              </c:numCache>
            </c:numRef>
          </c:val>
          <c:extLst>
            <c:ext xmlns:c16="http://schemas.microsoft.com/office/drawing/2014/chart" uri="{C3380CC4-5D6E-409C-BE32-E72D297353CC}">
              <c16:uniqueId val="{00000000-F96C-4F01-B222-DB66D7D5AE50}"/>
            </c:ext>
          </c:extLst>
        </c:ser>
        <c:dLbls>
          <c:showLegendKey val="0"/>
          <c:showVal val="0"/>
          <c:showCatName val="0"/>
          <c:showSerName val="0"/>
          <c:showPercent val="0"/>
          <c:showBubbleSize val="0"/>
        </c:dLbls>
        <c:gapWidth val="219"/>
        <c:overlap val="-27"/>
        <c:axId val="532991296"/>
        <c:axId val="532988344"/>
      </c:barChart>
      <c:lineChart>
        <c:grouping val="standard"/>
        <c:varyColors val="0"/>
        <c:ser>
          <c:idx val="1"/>
          <c:order val="1"/>
          <c:tx>
            <c:strRef>
              <c:f>[1]Sheet2!$B$7</c:f>
              <c:strCache>
                <c:ptCount val="1"/>
                <c:pt idx="0">
                  <c:v>EBITDA Margin</c:v>
                </c:pt>
              </c:strCache>
            </c:strRef>
          </c:tx>
          <c:spPr>
            <a:ln w="15875" cap="rnd">
              <a:solidFill>
                <a:srgbClr val="00B050"/>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[1]Sheet2!$C$5:$Q$5</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[1]Sheet2!$C$7:$Q$7</c:f>
              <c:numCache>
                <c:formatCode>General</c:formatCode>
                <c:ptCount val="15"/>
                <c:pt idx="0">
                  <c:v>0.21782250726792557</c:v>
                </c:pt>
                <c:pt idx="1">
                  <c:v>0.28265667133896755</c:v>
                </c:pt>
                <c:pt idx="2">
                  <c:v>0.16453227127268991</c:v>
                </c:pt>
                <c:pt idx="3">
                  <c:v>0.15290858290952475</c:v>
                </c:pt>
                <c:pt idx="4">
                  <c:v>0.13758849837443557</c:v>
                </c:pt>
                <c:pt idx="5">
                  <c:v>0.16249827077845228</c:v>
                </c:pt>
                <c:pt idx="6">
                  <c:v>0.15999827077845219</c:v>
                </c:pt>
                <c:pt idx="7">
                  <c:v>0.15749827077845216</c:v>
                </c:pt>
                <c:pt idx="8">
                  <c:v>0.15499827077845221</c:v>
                </c:pt>
                <c:pt idx="9">
                  <c:v>0.15249827077845218</c:v>
                </c:pt>
                <c:pt idx="10">
                  <c:v>0.14999827077845226</c:v>
                </c:pt>
                <c:pt idx="11">
                  <c:v>0.14749827077845215</c:v>
                </c:pt>
                <c:pt idx="12">
                  <c:v>0.14499827077845212</c:v>
                </c:pt>
                <c:pt idx="13">
                  <c:v>0.1424982707784522</c:v>
                </c:pt>
                <c:pt idx="14">
                  <c:v>0.1399982707784522</c:v>
                </c:pt>
              </c:numCache>
            </c:numRef>
          </c:val>
          <c:smooth val="0"/>
          <c:extLst>
            <c:ext xmlns:c16="http://schemas.microsoft.com/office/drawing/2014/chart" uri="{C3380CC4-5D6E-409C-BE32-E72D297353CC}">
              <c16:uniqueId val="{00000001-F96C-4F01-B222-DB66D7D5AE50}"/>
            </c:ext>
          </c:extLst>
        </c:ser>
        <c:dLbls>
          <c:showLegendKey val="0"/>
          <c:showVal val="0"/>
          <c:showCatName val="0"/>
          <c:showSerName val="0"/>
          <c:showPercent val="0"/>
          <c:showBubbleSize val="0"/>
        </c:dLbls>
        <c:marker val="1"/>
        <c:smooth val="0"/>
        <c:axId val="532990312"/>
        <c:axId val="532989656"/>
      </c:lineChart>
      <c:catAx>
        <c:axId val="53299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532988344"/>
        <c:crosses val="autoZero"/>
        <c:auto val="1"/>
        <c:lblAlgn val="ctr"/>
        <c:lblOffset val="100"/>
        <c:noMultiLvlLbl val="0"/>
      </c:catAx>
      <c:valAx>
        <c:axId val="532988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532991296"/>
        <c:crosses val="autoZero"/>
        <c:crossBetween val="between"/>
      </c:valAx>
      <c:valAx>
        <c:axId val="5329896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532990312"/>
        <c:crosses val="max"/>
        <c:crossBetween val="between"/>
      </c:valAx>
      <c:catAx>
        <c:axId val="532990312"/>
        <c:scaling>
          <c:orientation val="minMax"/>
        </c:scaling>
        <c:delete val="1"/>
        <c:axPos val="b"/>
        <c:numFmt formatCode="General" sourceLinked="1"/>
        <c:majorTickMark val="none"/>
        <c:minorTickMark val="none"/>
        <c:tickLblPos val="nextTo"/>
        <c:crossAx val="532989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u="sng">
                <a:solidFill>
                  <a:schemeClr val="accent2">
                    <a:lumMod val="75000"/>
                  </a:schemeClr>
                </a:solidFill>
              </a:rPr>
              <a:t>EBIT &amp; EBIT Margin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[1]Sheet3!$A$6</c:f>
              <c:strCache>
                <c:ptCount val="1"/>
                <c:pt idx="0">
                  <c:v>EBIT</c:v>
                </c:pt>
              </c:strCache>
            </c:strRef>
          </c:tx>
          <c:spPr>
            <a:solidFill>
              <a:schemeClr val="accent2">
                <a:lumMod val="75000"/>
              </a:schemeClr>
            </a:solidFill>
            <a:ln w="9525" cap="flat" cmpd="sng" algn="ctr">
              <a:solidFill>
                <a:schemeClr val="accent1">
                  <a:shade val="95000"/>
                </a:schemeClr>
              </a:solidFill>
              <a:round/>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[1]Sheet3!$B$5:$P$5</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[1]Sheet3!$B$6:$P$6</c:f>
              <c:numCache>
                <c:formatCode>General</c:formatCode>
                <c:ptCount val="15"/>
                <c:pt idx="0">
                  <c:v>750.21999999999935</c:v>
                </c:pt>
                <c:pt idx="1">
                  <c:v>1473.7100000000003</c:v>
                </c:pt>
                <c:pt idx="2">
                  <c:v>778.52</c:v>
                </c:pt>
                <c:pt idx="3">
                  <c:v>596.03000000000031</c:v>
                </c:pt>
                <c:pt idx="4">
                  <c:v>566.18000000000075</c:v>
                </c:pt>
                <c:pt idx="5">
                  <c:v>805.50037159700651</c:v>
                </c:pt>
                <c:pt idx="6">
                  <c:v>885.68064036348687</c:v>
                </c:pt>
                <c:pt idx="7">
                  <c:v>989.94430591862078</c:v>
                </c:pt>
                <c:pt idx="8">
                  <c:v>1120.392466902842</c:v>
                </c:pt>
                <c:pt idx="9">
                  <c:v>1280.0014648347169</c:v>
                </c:pt>
                <c:pt idx="10">
                  <c:v>1472.6357711414771</c:v>
                </c:pt>
                <c:pt idx="11">
                  <c:v>1703.1187559297025</c:v>
                </c:pt>
                <c:pt idx="12">
                  <c:v>1977.3553618114561</c:v>
                </c:pt>
                <c:pt idx="13">
                  <c:v>2302.5060858070592</c:v>
                </c:pt>
                <c:pt idx="14">
                  <c:v>2687.2160150814248</c:v>
                </c:pt>
              </c:numCache>
            </c:numRef>
          </c:val>
          <c:extLst>
            <c:ext xmlns:c16="http://schemas.microsoft.com/office/drawing/2014/chart" uri="{C3380CC4-5D6E-409C-BE32-E72D297353CC}">
              <c16:uniqueId val="{00000000-B6EC-4F0A-B055-79C6144DF9DD}"/>
            </c:ext>
          </c:extLst>
        </c:ser>
        <c:dLbls>
          <c:showLegendKey val="0"/>
          <c:showVal val="0"/>
          <c:showCatName val="0"/>
          <c:showSerName val="0"/>
          <c:showPercent val="0"/>
          <c:showBubbleSize val="0"/>
        </c:dLbls>
        <c:gapWidth val="219"/>
        <c:overlap val="-27"/>
        <c:axId val="553418376"/>
        <c:axId val="553417064"/>
      </c:barChart>
      <c:lineChart>
        <c:grouping val="standard"/>
        <c:varyColors val="0"/>
        <c:ser>
          <c:idx val="1"/>
          <c:order val="1"/>
          <c:tx>
            <c:strRef>
              <c:f>[1]Sheet3!$A$7</c:f>
              <c:strCache>
                <c:ptCount val="1"/>
                <c:pt idx="0">
                  <c:v>EBIT Margin</c:v>
                </c:pt>
              </c:strCache>
            </c:strRef>
          </c:tx>
          <c:spPr>
            <a:ln w="15875" cap="rnd">
              <a:solidFill>
                <a:srgbClr val="00B050"/>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[1]Sheet3!$B$5:$P$5</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[1]Sheet3!$B$7:$P$7</c:f>
              <c:numCache>
                <c:formatCode>General</c:formatCode>
                <c:ptCount val="15"/>
                <c:pt idx="0">
                  <c:v>0.16648986928829795</c:v>
                </c:pt>
                <c:pt idx="1">
                  <c:v>0.24216704926949428</c:v>
                </c:pt>
                <c:pt idx="2">
                  <c:v>0.11762643950817245</c:v>
                </c:pt>
                <c:pt idx="3">
                  <c:v>9.3556539210146339E-2</c:v>
                </c:pt>
                <c:pt idx="4">
                  <c:v>7.7864816842059051E-2</c:v>
                </c:pt>
                <c:pt idx="5">
                  <c:v>9.9227547610257663E-2</c:v>
                </c:pt>
                <c:pt idx="6">
                  <c:v>9.7098302233800296E-2</c:v>
                </c:pt>
                <c:pt idx="7">
                  <c:v>9.627260791920203E-2</c:v>
                </c:pt>
                <c:pt idx="8">
                  <c:v>9.6340985661216585E-2</c:v>
                </c:pt>
                <c:pt idx="9">
                  <c:v>9.7004547867418828E-2</c:v>
                </c:pt>
                <c:pt idx="10">
                  <c:v>9.8041129659828807E-2</c:v>
                </c:pt>
                <c:pt idx="11">
                  <c:v>9.9283513749791885E-2</c:v>
                </c:pt>
                <c:pt idx="12">
                  <c:v>0.10060508206504072</c:v>
                </c:pt>
                <c:pt idx="13">
                  <c:v>0.10191006631409197</c:v>
                </c:pt>
                <c:pt idx="14">
                  <c:v>0.1031266840438929</c:v>
                </c:pt>
              </c:numCache>
            </c:numRef>
          </c:val>
          <c:smooth val="0"/>
          <c:extLst>
            <c:ext xmlns:c16="http://schemas.microsoft.com/office/drawing/2014/chart" uri="{C3380CC4-5D6E-409C-BE32-E72D297353CC}">
              <c16:uniqueId val="{00000001-B6EC-4F0A-B055-79C6144DF9DD}"/>
            </c:ext>
          </c:extLst>
        </c:ser>
        <c:dLbls>
          <c:showLegendKey val="0"/>
          <c:showVal val="0"/>
          <c:showCatName val="0"/>
          <c:showSerName val="0"/>
          <c:showPercent val="0"/>
          <c:showBubbleSize val="0"/>
        </c:dLbls>
        <c:marker val="1"/>
        <c:smooth val="0"/>
        <c:axId val="553414112"/>
        <c:axId val="553418704"/>
      </c:lineChart>
      <c:catAx>
        <c:axId val="553418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53417064"/>
        <c:crosses val="autoZero"/>
        <c:auto val="1"/>
        <c:lblAlgn val="ctr"/>
        <c:lblOffset val="100"/>
        <c:noMultiLvlLbl val="0"/>
      </c:catAx>
      <c:valAx>
        <c:axId val="553417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53418376"/>
        <c:crosses val="autoZero"/>
        <c:crossBetween val="between"/>
      </c:valAx>
      <c:valAx>
        <c:axId val="5534187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53414112"/>
        <c:crosses val="max"/>
        <c:crossBetween val="between"/>
      </c:valAx>
      <c:catAx>
        <c:axId val="553414112"/>
        <c:scaling>
          <c:orientation val="minMax"/>
        </c:scaling>
        <c:delete val="1"/>
        <c:axPos val="b"/>
        <c:numFmt formatCode="General" sourceLinked="1"/>
        <c:majorTickMark val="none"/>
        <c:minorTickMark val="none"/>
        <c:tickLblPos val="nextTo"/>
        <c:crossAx val="5534187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u="sng">
                <a:solidFill>
                  <a:schemeClr val="accent2"/>
                </a:solidFill>
              </a:rPr>
              <a:t>Net Profit &amp; Margin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[1]Sheet4!$B$7</c:f>
              <c:strCache>
                <c:ptCount val="1"/>
                <c:pt idx="0">
                  <c:v>Net Profit</c:v>
                </c:pt>
              </c:strCache>
            </c:strRef>
          </c:tx>
          <c:spPr>
            <a:solidFill>
              <a:schemeClr val="accent2">
                <a:lumMod val="75000"/>
              </a:schemeClr>
            </a:solidFill>
            <a:ln w="9525" cap="flat" cmpd="sng" algn="ctr">
              <a:solidFill>
                <a:schemeClr val="accent1">
                  <a:shade val="95000"/>
                </a:schemeClr>
              </a:solidFill>
              <a:round/>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[1]Sheet4!$C$6:$Q$6</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[1]Sheet4!$C$7:$Q$7</c:f>
              <c:numCache>
                <c:formatCode>General</c:formatCode>
                <c:ptCount val="15"/>
                <c:pt idx="0">
                  <c:v>523.46999999999935</c:v>
                </c:pt>
                <c:pt idx="1">
                  <c:v>1185.6700000000003</c:v>
                </c:pt>
                <c:pt idx="2">
                  <c:v>545.23</c:v>
                </c:pt>
                <c:pt idx="3">
                  <c:v>416.47000000000031</c:v>
                </c:pt>
                <c:pt idx="4">
                  <c:v>330.87000000000074</c:v>
                </c:pt>
                <c:pt idx="5">
                  <c:v>394.84424245635591</c:v>
                </c:pt>
                <c:pt idx="6">
                  <c:v>442.53993021200722</c:v>
                </c:pt>
                <c:pt idx="7">
                  <c:v>493.28941025986347</c:v>
                </c:pt>
                <c:pt idx="8">
                  <c:v>559.47182941786809</c:v>
                </c:pt>
                <c:pt idx="9">
                  <c:v>620.30159233271945</c:v>
                </c:pt>
                <c:pt idx="10">
                  <c:v>719.27205368760781</c:v>
                </c:pt>
                <c:pt idx="11">
                  <c:v>839.15048400980243</c:v>
                </c:pt>
                <c:pt idx="12">
                  <c:v>982.95102818312193</c:v>
                </c:pt>
                <c:pt idx="13">
                  <c:v>1154.3347842167345</c:v>
                </c:pt>
                <c:pt idx="14">
                  <c:v>1357.7137927013432</c:v>
                </c:pt>
              </c:numCache>
            </c:numRef>
          </c:val>
          <c:extLst>
            <c:ext xmlns:c16="http://schemas.microsoft.com/office/drawing/2014/chart" uri="{C3380CC4-5D6E-409C-BE32-E72D297353CC}">
              <c16:uniqueId val="{00000000-D34D-4F46-AD3E-4C9248C69BC1}"/>
            </c:ext>
          </c:extLst>
        </c:ser>
        <c:dLbls>
          <c:showLegendKey val="0"/>
          <c:showVal val="0"/>
          <c:showCatName val="0"/>
          <c:showSerName val="0"/>
          <c:showPercent val="0"/>
          <c:showBubbleSize val="0"/>
        </c:dLbls>
        <c:gapWidth val="219"/>
        <c:overlap val="-27"/>
        <c:axId val="526745888"/>
        <c:axId val="526748184"/>
      </c:barChart>
      <c:lineChart>
        <c:grouping val="standard"/>
        <c:varyColors val="0"/>
        <c:ser>
          <c:idx val="1"/>
          <c:order val="1"/>
          <c:tx>
            <c:strRef>
              <c:f>[1]Sheet4!$B$8</c:f>
              <c:strCache>
                <c:ptCount val="1"/>
                <c:pt idx="0">
                  <c:v>Net Profit Margin</c:v>
                </c:pt>
              </c:strCache>
            </c:strRef>
          </c:tx>
          <c:spPr>
            <a:ln w="15875" cap="rnd">
              <a:solidFill>
                <a:srgbClr val="00B050"/>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[1]Sheet4!$C$6:$Q$6</c:f>
              <c:numCache>
                <c:formatCode>General</c:formatCode>
                <c:ptCount val="15"/>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numCache>
            </c:numRef>
          </c:cat>
          <c:val>
            <c:numRef>
              <c:f>[1]Sheet4!$C$8:$Q$8</c:f>
              <c:numCache>
                <c:formatCode>General</c:formatCode>
                <c:ptCount val="15"/>
                <c:pt idx="0">
                  <c:v>0.11616919287188465</c:v>
                </c:pt>
                <c:pt idx="1">
                  <c:v>0.19483494398990392</c:v>
                </c:pt>
                <c:pt idx="2">
                  <c:v>8.2378697545394938E-2</c:v>
                </c:pt>
                <c:pt idx="3">
                  <c:v>6.5371695862372126E-2</c:v>
                </c:pt>
                <c:pt idx="4">
                  <c:v>4.5503429913688401E-2</c:v>
                </c:pt>
                <c:pt idx="5">
                  <c:v>4.8639860698383046E-2</c:v>
                </c:pt>
                <c:pt idx="6">
                  <c:v>4.8516218980032527E-2</c:v>
                </c:pt>
                <c:pt idx="7">
                  <c:v>4.7972656341079264E-2</c:v>
                </c:pt>
                <c:pt idx="8">
                  <c:v>4.8108202338061186E-2</c:v>
                </c:pt>
                <c:pt idx="9">
                  <c:v>4.7009380191174441E-2</c:v>
                </c:pt>
                <c:pt idx="10">
                  <c:v>4.788573390528035E-2</c:v>
                </c:pt>
                <c:pt idx="11">
                  <c:v>4.8918378901800189E-2</c:v>
                </c:pt>
                <c:pt idx="12">
                  <c:v>5.0011176931639686E-2</c:v>
                </c:pt>
                <c:pt idx="13">
                  <c:v>5.1091432562688166E-2</c:v>
                </c:pt>
                <c:pt idx="14">
                  <c:v>5.2104676563452343E-2</c:v>
                </c:pt>
              </c:numCache>
            </c:numRef>
          </c:val>
          <c:smooth val="0"/>
          <c:extLst>
            <c:ext xmlns:c16="http://schemas.microsoft.com/office/drawing/2014/chart" uri="{C3380CC4-5D6E-409C-BE32-E72D297353CC}">
              <c16:uniqueId val="{00000001-D34D-4F46-AD3E-4C9248C69BC1}"/>
            </c:ext>
          </c:extLst>
        </c:ser>
        <c:dLbls>
          <c:showLegendKey val="0"/>
          <c:showVal val="0"/>
          <c:showCatName val="0"/>
          <c:showSerName val="0"/>
          <c:showPercent val="0"/>
          <c:showBubbleSize val="0"/>
        </c:dLbls>
        <c:marker val="1"/>
        <c:smooth val="0"/>
        <c:axId val="527947128"/>
        <c:axId val="527955328"/>
      </c:lineChart>
      <c:catAx>
        <c:axId val="52674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26748184"/>
        <c:crosses val="autoZero"/>
        <c:auto val="1"/>
        <c:lblAlgn val="ctr"/>
        <c:lblOffset val="100"/>
        <c:noMultiLvlLbl val="0"/>
      </c:catAx>
      <c:valAx>
        <c:axId val="526748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526745888"/>
        <c:crosses val="autoZero"/>
        <c:crossBetween val="between"/>
      </c:valAx>
      <c:valAx>
        <c:axId val="5279553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50000"/>
                    <a:lumOff val="50000"/>
                  </a:schemeClr>
                </a:solidFill>
                <a:latin typeface="+mn-lt"/>
                <a:ea typeface="+mn-ea"/>
                <a:cs typeface="+mn-cs"/>
              </a:defRPr>
            </a:pPr>
            <a:endParaRPr lang="en-US"/>
          </a:p>
        </c:txPr>
        <c:crossAx val="527947128"/>
        <c:crosses val="max"/>
        <c:crossBetween val="between"/>
      </c:valAx>
      <c:catAx>
        <c:axId val="527947128"/>
        <c:scaling>
          <c:orientation val="minMax"/>
        </c:scaling>
        <c:delete val="1"/>
        <c:axPos val="b"/>
        <c:numFmt formatCode="General" sourceLinked="1"/>
        <c:majorTickMark val="none"/>
        <c:minorTickMark val="none"/>
        <c:tickLblPos val="nextTo"/>
        <c:crossAx val="5279553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1.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2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57150</xdr:rowOff>
    </xdr:from>
    <xdr:to>
      <xdr:col>6</xdr:col>
      <xdr:colOff>361950</xdr:colOff>
      <xdr:row>6</xdr:row>
      <xdr:rowOff>152400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47650"/>
          <a:ext cx="3095625"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219075</xdr:colOff>
      <xdr:row>9</xdr:row>
      <xdr:rowOff>38099</xdr:rowOff>
    </xdr:from>
    <xdr:to>
      <xdr:col>15</xdr:col>
      <xdr:colOff>333375</xdr:colOff>
      <xdr:row>18</xdr:row>
      <xdr:rowOff>180975</xdr:rowOff>
    </xdr:to>
    <xdr:pic>
      <xdr:nvPicPr>
        <xdr:cNvPr id="3" name="Picture 2"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81350" y="1752599"/>
          <a:ext cx="5600700" cy="1943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590549</xdr:colOff>
      <xdr:row>9</xdr:row>
      <xdr:rowOff>180975</xdr:rowOff>
    </xdr:from>
    <xdr:to>
      <xdr:col>18</xdr:col>
      <xdr:colOff>66674</xdr:colOff>
      <xdr:row>31</xdr:row>
      <xdr:rowOff>0</xdr:rowOff>
    </xdr:to>
    <xdr:pic>
      <xdr:nvPicPr>
        <xdr:cNvPr id="2" name="Picture 1"/>
        <xdr:cNvPicPr>
          <a:picLocks noChangeAspect="1"/>
        </xdr:cNvPicPr>
      </xdr:nvPicPr>
      <xdr:blipFill>
        <a:blip xmlns:r="http://schemas.openxmlformats.org/officeDocument/2006/relationships" r:embed="rId1"/>
        <a:stretch>
          <a:fillRect/>
        </a:stretch>
      </xdr:blipFill>
      <xdr:spPr>
        <a:xfrm>
          <a:off x="7658099" y="1895475"/>
          <a:ext cx="4352925" cy="4095750"/>
        </a:xfrm>
        <a:prstGeom prst="rect">
          <a:avLst/>
        </a:prstGeom>
      </xdr:spPr>
    </xdr:pic>
    <xdr:clientData/>
  </xdr:twoCellAnchor>
  <xdr:twoCellAnchor editAs="oneCell">
    <xdr:from>
      <xdr:col>0</xdr:col>
      <xdr:colOff>95250</xdr:colOff>
      <xdr:row>1</xdr:row>
      <xdr:rowOff>28575</xdr:rowOff>
    </xdr:from>
    <xdr:to>
      <xdr:col>2</xdr:col>
      <xdr:colOff>1019175</xdr:colOff>
      <xdr:row>6</xdr:row>
      <xdr:rowOff>133350</xdr:rowOff>
    </xdr:to>
    <xdr:pic>
      <xdr:nvPicPr>
        <xdr:cNvPr id="3" name="Picture 2" descr="Aarti Industries logo in transparent PNG format"/>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23825"/>
          <a:ext cx="3876675"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1</xdr:row>
      <xdr:rowOff>38100</xdr:rowOff>
    </xdr:from>
    <xdr:to>
      <xdr:col>1</xdr:col>
      <xdr:colOff>3895725</xdr:colOff>
      <xdr:row>6</xdr:row>
      <xdr:rowOff>19050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28600"/>
          <a:ext cx="38766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104775</xdr:rowOff>
    </xdr:from>
    <xdr:to>
      <xdr:col>4</xdr:col>
      <xdr:colOff>228600</xdr:colOff>
      <xdr:row>7</xdr:row>
      <xdr:rowOff>114300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95275"/>
          <a:ext cx="387667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xdr:colOff>
      <xdr:row>1</xdr:row>
      <xdr:rowOff>38100</xdr:rowOff>
    </xdr:from>
    <xdr:to>
      <xdr:col>5</xdr:col>
      <xdr:colOff>190500</xdr:colOff>
      <xdr:row>6</xdr:row>
      <xdr:rowOff>19050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0"/>
          <a:ext cx="38766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57150</xdr:rowOff>
    </xdr:from>
    <xdr:to>
      <xdr:col>1</xdr:col>
      <xdr:colOff>4191000</xdr:colOff>
      <xdr:row>5</xdr:row>
      <xdr:rowOff>171450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47650"/>
          <a:ext cx="41910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19050</xdr:colOff>
      <xdr:row>1</xdr:row>
      <xdr:rowOff>76200</xdr:rowOff>
    </xdr:from>
    <xdr:to>
      <xdr:col>6</xdr:col>
      <xdr:colOff>438150</xdr:colOff>
      <xdr:row>6</xdr:row>
      <xdr:rowOff>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66700"/>
          <a:ext cx="41910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28574</xdr:rowOff>
    </xdr:from>
    <xdr:to>
      <xdr:col>4</xdr:col>
      <xdr:colOff>123825</xdr:colOff>
      <xdr:row>6</xdr:row>
      <xdr:rowOff>38099</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219074"/>
          <a:ext cx="4191000"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9525</xdr:colOff>
      <xdr:row>1</xdr:row>
      <xdr:rowOff>57150</xdr:rowOff>
    </xdr:from>
    <xdr:to>
      <xdr:col>6</xdr:col>
      <xdr:colOff>95250</xdr:colOff>
      <xdr:row>5</xdr:row>
      <xdr:rowOff>171450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247650"/>
          <a:ext cx="4191000"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38101</xdr:rowOff>
    </xdr:from>
    <xdr:to>
      <xdr:col>5</xdr:col>
      <xdr:colOff>219075</xdr:colOff>
      <xdr:row>6</xdr:row>
      <xdr:rowOff>28575</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28601"/>
          <a:ext cx="3876675" cy="942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3</xdr:col>
      <xdr:colOff>314325</xdr:colOff>
      <xdr:row>6</xdr:row>
      <xdr:rowOff>19050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28600"/>
          <a:ext cx="38766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38100</xdr:rowOff>
    </xdr:from>
    <xdr:to>
      <xdr:col>4</xdr:col>
      <xdr:colOff>400050</xdr:colOff>
      <xdr:row>6</xdr:row>
      <xdr:rowOff>19050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28600"/>
          <a:ext cx="38766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28575</xdr:colOff>
      <xdr:row>1</xdr:row>
      <xdr:rowOff>38100</xdr:rowOff>
    </xdr:from>
    <xdr:to>
      <xdr:col>1</xdr:col>
      <xdr:colOff>3905250</xdr:colOff>
      <xdr:row>6</xdr:row>
      <xdr:rowOff>19050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28600"/>
          <a:ext cx="38766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19050</xdr:colOff>
      <xdr:row>1</xdr:row>
      <xdr:rowOff>76200</xdr:rowOff>
    </xdr:from>
    <xdr:to>
      <xdr:col>2</xdr:col>
      <xdr:colOff>495300</xdr:colOff>
      <xdr:row>7</xdr:row>
      <xdr:rowOff>114300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66700"/>
          <a:ext cx="342900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19050</xdr:colOff>
      <xdr:row>1</xdr:row>
      <xdr:rowOff>57150</xdr:rowOff>
    </xdr:from>
    <xdr:to>
      <xdr:col>6</xdr:col>
      <xdr:colOff>123825</xdr:colOff>
      <xdr:row>7</xdr:row>
      <xdr:rowOff>95250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47650"/>
          <a:ext cx="342900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1</xdr:row>
      <xdr:rowOff>57150</xdr:rowOff>
    </xdr:from>
    <xdr:to>
      <xdr:col>6</xdr:col>
      <xdr:colOff>781050</xdr:colOff>
      <xdr:row>8</xdr:row>
      <xdr:rowOff>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247650"/>
          <a:ext cx="419100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19050</xdr:colOff>
      <xdr:row>1</xdr:row>
      <xdr:rowOff>47625</xdr:rowOff>
    </xdr:from>
    <xdr:to>
      <xdr:col>6</xdr:col>
      <xdr:colOff>400050</xdr:colOff>
      <xdr:row>5</xdr:row>
      <xdr:rowOff>133350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38125"/>
          <a:ext cx="4191000"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1</xdr:row>
      <xdr:rowOff>66674</xdr:rowOff>
    </xdr:from>
    <xdr:to>
      <xdr:col>7</xdr:col>
      <xdr:colOff>123825</xdr:colOff>
      <xdr:row>7</xdr:row>
      <xdr:rowOff>180975</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257174"/>
          <a:ext cx="4191000" cy="1257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47625</xdr:rowOff>
    </xdr:from>
    <xdr:to>
      <xdr:col>4</xdr:col>
      <xdr:colOff>1352550</xdr:colOff>
      <xdr:row>7</xdr:row>
      <xdr:rowOff>161926</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38125"/>
          <a:ext cx="4191000" cy="1257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66674</xdr:rowOff>
    </xdr:from>
    <xdr:to>
      <xdr:col>3</xdr:col>
      <xdr:colOff>971550</xdr:colOff>
      <xdr:row>7</xdr:row>
      <xdr:rowOff>114299</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257174"/>
          <a:ext cx="4191000" cy="119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18</xdr:row>
      <xdr:rowOff>95250</xdr:rowOff>
    </xdr:from>
    <xdr:to>
      <xdr:col>9</xdr:col>
      <xdr:colOff>38100</xdr:colOff>
      <xdr:row>36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xdr:colOff>
      <xdr:row>32</xdr:row>
      <xdr:rowOff>142875</xdr:rowOff>
    </xdr:from>
    <xdr:to>
      <xdr:col>8</xdr:col>
      <xdr:colOff>1095375</xdr:colOff>
      <xdr:row>32</xdr:row>
      <xdr:rowOff>152400</xdr:rowOff>
    </xdr:to>
    <xdr:cxnSp macro="">
      <xdr:nvCxnSpPr>
        <xdr:cNvPr id="4" name="Straight Connector 3"/>
        <xdr:cNvCxnSpPr/>
      </xdr:nvCxnSpPr>
      <xdr:spPr>
        <a:xfrm flipV="1">
          <a:off x="800100" y="6267450"/>
          <a:ext cx="6457950" cy="9525"/>
        </a:xfrm>
        <a:prstGeom prst="line">
          <a:avLst/>
        </a:prstGeom>
        <a:ln w="22225">
          <a:solidFill>
            <a:schemeClr val="bg2">
              <a:lumMod val="10000"/>
            </a:schemeClr>
          </a:solidFill>
          <a:prstDash val="sysDash"/>
        </a:ln>
      </xdr:spPr>
      <xdr:style>
        <a:lnRef idx="3">
          <a:schemeClr val="accent6"/>
        </a:lnRef>
        <a:fillRef idx="0">
          <a:schemeClr val="accent6"/>
        </a:fillRef>
        <a:effectRef idx="2">
          <a:schemeClr val="accent6"/>
        </a:effectRef>
        <a:fontRef idx="minor">
          <a:schemeClr val="tx1"/>
        </a:fontRef>
      </xdr:style>
    </xdr:cxnSp>
    <xdr:clientData/>
  </xdr:twoCellAnchor>
  <xdr:twoCellAnchor editAs="oneCell">
    <xdr:from>
      <xdr:col>1</xdr:col>
      <xdr:colOff>0</xdr:colOff>
      <xdr:row>1</xdr:row>
      <xdr:rowOff>76200</xdr:rowOff>
    </xdr:from>
    <xdr:to>
      <xdr:col>6</xdr:col>
      <xdr:colOff>257175</xdr:colOff>
      <xdr:row>7</xdr:row>
      <xdr:rowOff>114300</xdr:rowOff>
    </xdr:to>
    <xdr:pic>
      <xdr:nvPicPr>
        <xdr:cNvPr id="5" name="Picture 4" descr="Aarti Industries logo in transparent PNG format"/>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266700"/>
          <a:ext cx="342900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85726</xdr:colOff>
      <xdr:row>1</xdr:row>
      <xdr:rowOff>38100</xdr:rowOff>
    </xdr:from>
    <xdr:to>
      <xdr:col>6</xdr:col>
      <xdr:colOff>533401</xdr:colOff>
      <xdr:row>6</xdr:row>
      <xdr:rowOff>19050</xdr:rowOff>
    </xdr:to>
    <xdr:pic>
      <xdr:nvPicPr>
        <xdr:cNvPr id="2" name="Picture 1" descr="Aarti Industries logo in transparent PNG format"/>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6" y="104775"/>
          <a:ext cx="342900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123824</xdr:colOff>
      <xdr:row>11</xdr:row>
      <xdr:rowOff>0</xdr:rowOff>
    </xdr:from>
    <xdr:to>
      <xdr:col>8</xdr:col>
      <xdr:colOff>561975</xdr:colOff>
      <xdr:row>25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11</xdr:row>
      <xdr:rowOff>0</xdr:rowOff>
    </xdr:from>
    <xdr:to>
      <xdr:col>17</xdr:col>
      <xdr:colOff>85725</xdr:colOff>
      <xdr:row>25</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47624</xdr:rowOff>
    </xdr:from>
    <xdr:to>
      <xdr:col>8</xdr:col>
      <xdr:colOff>571500</xdr:colOff>
      <xdr:row>41</xdr:row>
      <xdr:rowOff>19049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142875</xdr:colOff>
      <xdr:row>26</xdr:row>
      <xdr:rowOff>9524</xdr:rowOff>
    </xdr:from>
    <xdr:to>
      <xdr:col>17</xdr:col>
      <xdr:colOff>66675</xdr:colOff>
      <xdr:row>41</xdr:row>
      <xdr:rowOff>19049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104775</xdr:colOff>
      <xdr:row>1</xdr:row>
      <xdr:rowOff>76199</xdr:rowOff>
    </xdr:from>
    <xdr:to>
      <xdr:col>7</xdr:col>
      <xdr:colOff>7143</xdr:colOff>
      <xdr:row>7</xdr:row>
      <xdr:rowOff>85725</xdr:rowOff>
    </xdr:to>
    <xdr:pic>
      <xdr:nvPicPr>
        <xdr:cNvPr id="6" name="Picture 5" descr="Aarti Industries logo in transparent PNG format"/>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4775" y="266699"/>
          <a:ext cx="3874293" cy="1152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s>
    <sheetDataSet>
      <sheetData sheetId="0">
        <row r="5">
          <cell r="C5">
            <v>2021</v>
          </cell>
          <cell r="D5">
            <v>2022</v>
          </cell>
          <cell r="E5">
            <v>2023</v>
          </cell>
          <cell r="F5">
            <v>2024</v>
          </cell>
          <cell r="G5">
            <v>2025</v>
          </cell>
          <cell r="H5">
            <v>2026</v>
          </cell>
          <cell r="I5">
            <v>2027</v>
          </cell>
          <cell r="J5">
            <v>2028</v>
          </cell>
          <cell r="K5">
            <v>2029</v>
          </cell>
          <cell r="L5">
            <v>2030</v>
          </cell>
          <cell r="M5">
            <v>2031</v>
          </cell>
          <cell r="N5">
            <v>2032</v>
          </cell>
          <cell r="O5">
            <v>2033</v>
          </cell>
          <cell r="P5">
            <v>2034</v>
          </cell>
          <cell r="Q5">
            <v>2035</v>
          </cell>
        </row>
        <row r="6">
          <cell r="B6" t="str">
            <v>Gross Profit</v>
          </cell>
          <cell r="C6">
            <v>2377.5399999999995</v>
          </cell>
          <cell r="D6">
            <v>3231.0600000000004</v>
          </cell>
          <cell r="E6">
            <v>2776.91</v>
          </cell>
          <cell r="F6">
            <v>2488.9200000000005</v>
          </cell>
          <cell r="G6">
            <v>2616.2000000000007</v>
          </cell>
          <cell r="H6">
            <v>3385.7072034338771</v>
          </cell>
          <cell r="I6">
            <v>3758.7509938134117</v>
          </cell>
          <cell r="J6">
            <v>4185.8556925434686</v>
          </cell>
          <cell r="K6">
            <v>4675.9298036814034</v>
          </cell>
          <cell r="L6">
            <v>5239.5351187289389</v>
          </cell>
          <cell r="M6">
            <v>5889.2237335062709</v>
          </cell>
          <cell r="N6">
            <v>6639.9499072756789</v>
          </cell>
          <cell r="O6">
            <v>7509.574677739316</v>
          </cell>
          <cell r="P6">
            <v>8519.4857351305091</v>
          </cell>
          <cell r="Q6">
            <v>9695.3608978306365</v>
          </cell>
        </row>
        <row r="7">
          <cell r="B7" t="str">
            <v>Gross Margin</v>
          </cell>
          <cell r="C7">
            <v>0.52762699451854145</v>
          </cell>
          <cell r="D7">
            <v>0.53094317485305265</v>
          </cell>
          <cell r="E7">
            <v>0.41956280652345368</v>
          </cell>
          <cell r="F7">
            <v>0.390676210209079</v>
          </cell>
          <cell r="G7">
            <v>0.35979712074286385</v>
          </cell>
          <cell r="H7">
            <v>0.41707668248129198</v>
          </cell>
          <cell r="I7">
            <v>0.41207668248129187</v>
          </cell>
          <cell r="J7">
            <v>0.40707668248129186</v>
          </cell>
          <cell r="K7">
            <v>0.40207668248129197</v>
          </cell>
          <cell r="L7">
            <v>0.39707668248129185</v>
          </cell>
          <cell r="M7">
            <v>0.39207668248129196</v>
          </cell>
          <cell r="N7">
            <v>0.38707668248129184</v>
          </cell>
          <cell r="O7">
            <v>0.38207668248129184</v>
          </cell>
          <cell r="P7">
            <v>0.37707668248129189</v>
          </cell>
          <cell r="Q7">
            <v>0.37207668248129189</v>
          </cell>
        </row>
      </sheetData>
      <sheetData sheetId="1">
        <row r="5">
          <cell r="C5">
            <v>2021</v>
          </cell>
          <cell r="D5">
            <v>2022</v>
          </cell>
          <cell r="E5">
            <v>2023</v>
          </cell>
          <cell r="F5">
            <v>2024</v>
          </cell>
          <cell r="G5">
            <v>2025</v>
          </cell>
          <cell r="H5">
            <v>2026</v>
          </cell>
          <cell r="I5">
            <v>2027</v>
          </cell>
          <cell r="J5">
            <v>2028</v>
          </cell>
          <cell r="K5">
            <v>2029</v>
          </cell>
          <cell r="L5">
            <v>2030</v>
          </cell>
          <cell r="M5">
            <v>2031</v>
          </cell>
          <cell r="N5">
            <v>2032</v>
          </cell>
          <cell r="O5">
            <v>2033</v>
          </cell>
          <cell r="P5">
            <v>2034</v>
          </cell>
          <cell r="Q5">
            <v>2035</v>
          </cell>
        </row>
        <row r="6">
          <cell r="B6" t="str">
            <v>EBITDA</v>
          </cell>
          <cell r="C6">
            <v>981.52999999999929</v>
          </cell>
          <cell r="D6">
            <v>1720.1100000000004</v>
          </cell>
          <cell r="E6">
            <v>1088.97</v>
          </cell>
          <cell r="F6">
            <v>974.15000000000032</v>
          </cell>
          <cell r="G6">
            <v>1000.4500000000007</v>
          </cell>
          <cell r="H6">
            <v>1319.1137002602215</v>
          </cell>
          <cell r="I6">
            <v>1459.4217165496559</v>
          </cell>
          <cell r="J6">
            <v>1619.5106761833126</v>
          </cell>
          <cell r="K6">
            <v>1802.5443041844815</v>
          </cell>
          <cell r="L6">
            <v>2012.2562732622328</v>
          </cell>
          <cell r="M6">
            <v>2253.0627699225947</v>
          </cell>
          <cell r="N6">
            <v>2530.1992439858263</v>
          </cell>
          <cell r="O6">
            <v>2849.8869271017838</v>
          </cell>
          <cell r="P6">
            <v>3219.5360826587826</v>
          </cell>
          <cell r="Q6">
            <v>3647.994685443794</v>
          </cell>
        </row>
        <row r="7">
          <cell r="B7" t="str">
            <v>EBITDA Margin</v>
          </cell>
          <cell r="C7">
            <v>0.21782250726792557</v>
          </cell>
          <cell r="D7">
            <v>0.28265667133896755</v>
          </cell>
          <cell r="E7">
            <v>0.16453227127268991</v>
          </cell>
          <cell r="F7">
            <v>0.15290858290952475</v>
          </cell>
          <cell r="G7">
            <v>0.13758849837443557</v>
          </cell>
          <cell r="H7">
            <v>0.16249827077845228</v>
          </cell>
          <cell r="I7">
            <v>0.15999827077845219</v>
          </cell>
          <cell r="J7">
            <v>0.15749827077845216</v>
          </cell>
          <cell r="K7">
            <v>0.15499827077845221</v>
          </cell>
          <cell r="L7">
            <v>0.15249827077845218</v>
          </cell>
          <cell r="M7">
            <v>0.14999827077845226</v>
          </cell>
          <cell r="N7">
            <v>0.14749827077845215</v>
          </cell>
          <cell r="O7">
            <v>0.14499827077845212</v>
          </cell>
          <cell r="P7">
            <v>0.1424982707784522</v>
          </cell>
          <cell r="Q7">
            <v>0.1399982707784522</v>
          </cell>
        </row>
      </sheetData>
      <sheetData sheetId="2">
        <row r="5">
          <cell r="B5">
            <v>2021</v>
          </cell>
          <cell r="C5">
            <v>2022</v>
          </cell>
          <cell r="D5">
            <v>2023</v>
          </cell>
          <cell r="E5">
            <v>2024</v>
          </cell>
          <cell r="F5">
            <v>2025</v>
          </cell>
          <cell r="G5">
            <v>2026</v>
          </cell>
          <cell r="H5">
            <v>2027</v>
          </cell>
          <cell r="I5">
            <v>2028</v>
          </cell>
          <cell r="J5">
            <v>2029</v>
          </cell>
          <cell r="K5">
            <v>2030</v>
          </cell>
          <cell r="L5">
            <v>2031</v>
          </cell>
          <cell r="M5">
            <v>2032</v>
          </cell>
          <cell r="N5">
            <v>2033</v>
          </cell>
          <cell r="O5">
            <v>2034</v>
          </cell>
          <cell r="P5">
            <v>2035</v>
          </cell>
        </row>
        <row r="6">
          <cell r="A6" t="str">
            <v>EBIT</v>
          </cell>
          <cell r="B6">
            <v>750.21999999999935</v>
          </cell>
          <cell r="C6">
            <v>1473.7100000000003</v>
          </cell>
          <cell r="D6">
            <v>778.52</v>
          </cell>
          <cell r="E6">
            <v>596.03000000000031</v>
          </cell>
          <cell r="F6">
            <v>566.18000000000075</v>
          </cell>
          <cell r="G6">
            <v>805.50037159700651</v>
          </cell>
          <cell r="H6">
            <v>885.68064036348687</v>
          </cell>
          <cell r="I6">
            <v>989.94430591862078</v>
          </cell>
          <cell r="J6">
            <v>1120.392466902842</v>
          </cell>
          <cell r="K6">
            <v>1280.0014648347169</v>
          </cell>
          <cell r="L6">
            <v>1472.6357711414771</v>
          </cell>
          <cell r="M6">
            <v>1703.1187559297025</v>
          </cell>
          <cell r="N6">
            <v>1977.3553618114561</v>
          </cell>
          <cell r="O6">
            <v>2302.5060858070592</v>
          </cell>
          <cell r="P6">
            <v>2687.2160150814248</v>
          </cell>
        </row>
        <row r="7">
          <cell r="A7" t="str">
            <v>EBIT Margin</v>
          </cell>
          <cell r="B7">
            <v>0.16648986928829795</v>
          </cell>
          <cell r="C7">
            <v>0.24216704926949428</v>
          </cell>
          <cell r="D7">
            <v>0.11762643950817245</v>
          </cell>
          <cell r="E7">
            <v>9.3556539210146339E-2</v>
          </cell>
          <cell r="F7">
            <v>7.7864816842059051E-2</v>
          </cell>
          <cell r="G7">
            <v>9.9227547610257663E-2</v>
          </cell>
          <cell r="H7">
            <v>9.7098302233800296E-2</v>
          </cell>
          <cell r="I7">
            <v>9.627260791920203E-2</v>
          </cell>
          <cell r="J7">
            <v>9.6340985661216585E-2</v>
          </cell>
          <cell r="K7">
            <v>9.7004547867418828E-2</v>
          </cell>
          <cell r="L7">
            <v>9.8041129659828807E-2</v>
          </cell>
          <cell r="M7">
            <v>9.9283513749791885E-2</v>
          </cell>
          <cell r="N7">
            <v>0.10060508206504072</v>
          </cell>
          <cell r="O7">
            <v>0.10191006631409197</v>
          </cell>
          <cell r="P7">
            <v>0.1031266840438929</v>
          </cell>
        </row>
      </sheetData>
      <sheetData sheetId="3">
        <row r="6">
          <cell r="C6">
            <v>2021</v>
          </cell>
          <cell r="D6">
            <v>2022</v>
          </cell>
          <cell r="E6">
            <v>2023</v>
          </cell>
          <cell r="F6">
            <v>2024</v>
          </cell>
          <cell r="G6">
            <v>2025</v>
          </cell>
          <cell r="H6">
            <v>2026</v>
          </cell>
          <cell r="I6">
            <v>2027</v>
          </cell>
          <cell r="J6">
            <v>2028</v>
          </cell>
          <cell r="K6">
            <v>2029</v>
          </cell>
          <cell r="L6">
            <v>2030</v>
          </cell>
          <cell r="M6">
            <v>2031</v>
          </cell>
          <cell r="N6">
            <v>2032</v>
          </cell>
          <cell r="O6">
            <v>2033</v>
          </cell>
          <cell r="P6">
            <v>2034</v>
          </cell>
          <cell r="Q6">
            <v>2035</v>
          </cell>
        </row>
        <row r="7">
          <cell r="B7" t="str">
            <v>Net Profit</v>
          </cell>
          <cell r="C7">
            <v>523.46999999999935</v>
          </cell>
          <cell r="D7">
            <v>1185.6700000000003</v>
          </cell>
          <cell r="E7">
            <v>545.23</v>
          </cell>
          <cell r="F7">
            <v>416.47000000000031</v>
          </cell>
          <cell r="G7">
            <v>330.87000000000074</v>
          </cell>
          <cell r="H7">
            <v>394.84424245635591</v>
          </cell>
          <cell r="I7">
            <v>442.53993021200722</v>
          </cell>
          <cell r="J7">
            <v>493.28941025986347</v>
          </cell>
          <cell r="K7">
            <v>559.47182941786809</v>
          </cell>
          <cell r="L7">
            <v>620.30159233271945</v>
          </cell>
          <cell r="M7">
            <v>719.27205368760781</v>
          </cell>
          <cell r="N7">
            <v>839.15048400980243</v>
          </cell>
          <cell r="O7">
            <v>982.95102818312193</v>
          </cell>
          <cell r="P7">
            <v>1154.3347842167345</v>
          </cell>
          <cell r="Q7">
            <v>1357.7137927013432</v>
          </cell>
        </row>
        <row r="8">
          <cell r="B8" t="str">
            <v>Net Profit Margin</v>
          </cell>
          <cell r="C8">
            <v>0.11616919287188465</v>
          </cell>
          <cell r="D8">
            <v>0.19483494398990392</v>
          </cell>
          <cell r="E8">
            <v>8.2378697545394938E-2</v>
          </cell>
          <cell r="F8">
            <v>6.5371695862372126E-2</v>
          </cell>
          <cell r="G8">
            <v>4.5503429913688401E-2</v>
          </cell>
          <cell r="H8">
            <v>4.8639860698383046E-2</v>
          </cell>
          <cell r="I8">
            <v>4.8516218980032527E-2</v>
          </cell>
          <cell r="J8">
            <v>4.7972656341079264E-2</v>
          </cell>
          <cell r="K8">
            <v>4.8108202338061186E-2</v>
          </cell>
          <cell r="L8">
            <v>4.7009380191174441E-2</v>
          </cell>
          <cell r="M8">
            <v>4.788573390528035E-2</v>
          </cell>
          <cell r="N8">
            <v>4.8918378901800189E-2</v>
          </cell>
          <cell r="O8">
            <v>5.0011176931639686E-2</v>
          </cell>
          <cell r="P8">
            <v>5.1091432562688166E-2</v>
          </cell>
          <cell r="Q8">
            <v>5.2104676563452343E-2</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aarti-industrie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32"/>
  <sheetViews>
    <sheetView showGridLines="0" topLeftCell="A10" workbookViewId="0">
      <selection activeCell="B28" sqref="B28"/>
    </sheetView>
  </sheetViews>
  <sheetFormatPr defaultRowHeight="15" x14ac:dyDescent="0.25"/>
  <cols>
    <col min="1" max="1" width="1.85546875" customWidth="1"/>
    <col min="2" max="2" width="11.5703125" bestFit="1" customWidth="1"/>
    <col min="6" max="6" width="2.28515625" customWidth="1"/>
  </cols>
  <sheetData>
    <row r="1" spans="2:16" x14ac:dyDescent="0.25">
      <c r="B1" s="67"/>
      <c r="C1" s="67"/>
      <c r="D1" s="67"/>
      <c r="E1" s="67"/>
      <c r="F1" s="67"/>
      <c r="G1" s="67"/>
      <c r="H1" s="67"/>
      <c r="I1" s="67"/>
      <c r="J1" s="67"/>
      <c r="K1" s="67"/>
      <c r="L1" s="67"/>
      <c r="M1" s="67"/>
      <c r="N1" s="67"/>
      <c r="O1" s="67"/>
      <c r="P1" s="67"/>
    </row>
    <row r="8" spans="2:16" x14ac:dyDescent="0.25">
      <c r="B8" s="405"/>
      <c r="C8" s="405"/>
      <c r="D8" s="405"/>
      <c r="E8" s="405"/>
      <c r="F8" s="405"/>
      <c r="G8" s="405"/>
      <c r="H8" s="405"/>
      <c r="I8" s="405"/>
      <c r="J8" s="405"/>
      <c r="K8" s="405"/>
      <c r="L8" s="405"/>
      <c r="M8" s="405"/>
      <c r="N8" s="405"/>
      <c r="O8" s="405"/>
      <c r="P8" s="405"/>
    </row>
    <row r="9" spans="2:16" x14ac:dyDescent="0.25">
      <c r="B9" s="265" t="s">
        <v>405</v>
      </c>
    </row>
    <row r="10" spans="2:16" ht="15.75" x14ac:dyDescent="0.25">
      <c r="B10" s="368" t="s">
        <v>361</v>
      </c>
      <c r="C10" s="369"/>
      <c r="D10" s="369"/>
      <c r="E10" s="369"/>
      <c r="G10" s="266"/>
      <c r="H10" s="266"/>
      <c r="I10" s="266"/>
      <c r="J10" s="266"/>
      <c r="K10" s="266"/>
      <c r="L10" s="266"/>
      <c r="M10" s="266"/>
      <c r="N10" s="266"/>
      <c r="O10" s="266"/>
      <c r="P10" s="266"/>
    </row>
    <row r="11" spans="2:16" ht="15.75" x14ac:dyDescent="0.25">
      <c r="B11" s="370" t="s">
        <v>394</v>
      </c>
      <c r="C11" s="371"/>
      <c r="D11" s="371"/>
      <c r="E11" s="371"/>
      <c r="G11" s="267"/>
      <c r="H11" s="267"/>
      <c r="I11" s="267"/>
      <c r="J11" s="267"/>
      <c r="K11" s="267"/>
      <c r="L11" s="267"/>
      <c r="M11" s="267"/>
      <c r="N11" s="267"/>
      <c r="O11" s="267"/>
      <c r="P11" s="267"/>
    </row>
    <row r="12" spans="2:16" ht="15.75" x14ac:dyDescent="0.25">
      <c r="B12" s="370" t="s">
        <v>395</v>
      </c>
      <c r="C12" s="371"/>
      <c r="D12" s="371"/>
      <c r="E12" s="371"/>
      <c r="G12" s="267"/>
      <c r="H12" s="267"/>
      <c r="I12" s="267"/>
      <c r="J12" s="267"/>
      <c r="K12" s="267"/>
      <c r="L12" s="267"/>
      <c r="M12" s="267"/>
      <c r="N12" s="267"/>
      <c r="O12" s="267"/>
      <c r="P12" s="267"/>
    </row>
    <row r="13" spans="2:16" ht="15.75" x14ac:dyDescent="0.25">
      <c r="B13" s="370" t="s">
        <v>396</v>
      </c>
      <c r="C13" s="371"/>
      <c r="D13" s="371"/>
      <c r="E13" s="371"/>
      <c r="G13" s="267"/>
      <c r="H13" s="267"/>
      <c r="I13" s="267"/>
      <c r="J13" s="267"/>
      <c r="K13" s="267"/>
      <c r="L13" s="267"/>
      <c r="M13" s="267"/>
      <c r="N13" s="267"/>
      <c r="O13" s="267"/>
      <c r="P13" s="267"/>
    </row>
    <row r="14" spans="2:16" ht="15.75" x14ac:dyDescent="0.25">
      <c r="B14" s="370" t="s">
        <v>348</v>
      </c>
      <c r="C14" s="371"/>
      <c r="D14" s="371"/>
      <c r="E14" s="371"/>
      <c r="G14" s="267"/>
      <c r="H14" s="267"/>
      <c r="I14" s="267"/>
      <c r="J14" s="267"/>
      <c r="K14" s="267"/>
      <c r="L14" s="267"/>
      <c r="M14" s="267"/>
      <c r="N14" s="267"/>
      <c r="O14" s="267"/>
      <c r="P14" s="267"/>
    </row>
    <row r="15" spans="2:16" ht="15.75" x14ac:dyDescent="0.25">
      <c r="B15" s="370" t="s">
        <v>349</v>
      </c>
      <c r="C15" s="371"/>
      <c r="D15" s="371"/>
      <c r="E15" s="371"/>
      <c r="G15" s="267"/>
      <c r="H15" s="267"/>
      <c r="I15" s="267"/>
      <c r="J15" s="267"/>
      <c r="K15" s="267"/>
      <c r="L15" s="267"/>
      <c r="M15" s="267"/>
      <c r="N15" s="267"/>
      <c r="O15" s="267"/>
      <c r="P15" s="267"/>
    </row>
    <row r="16" spans="2:16" ht="15.75" x14ac:dyDescent="0.25">
      <c r="B16" s="370" t="s">
        <v>350</v>
      </c>
      <c r="C16" s="371"/>
      <c r="D16" s="371"/>
      <c r="E16" s="371"/>
      <c r="G16" s="267"/>
      <c r="H16" s="267"/>
      <c r="I16" s="267"/>
      <c r="J16" s="267"/>
      <c r="K16" s="267"/>
      <c r="L16" s="267"/>
      <c r="M16" s="267"/>
      <c r="N16" s="267"/>
      <c r="O16" s="267"/>
      <c r="P16" s="267"/>
    </row>
    <row r="17" spans="2:16" ht="15.75" x14ac:dyDescent="0.25">
      <c r="B17" s="370" t="s">
        <v>398</v>
      </c>
      <c r="C17" s="371"/>
      <c r="D17" s="371"/>
      <c r="E17" s="371"/>
      <c r="G17" s="267"/>
      <c r="H17" s="267"/>
      <c r="I17" s="267"/>
      <c r="J17" s="267"/>
      <c r="K17" s="267"/>
      <c r="L17" s="267"/>
      <c r="M17" s="267"/>
      <c r="N17" s="267"/>
      <c r="O17" s="267"/>
      <c r="P17" s="267"/>
    </row>
    <row r="18" spans="2:16" ht="15.75" x14ac:dyDescent="0.25">
      <c r="B18" s="370" t="s">
        <v>399</v>
      </c>
      <c r="C18" s="371"/>
      <c r="D18" s="371"/>
      <c r="E18" s="371"/>
      <c r="G18" s="267"/>
      <c r="H18" s="267"/>
      <c r="I18" s="267"/>
      <c r="J18" s="267"/>
      <c r="K18" s="267"/>
      <c r="L18" s="267"/>
      <c r="M18" s="267"/>
      <c r="N18" s="267"/>
      <c r="O18" s="267"/>
      <c r="P18" s="267"/>
    </row>
    <row r="19" spans="2:16" ht="15.75" x14ac:dyDescent="0.25">
      <c r="B19" s="370" t="s">
        <v>400</v>
      </c>
      <c r="C19" s="371"/>
      <c r="D19" s="371"/>
      <c r="E19" s="371"/>
      <c r="G19" s="267"/>
      <c r="H19" s="267"/>
      <c r="I19" s="267"/>
      <c r="J19" s="267"/>
      <c r="K19" s="267"/>
      <c r="L19" s="267"/>
      <c r="M19" s="267"/>
      <c r="N19" s="267"/>
      <c r="O19" s="267"/>
      <c r="P19" s="267"/>
    </row>
    <row r="20" spans="2:16" ht="15.75" x14ac:dyDescent="0.25">
      <c r="B20" s="370" t="s">
        <v>295</v>
      </c>
      <c r="C20" s="371"/>
      <c r="D20" s="371"/>
      <c r="E20" s="371"/>
      <c r="G20" s="267"/>
      <c r="H20" s="267"/>
      <c r="I20" s="267"/>
      <c r="J20" s="267"/>
      <c r="K20" s="267"/>
      <c r="L20" s="267"/>
      <c r="M20" s="267"/>
      <c r="N20" s="267"/>
      <c r="O20" s="267"/>
      <c r="P20" s="267"/>
    </row>
    <row r="21" spans="2:16" x14ac:dyDescent="0.25">
      <c r="B21" s="374" t="s">
        <v>401</v>
      </c>
      <c r="C21" s="371"/>
      <c r="D21" s="371"/>
      <c r="E21" s="371"/>
      <c r="G21" s="268"/>
      <c r="H21" s="269" t="s">
        <v>338</v>
      </c>
      <c r="I21" s="269"/>
      <c r="J21" s="269" t="s">
        <v>408</v>
      </c>
      <c r="K21" s="270"/>
      <c r="L21" s="267"/>
      <c r="M21" s="267"/>
      <c r="N21" s="267"/>
      <c r="O21" s="267"/>
      <c r="P21" s="267"/>
    </row>
    <row r="22" spans="2:16" ht="15.75" x14ac:dyDescent="0.25">
      <c r="B22" s="370" t="s">
        <v>143</v>
      </c>
      <c r="C22" s="371"/>
      <c r="D22" s="371"/>
      <c r="E22" s="371"/>
      <c r="G22" s="270"/>
      <c r="H22" s="269" t="s">
        <v>406</v>
      </c>
      <c r="I22" s="269"/>
      <c r="J22" s="269" t="s">
        <v>409</v>
      </c>
      <c r="K22" s="270"/>
      <c r="L22" s="267"/>
      <c r="M22" s="267"/>
      <c r="N22" s="267"/>
      <c r="O22" s="267"/>
      <c r="P22" s="267"/>
    </row>
    <row r="23" spans="2:16" ht="15.75" x14ac:dyDescent="0.25">
      <c r="B23" s="370" t="s">
        <v>154</v>
      </c>
      <c r="C23" s="371"/>
      <c r="D23" s="371"/>
      <c r="E23" s="371"/>
      <c r="G23" s="270"/>
      <c r="H23" s="269" t="s">
        <v>407</v>
      </c>
      <c r="I23" s="269"/>
      <c r="J23" s="269">
        <v>524208</v>
      </c>
      <c r="K23" s="268"/>
      <c r="L23" s="267"/>
      <c r="M23" s="267"/>
      <c r="N23" s="267"/>
      <c r="O23" s="267"/>
      <c r="P23" s="267"/>
    </row>
    <row r="24" spans="2:16" ht="15.75" x14ac:dyDescent="0.25">
      <c r="B24" s="370" t="s">
        <v>402</v>
      </c>
      <c r="C24" s="371"/>
      <c r="D24" s="371"/>
      <c r="E24" s="371"/>
      <c r="G24" s="267"/>
      <c r="H24" s="267"/>
      <c r="I24" s="267"/>
      <c r="J24" s="267"/>
      <c r="K24" s="267"/>
      <c r="L24" s="267"/>
      <c r="M24" s="267"/>
      <c r="N24" s="267"/>
      <c r="O24" s="267"/>
      <c r="P24" s="267"/>
    </row>
    <row r="25" spans="2:16" ht="20.25" customHeight="1" x14ac:dyDescent="0.4">
      <c r="B25" s="370" t="s">
        <v>265</v>
      </c>
      <c r="C25" s="371"/>
      <c r="D25" s="371"/>
      <c r="E25" s="371"/>
      <c r="G25" s="406" t="s">
        <v>410</v>
      </c>
      <c r="H25" s="406"/>
      <c r="I25" s="406"/>
      <c r="J25" s="406"/>
      <c r="K25" s="406"/>
      <c r="L25" s="406"/>
      <c r="M25" s="267"/>
      <c r="N25" s="267"/>
      <c r="O25" s="267"/>
      <c r="P25" s="267"/>
    </row>
    <row r="26" spans="2:16" ht="15.75" x14ac:dyDescent="0.25">
      <c r="B26" s="370" t="s">
        <v>397</v>
      </c>
      <c r="C26" s="371"/>
      <c r="D26" s="371"/>
      <c r="E26" s="371"/>
      <c r="G26" s="267"/>
      <c r="H26" s="267"/>
      <c r="I26" s="267"/>
      <c r="J26" s="267"/>
      <c r="K26" s="267"/>
      <c r="L26" s="267"/>
      <c r="M26" s="267"/>
      <c r="N26" s="267"/>
      <c r="O26" s="267"/>
      <c r="P26" s="267"/>
    </row>
    <row r="27" spans="2:16" ht="15.75" x14ac:dyDescent="0.25">
      <c r="B27" s="370" t="s">
        <v>403</v>
      </c>
      <c r="C27" s="371"/>
      <c r="D27" s="371"/>
      <c r="E27" s="371"/>
      <c r="G27" s="271" t="s">
        <v>411</v>
      </c>
      <c r="H27" s="272"/>
      <c r="I27" s="267"/>
      <c r="J27" s="267"/>
      <c r="K27" s="267"/>
      <c r="L27" s="267"/>
      <c r="M27" s="267"/>
      <c r="N27" s="267"/>
      <c r="O27" s="267"/>
      <c r="P27" s="267"/>
    </row>
    <row r="28" spans="2:16" ht="15.75" x14ac:dyDescent="0.25">
      <c r="B28" s="370" t="s">
        <v>404</v>
      </c>
      <c r="C28" s="371"/>
      <c r="D28" s="371"/>
      <c r="E28" s="371"/>
      <c r="G28" s="267"/>
      <c r="H28" s="267"/>
      <c r="I28" s="267"/>
      <c r="J28" s="267"/>
      <c r="K28" s="267"/>
      <c r="L28" s="267"/>
      <c r="M28" s="267"/>
      <c r="N28" s="267"/>
      <c r="O28" s="267"/>
      <c r="P28" s="267"/>
    </row>
    <row r="29" spans="2:16" ht="15.75" x14ac:dyDescent="0.25">
      <c r="B29" s="372" t="s">
        <v>357</v>
      </c>
      <c r="C29" s="373"/>
      <c r="D29" s="373"/>
      <c r="E29" s="373"/>
      <c r="G29" s="267"/>
      <c r="H29" s="267"/>
      <c r="I29" s="267"/>
      <c r="J29" s="267"/>
      <c r="K29" s="267"/>
      <c r="L29" s="267"/>
      <c r="M29" s="267"/>
      <c r="N29" s="267"/>
      <c r="O29" s="267"/>
      <c r="P29" s="267"/>
    </row>
    <row r="30" spans="2:16" x14ac:dyDescent="0.25">
      <c r="B30" s="388"/>
      <c r="C30" s="388"/>
      <c r="D30" s="388"/>
      <c r="E30" s="388"/>
      <c r="G30" s="273"/>
      <c r="H30" s="273"/>
      <c r="I30" s="273"/>
      <c r="J30" s="273"/>
      <c r="K30" s="273"/>
      <c r="L30" s="273"/>
      <c r="M30" s="273"/>
      <c r="N30" s="273"/>
      <c r="O30" s="273"/>
      <c r="P30" s="273"/>
    </row>
    <row r="32" spans="2:16" x14ac:dyDescent="0.25">
      <c r="B32" s="67"/>
      <c r="C32" s="67"/>
      <c r="D32" s="67"/>
      <c r="E32" s="67"/>
      <c r="F32" s="67"/>
      <c r="G32" s="67"/>
      <c r="H32" s="67"/>
      <c r="I32" s="67"/>
      <c r="J32" s="67"/>
      <c r="K32" s="67"/>
      <c r="L32" s="67"/>
      <c r="M32" s="67"/>
      <c r="N32" s="67"/>
      <c r="O32" s="67"/>
      <c r="P32" s="67"/>
    </row>
  </sheetData>
  <mergeCells count="2">
    <mergeCell ref="B8:P8"/>
    <mergeCell ref="G25:L25"/>
  </mergeCells>
  <hyperlinks>
    <hyperlink ref="B10" location="Assumption!A1" display="Assumption"/>
    <hyperlink ref="B11" location="'Historical P&amp;L'!A1" display="Historical P &amp; L"/>
    <hyperlink ref="B12" location="'Historical balance Sheet'!A1" display="Historical Balance Sheet"/>
    <hyperlink ref="B13" location="'Revenue Build_up'!A1" display="Revenue Build_Up"/>
    <hyperlink ref="B14" location="'Cost Build_up'!A1" display="Cost Build_Up"/>
    <hyperlink ref="B15" location="'Working Capital Schedules'!A1" display="Working Capital Schedules"/>
    <hyperlink ref="B16" location="'Debt Schedules'!A1" display="Debt Schedules"/>
    <hyperlink ref="B17" location="Balance_Sheet!A1" display="Balance_Sheet Forecasting"/>
    <hyperlink ref="B18" location="'Income statement'!A1" display="Forecasted Income Statement"/>
    <hyperlink ref="B19" location="'Balance Sheet'!A1" display="Forecasted Balance Sheet"/>
    <hyperlink ref="B20" location="'Common Size Statement'!A1" display="Common Size Statement"/>
    <hyperlink ref="B21" location="'Cashflow Statement'!A1" display="Cash Flow"/>
    <hyperlink ref="B22" location="'Equity Market'!A1" display="Equity Market"/>
    <hyperlink ref="B23" location="Beta!A1" display="Beta"/>
    <hyperlink ref="B24" location="'Comps '!A1" display="Relative Valuation"/>
    <hyperlink ref="B25" location="WACC!A1" display="WACC"/>
    <hyperlink ref="B26" location="DCF!A1" display="DCF Model"/>
    <hyperlink ref="B27" location="'Football Field Analysis'!A1" display="FootBall Field Analysis"/>
    <hyperlink ref="B28" location="'Ratio Analysis'!A1" display="Ratios Analysis"/>
    <hyperlink ref="B29" location="Charts!A1" display="Chart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107"/>
  <sheetViews>
    <sheetView showGridLines="0" topLeftCell="A3" workbookViewId="0">
      <pane ySplit="7" topLeftCell="A16" activePane="bottomLeft" state="frozen"/>
      <selection activeCell="A3" sqref="A3"/>
      <selection pane="bottomLeft" activeCell="B15" sqref="B15:C26"/>
    </sheetView>
  </sheetViews>
  <sheetFormatPr defaultRowHeight="15" x14ac:dyDescent="0.25"/>
  <cols>
    <col min="1" max="1" width="1.85546875" customWidth="1"/>
    <col min="2" max="2" width="42.42578125" customWidth="1"/>
    <col min="3" max="3" width="22.85546875" bestFit="1" customWidth="1"/>
    <col min="4" max="4" width="11" bestFit="1" customWidth="1"/>
    <col min="5" max="5" width="18" customWidth="1"/>
  </cols>
  <sheetData>
    <row r="1" spans="2:21" ht="7.5" customHeight="1" x14ac:dyDescent="0.25">
      <c r="B1" s="67"/>
      <c r="C1" s="67"/>
      <c r="D1" s="67"/>
      <c r="E1" s="67"/>
      <c r="F1" s="67"/>
      <c r="G1" s="67"/>
      <c r="H1" s="67"/>
      <c r="I1" s="67"/>
      <c r="J1" s="67"/>
      <c r="K1" s="67"/>
      <c r="L1" s="67"/>
      <c r="M1" s="67"/>
      <c r="N1" s="67"/>
      <c r="O1" s="67"/>
      <c r="P1" s="67"/>
      <c r="Q1" s="67"/>
      <c r="R1" s="67"/>
    </row>
    <row r="8" spans="2:21" x14ac:dyDescent="0.25">
      <c r="B8" s="27" t="s">
        <v>344</v>
      </c>
    </row>
    <row r="9" spans="2:21" x14ac:dyDescent="0.25">
      <c r="B9" s="67"/>
      <c r="C9" s="67"/>
      <c r="D9" s="67"/>
      <c r="E9" s="67"/>
      <c r="F9" s="67"/>
      <c r="G9" s="67"/>
      <c r="H9" s="67"/>
      <c r="I9" s="67"/>
      <c r="J9" s="67"/>
      <c r="K9" s="67"/>
      <c r="L9" s="67"/>
      <c r="M9" s="67"/>
      <c r="N9" s="67"/>
      <c r="O9" s="67"/>
      <c r="P9" s="67"/>
      <c r="Q9" s="67"/>
      <c r="R9" s="67"/>
      <c r="S9" s="67"/>
      <c r="T9" s="67"/>
      <c r="U9" s="67"/>
    </row>
    <row r="10" spans="2:21" ht="15.75" thickBot="1" x14ac:dyDescent="0.3"/>
    <row r="11" spans="2:21" ht="15.75" thickBot="1" x14ac:dyDescent="0.3">
      <c r="B11" s="421" t="s">
        <v>77</v>
      </c>
      <c r="C11" s="421"/>
      <c r="E11" s="255" t="s">
        <v>222</v>
      </c>
      <c r="F11" s="422" t="s">
        <v>352</v>
      </c>
      <c r="G11" s="423"/>
      <c r="H11" s="423"/>
      <c r="I11" s="423"/>
      <c r="J11" s="424"/>
    </row>
    <row r="12" spans="2:21" ht="15.75" thickBot="1" x14ac:dyDescent="0.3">
      <c r="B12" s="254" t="s">
        <v>79</v>
      </c>
      <c r="C12" s="254">
        <f>IF(B12="Best Case",1,IF(B12="Base Case",2,3))</f>
        <v>2</v>
      </c>
      <c r="E12" s="252" t="s">
        <v>338</v>
      </c>
      <c r="F12" s="425" t="s">
        <v>408</v>
      </c>
      <c r="G12" s="426"/>
      <c r="H12" s="426"/>
      <c r="I12" s="426"/>
      <c r="J12" s="427"/>
    </row>
    <row r="13" spans="2:21" x14ac:dyDescent="0.25">
      <c r="E13" s="252" t="s">
        <v>339</v>
      </c>
      <c r="F13" s="425" t="s">
        <v>353</v>
      </c>
      <c r="G13" s="426"/>
      <c r="H13" s="426"/>
      <c r="I13" s="426"/>
      <c r="J13" s="427"/>
    </row>
    <row r="14" spans="2:21" ht="15.75" thickBot="1" x14ac:dyDescent="0.3">
      <c r="E14" s="252" t="s">
        <v>340</v>
      </c>
      <c r="F14" s="425" t="s">
        <v>354</v>
      </c>
      <c r="G14" s="426"/>
      <c r="H14" s="426"/>
      <c r="I14" s="426"/>
      <c r="J14" s="427"/>
    </row>
    <row r="15" spans="2:21" ht="15.75" thickBot="1" x14ac:dyDescent="0.3">
      <c r="B15" s="419" t="s">
        <v>98</v>
      </c>
      <c r="C15" s="420"/>
      <c r="E15" s="252" t="s">
        <v>341</v>
      </c>
      <c r="F15" s="425" t="s">
        <v>344</v>
      </c>
      <c r="G15" s="426"/>
      <c r="H15" s="426"/>
      <c r="I15" s="426"/>
      <c r="J15" s="427"/>
    </row>
    <row r="16" spans="2:21" x14ac:dyDescent="0.25">
      <c r="B16" s="244" t="s">
        <v>99</v>
      </c>
      <c r="C16" s="274">
        <v>45888</v>
      </c>
      <c r="E16" s="256" t="s">
        <v>342</v>
      </c>
      <c r="F16" s="428" t="s">
        <v>355</v>
      </c>
      <c r="G16" s="429"/>
      <c r="H16" s="429"/>
      <c r="I16" s="429"/>
      <c r="J16" s="430"/>
    </row>
    <row r="17" spans="2:10" ht="15" customHeight="1" x14ac:dyDescent="0.25">
      <c r="B17" s="245" t="s">
        <v>100</v>
      </c>
      <c r="C17" s="275">
        <v>46112</v>
      </c>
      <c r="E17" s="416" t="s">
        <v>343</v>
      </c>
      <c r="F17" s="407" t="s">
        <v>356</v>
      </c>
      <c r="G17" s="408"/>
      <c r="H17" s="408"/>
      <c r="I17" s="408"/>
      <c r="J17" s="409"/>
    </row>
    <row r="18" spans="2:10" x14ac:dyDescent="0.25">
      <c r="B18" s="245" t="s">
        <v>462</v>
      </c>
      <c r="C18" s="387">
        <f>'Revenue Build_up'!C29</f>
        <v>0.08</v>
      </c>
      <c r="E18" s="417"/>
      <c r="F18" s="410"/>
      <c r="G18" s="411"/>
      <c r="H18" s="411"/>
      <c r="I18" s="411"/>
      <c r="J18" s="412"/>
    </row>
    <row r="19" spans="2:10" x14ac:dyDescent="0.25">
      <c r="B19" s="245" t="s">
        <v>101</v>
      </c>
      <c r="C19" s="277">
        <v>6.5119999999999997E-2</v>
      </c>
      <c r="E19" s="417"/>
      <c r="F19" s="410"/>
      <c r="G19" s="411"/>
      <c r="H19" s="411"/>
      <c r="I19" s="411"/>
      <c r="J19" s="412"/>
    </row>
    <row r="20" spans="2:10" x14ac:dyDescent="0.25">
      <c r="B20" s="245" t="s">
        <v>102</v>
      </c>
      <c r="C20" s="246">
        <f>'Cost Build_up'!H39</f>
        <v>6.1471938277293303E-2</v>
      </c>
      <c r="E20" s="417"/>
      <c r="F20" s="410"/>
      <c r="G20" s="411"/>
      <c r="H20" s="411"/>
      <c r="I20" s="411"/>
      <c r="J20" s="412"/>
    </row>
    <row r="21" spans="2:10" x14ac:dyDescent="0.25">
      <c r="B21" s="245" t="s">
        <v>103</v>
      </c>
      <c r="C21" s="247">
        <f>'Comps '!E40</f>
        <v>27.029874552432574</v>
      </c>
      <c r="E21" s="417"/>
      <c r="F21" s="410"/>
      <c r="G21" s="411"/>
      <c r="H21" s="411"/>
      <c r="I21" s="411"/>
      <c r="J21" s="412"/>
    </row>
    <row r="22" spans="2:10" x14ac:dyDescent="0.25">
      <c r="B22" s="245" t="s">
        <v>104</v>
      </c>
      <c r="C22" s="276">
        <v>0.06</v>
      </c>
      <c r="E22" s="417"/>
      <c r="F22" s="410"/>
      <c r="G22" s="411"/>
      <c r="H22" s="411"/>
      <c r="I22" s="411"/>
      <c r="J22" s="412"/>
    </row>
    <row r="23" spans="2:10" x14ac:dyDescent="0.25">
      <c r="B23" s="245" t="s">
        <v>105</v>
      </c>
      <c r="C23" s="356">
        <f>WACC!F53</f>
        <v>0.10941090763093389</v>
      </c>
      <c r="E23" s="417"/>
      <c r="F23" s="410"/>
      <c r="G23" s="411"/>
      <c r="H23" s="411"/>
      <c r="I23" s="411"/>
      <c r="J23" s="412"/>
    </row>
    <row r="24" spans="2:10" x14ac:dyDescent="0.25">
      <c r="B24" s="245" t="s">
        <v>106</v>
      </c>
      <c r="C24" s="347">
        <v>36.26</v>
      </c>
      <c r="E24" s="417"/>
      <c r="F24" s="410"/>
      <c r="G24" s="411"/>
      <c r="H24" s="411"/>
      <c r="I24" s="411"/>
      <c r="J24" s="412"/>
    </row>
    <row r="25" spans="2:10" x14ac:dyDescent="0.25">
      <c r="B25" s="245" t="s">
        <v>107</v>
      </c>
      <c r="C25" s="278">
        <v>389.45</v>
      </c>
      <c r="E25" s="417"/>
      <c r="F25" s="410"/>
      <c r="G25" s="411"/>
      <c r="H25" s="411"/>
      <c r="I25" s="411"/>
      <c r="J25" s="412"/>
    </row>
    <row r="26" spans="2:10" ht="15.75" thickBot="1" x14ac:dyDescent="0.3">
      <c r="B26" s="248" t="s">
        <v>108</v>
      </c>
      <c r="C26" s="249">
        <f>C25*C24</f>
        <v>14121.456999999999</v>
      </c>
      <c r="E26" s="417"/>
      <c r="F26" s="410"/>
      <c r="G26" s="411"/>
      <c r="H26" s="411"/>
      <c r="I26" s="411"/>
      <c r="J26" s="412"/>
    </row>
    <row r="27" spans="2:10" ht="15.75" thickBot="1" x14ac:dyDescent="0.3">
      <c r="E27" s="417"/>
      <c r="F27" s="410"/>
      <c r="G27" s="411"/>
      <c r="H27" s="411"/>
      <c r="I27" s="411"/>
      <c r="J27" s="412"/>
    </row>
    <row r="28" spans="2:10" ht="15.75" thickBot="1" x14ac:dyDescent="0.3">
      <c r="B28" s="419" t="s">
        <v>331</v>
      </c>
      <c r="C28" s="420"/>
      <c r="E28" s="417"/>
      <c r="F28" s="410"/>
      <c r="G28" s="411"/>
      <c r="H28" s="411"/>
      <c r="I28" s="411"/>
      <c r="J28" s="412"/>
    </row>
    <row r="29" spans="2:10" x14ac:dyDescent="0.25">
      <c r="B29" s="250" t="s">
        <v>332</v>
      </c>
      <c r="C29" s="251" t="s">
        <v>333</v>
      </c>
      <c r="E29" s="417"/>
      <c r="F29" s="410"/>
      <c r="G29" s="411"/>
      <c r="H29" s="411"/>
      <c r="I29" s="411"/>
      <c r="J29" s="412"/>
    </row>
    <row r="30" spans="2:10" x14ac:dyDescent="0.25">
      <c r="B30" s="252" t="s">
        <v>334</v>
      </c>
      <c r="C30" s="253" t="s">
        <v>335</v>
      </c>
      <c r="E30" s="417"/>
      <c r="F30" s="410"/>
      <c r="G30" s="411"/>
      <c r="H30" s="411"/>
      <c r="I30" s="411"/>
      <c r="J30" s="412"/>
    </row>
    <row r="31" spans="2:10" ht="15.75" thickBot="1" x14ac:dyDescent="0.3">
      <c r="B31" s="366" t="s">
        <v>336</v>
      </c>
      <c r="C31" s="367" t="s">
        <v>337</v>
      </c>
      <c r="E31" s="418"/>
      <c r="F31" s="413"/>
      <c r="G31" s="414"/>
      <c r="H31" s="414"/>
      <c r="I31" s="414"/>
      <c r="J31" s="415"/>
    </row>
    <row r="33" spans="2:21" x14ac:dyDescent="0.25">
      <c r="B33" s="263" t="s">
        <v>358</v>
      </c>
      <c r="C33" s="263" t="s">
        <v>359</v>
      </c>
      <c r="D33" s="435" t="s">
        <v>360</v>
      </c>
      <c r="E33" s="435"/>
      <c r="F33" s="435" t="s">
        <v>361</v>
      </c>
      <c r="G33" s="435"/>
      <c r="H33" s="435"/>
      <c r="I33" s="435"/>
      <c r="J33" s="435"/>
      <c r="K33" s="435"/>
      <c r="L33" s="435"/>
      <c r="M33" s="435"/>
      <c r="N33" s="435"/>
      <c r="O33" s="435"/>
      <c r="P33" s="435"/>
      <c r="Q33" s="435"/>
      <c r="R33" s="435"/>
      <c r="S33" s="435"/>
      <c r="T33" s="67"/>
      <c r="U33" s="67"/>
    </row>
    <row r="34" spans="2:21" ht="15.75" thickBot="1" x14ac:dyDescent="0.3"/>
    <row r="35" spans="2:21" ht="15" customHeight="1" x14ac:dyDescent="0.25">
      <c r="B35" s="460" t="s">
        <v>463</v>
      </c>
      <c r="C35" s="461" t="s">
        <v>370</v>
      </c>
      <c r="D35" s="436" t="s">
        <v>376</v>
      </c>
      <c r="E35" s="436"/>
      <c r="F35" s="447" t="s">
        <v>506</v>
      </c>
      <c r="G35" s="448"/>
      <c r="H35" s="448"/>
      <c r="I35" s="448"/>
      <c r="J35" s="448"/>
      <c r="K35" s="448"/>
      <c r="L35" s="448"/>
      <c r="M35" s="448"/>
      <c r="N35" s="448"/>
      <c r="O35" s="448"/>
      <c r="P35" s="448"/>
      <c r="Q35" s="448"/>
      <c r="R35" s="448"/>
      <c r="S35" s="448"/>
      <c r="T35" s="449"/>
    </row>
    <row r="36" spans="2:21" x14ac:dyDescent="0.25">
      <c r="B36" s="457"/>
      <c r="C36" s="459"/>
      <c r="D36" s="437"/>
      <c r="E36" s="437"/>
      <c r="F36" s="441"/>
      <c r="G36" s="442"/>
      <c r="H36" s="442"/>
      <c r="I36" s="442"/>
      <c r="J36" s="442"/>
      <c r="K36" s="442"/>
      <c r="L36" s="442"/>
      <c r="M36" s="442"/>
      <c r="N36" s="442"/>
      <c r="O36" s="442"/>
      <c r="P36" s="442"/>
      <c r="Q36" s="442"/>
      <c r="R36" s="442"/>
      <c r="S36" s="442"/>
      <c r="T36" s="443"/>
    </row>
    <row r="37" spans="2:21" x14ac:dyDescent="0.25">
      <c r="B37" s="458"/>
      <c r="C37" s="434"/>
      <c r="D37" s="437"/>
      <c r="E37" s="437"/>
      <c r="F37" s="444"/>
      <c r="G37" s="445"/>
      <c r="H37" s="445"/>
      <c r="I37" s="445"/>
      <c r="J37" s="445"/>
      <c r="K37" s="445"/>
      <c r="L37" s="445"/>
      <c r="M37" s="445"/>
      <c r="N37" s="445"/>
      <c r="O37" s="445"/>
      <c r="P37" s="445"/>
      <c r="Q37" s="445"/>
      <c r="R37" s="445"/>
      <c r="S37" s="445"/>
      <c r="T37" s="446"/>
    </row>
    <row r="39" spans="2:21" x14ac:dyDescent="0.25">
      <c r="B39" s="390" t="s">
        <v>508</v>
      </c>
      <c r="C39" s="264" t="s">
        <v>370</v>
      </c>
      <c r="D39" s="437" t="s">
        <v>507</v>
      </c>
      <c r="E39" s="437"/>
      <c r="F39" s="450" t="s">
        <v>509</v>
      </c>
      <c r="G39" s="451"/>
      <c r="H39" s="451"/>
      <c r="I39" s="451"/>
      <c r="J39" s="451"/>
      <c r="K39" s="451"/>
      <c r="L39" s="451"/>
      <c r="M39" s="451"/>
      <c r="N39" s="451"/>
      <c r="O39" s="451"/>
      <c r="P39" s="451"/>
      <c r="Q39" s="451"/>
      <c r="R39" s="451"/>
      <c r="S39" s="451"/>
      <c r="T39" s="452"/>
    </row>
    <row r="41" spans="2:21" x14ac:dyDescent="0.25">
      <c r="B41" s="390" t="s">
        <v>5</v>
      </c>
      <c r="C41" s="264" t="s">
        <v>370</v>
      </c>
      <c r="D41" s="437" t="s">
        <v>385</v>
      </c>
      <c r="E41" s="437"/>
      <c r="F41" s="450" t="s">
        <v>377</v>
      </c>
      <c r="G41" s="451"/>
      <c r="H41" s="451"/>
      <c r="I41" s="451"/>
      <c r="J41" s="451"/>
      <c r="K41" s="451"/>
      <c r="L41" s="451"/>
      <c r="M41" s="451"/>
      <c r="N41" s="451"/>
      <c r="O41" s="451"/>
      <c r="P41" s="451"/>
      <c r="Q41" s="451"/>
      <c r="R41" s="451"/>
      <c r="S41" s="451"/>
      <c r="T41" s="452"/>
    </row>
    <row r="42" spans="2:21" ht="15" customHeight="1" x14ac:dyDescent="0.25"/>
    <row r="43" spans="2:21" x14ac:dyDescent="0.25">
      <c r="B43" s="404" t="s">
        <v>510</v>
      </c>
      <c r="C43" s="264" t="s">
        <v>370</v>
      </c>
      <c r="D43" s="437" t="s">
        <v>392</v>
      </c>
      <c r="E43" s="437"/>
      <c r="F43" s="450" t="s">
        <v>511</v>
      </c>
      <c r="G43" s="451"/>
      <c r="H43" s="451"/>
      <c r="I43" s="451"/>
      <c r="J43" s="451"/>
      <c r="K43" s="451"/>
      <c r="L43" s="451"/>
      <c r="M43" s="451"/>
      <c r="N43" s="451"/>
      <c r="O43" s="451"/>
      <c r="P43" s="451"/>
      <c r="Q43" s="451"/>
      <c r="R43" s="451"/>
      <c r="S43" s="451"/>
      <c r="T43" s="452"/>
    </row>
    <row r="45" spans="2:21" ht="15" customHeight="1" x14ac:dyDescent="0.25">
      <c r="B45" s="456" t="s">
        <v>85</v>
      </c>
      <c r="C45" s="433" t="s">
        <v>371</v>
      </c>
      <c r="D45" s="437" t="s">
        <v>374</v>
      </c>
      <c r="E45" s="437"/>
      <c r="F45" s="438" t="s">
        <v>457</v>
      </c>
      <c r="G45" s="439"/>
      <c r="H45" s="439"/>
      <c r="I45" s="439"/>
      <c r="J45" s="439"/>
      <c r="K45" s="439"/>
      <c r="L45" s="439"/>
      <c r="M45" s="439"/>
      <c r="N45" s="439"/>
      <c r="O45" s="439"/>
      <c r="P45" s="439"/>
      <c r="Q45" s="439"/>
      <c r="R45" s="439"/>
      <c r="S45" s="439"/>
      <c r="T45" s="440"/>
    </row>
    <row r="46" spans="2:21" ht="15" customHeight="1" x14ac:dyDescent="0.25">
      <c r="B46" s="457"/>
      <c r="C46" s="459"/>
      <c r="D46" s="437"/>
      <c r="E46" s="437"/>
      <c r="F46" s="441"/>
      <c r="G46" s="442"/>
      <c r="H46" s="442"/>
      <c r="I46" s="442"/>
      <c r="J46" s="442"/>
      <c r="K46" s="442"/>
      <c r="L46" s="442"/>
      <c r="M46" s="442"/>
      <c r="N46" s="442"/>
      <c r="O46" s="442"/>
      <c r="P46" s="442"/>
      <c r="Q46" s="442"/>
      <c r="R46" s="442"/>
      <c r="S46" s="442"/>
      <c r="T46" s="443"/>
    </row>
    <row r="47" spans="2:21" x14ac:dyDescent="0.25">
      <c r="B47" s="458"/>
      <c r="C47" s="434"/>
      <c r="D47" s="437"/>
      <c r="E47" s="437"/>
      <c r="F47" s="444"/>
      <c r="G47" s="445"/>
      <c r="H47" s="445"/>
      <c r="I47" s="445"/>
      <c r="J47" s="445"/>
      <c r="K47" s="445"/>
      <c r="L47" s="445"/>
      <c r="M47" s="445"/>
      <c r="N47" s="445"/>
      <c r="O47" s="445"/>
      <c r="P47" s="445"/>
      <c r="Q47" s="445"/>
      <c r="R47" s="445"/>
      <c r="S47" s="445"/>
      <c r="T47" s="446"/>
    </row>
    <row r="49" spans="2:20" x14ac:dyDescent="0.25">
      <c r="B49" s="456" t="s">
        <v>362</v>
      </c>
      <c r="C49" s="433" t="s">
        <v>371</v>
      </c>
      <c r="D49" s="437" t="s">
        <v>375</v>
      </c>
      <c r="E49" s="437"/>
      <c r="F49" s="438" t="s">
        <v>378</v>
      </c>
      <c r="G49" s="439"/>
      <c r="H49" s="439"/>
      <c r="I49" s="439"/>
      <c r="J49" s="439"/>
      <c r="K49" s="439"/>
      <c r="L49" s="439"/>
      <c r="M49" s="439"/>
      <c r="N49" s="439"/>
      <c r="O49" s="439"/>
      <c r="P49" s="439"/>
      <c r="Q49" s="439"/>
      <c r="R49" s="439"/>
      <c r="S49" s="439"/>
      <c r="T49" s="440"/>
    </row>
    <row r="50" spans="2:20" x14ac:dyDescent="0.25">
      <c r="B50" s="457"/>
      <c r="C50" s="459"/>
      <c r="D50" s="437"/>
      <c r="E50" s="437"/>
      <c r="F50" s="441"/>
      <c r="G50" s="442"/>
      <c r="H50" s="442"/>
      <c r="I50" s="442"/>
      <c r="J50" s="442"/>
      <c r="K50" s="442"/>
      <c r="L50" s="442"/>
      <c r="M50" s="442"/>
      <c r="N50" s="442"/>
      <c r="O50" s="442"/>
      <c r="P50" s="442"/>
      <c r="Q50" s="442"/>
      <c r="R50" s="442"/>
      <c r="S50" s="442"/>
      <c r="T50" s="443"/>
    </row>
    <row r="51" spans="2:20" x14ac:dyDescent="0.25">
      <c r="B51" s="457"/>
      <c r="C51" s="459"/>
      <c r="D51" s="437"/>
      <c r="E51" s="437"/>
      <c r="F51" s="441"/>
      <c r="G51" s="442"/>
      <c r="H51" s="442"/>
      <c r="I51" s="442"/>
      <c r="J51" s="442"/>
      <c r="K51" s="442"/>
      <c r="L51" s="442"/>
      <c r="M51" s="442"/>
      <c r="N51" s="442"/>
      <c r="O51" s="442"/>
      <c r="P51" s="442"/>
      <c r="Q51" s="442"/>
      <c r="R51" s="442"/>
      <c r="S51" s="442"/>
      <c r="T51" s="443"/>
    </row>
    <row r="52" spans="2:20" x14ac:dyDescent="0.25">
      <c r="B52" s="458"/>
      <c r="C52" s="434"/>
      <c r="D52" s="437"/>
      <c r="E52" s="437"/>
      <c r="F52" s="444"/>
      <c r="G52" s="445"/>
      <c r="H52" s="445"/>
      <c r="I52" s="445"/>
      <c r="J52" s="445"/>
      <c r="K52" s="445"/>
      <c r="L52" s="445"/>
      <c r="M52" s="445"/>
      <c r="N52" s="445"/>
      <c r="O52" s="445"/>
      <c r="P52" s="445"/>
      <c r="Q52" s="445"/>
      <c r="R52" s="445"/>
      <c r="S52" s="445"/>
      <c r="T52" s="446"/>
    </row>
    <row r="53" spans="2:20" ht="15" customHeight="1" x14ac:dyDescent="0.25"/>
    <row r="54" spans="2:20" x14ac:dyDescent="0.25">
      <c r="B54" s="456" t="s">
        <v>363</v>
      </c>
      <c r="C54" s="433" t="s">
        <v>371</v>
      </c>
      <c r="D54" s="437" t="s">
        <v>386</v>
      </c>
      <c r="E54" s="437"/>
      <c r="F54" s="438" t="s">
        <v>458</v>
      </c>
      <c r="G54" s="439"/>
      <c r="H54" s="439"/>
      <c r="I54" s="439"/>
      <c r="J54" s="439"/>
      <c r="K54" s="439"/>
      <c r="L54" s="439"/>
      <c r="M54" s="439"/>
      <c r="N54" s="439"/>
      <c r="O54" s="439"/>
      <c r="P54" s="439"/>
      <c r="Q54" s="439"/>
      <c r="R54" s="439"/>
      <c r="S54" s="439"/>
      <c r="T54" s="440"/>
    </row>
    <row r="55" spans="2:20" x14ac:dyDescent="0.25">
      <c r="B55" s="457"/>
      <c r="C55" s="459"/>
      <c r="D55" s="437"/>
      <c r="E55" s="437"/>
      <c r="F55" s="441"/>
      <c r="G55" s="442"/>
      <c r="H55" s="442"/>
      <c r="I55" s="442"/>
      <c r="J55" s="442"/>
      <c r="K55" s="442"/>
      <c r="L55" s="442"/>
      <c r="M55" s="442"/>
      <c r="N55" s="442"/>
      <c r="O55" s="442"/>
      <c r="P55" s="442"/>
      <c r="Q55" s="442"/>
      <c r="R55" s="442"/>
      <c r="S55" s="442"/>
      <c r="T55" s="443"/>
    </row>
    <row r="56" spans="2:20" x14ac:dyDescent="0.25">
      <c r="B56" s="458"/>
      <c r="C56" s="434"/>
      <c r="D56" s="437"/>
      <c r="E56" s="437"/>
      <c r="F56" s="444"/>
      <c r="G56" s="445"/>
      <c r="H56" s="445"/>
      <c r="I56" s="445"/>
      <c r="J56" s="445"/>
      <c r="K56" s="445"/>
      <c r="L56" s="445"/>
      <c r="M56" s="445"/>
      <c r="N56" s="445"/>
      <c r="O56" s="445"/>
      <c r="P56" s="445"/>
      <c r="Q56" s="445"/>
      <c r="R56" s="445"/>
      <c r="S56" s="445"/>
      <c r="T56" s="446"/>
    </row>
    <row r="58" spans="2:20" x14ac:dyDescent="0.25">
      <c r="B58" s="391" t="s">
        <v>104</v>
      </c>
      <c r="C58" s="375" t="s">
        <v>98</v>
      </c>
      <c r="D58" s="437" t="s">
        <v>384</v>
      </c>
      <c r="E58" s="437"/>
      <c r="F58" s="453" t="s">
        <v>512</v>
      </c>
      <c r="G58" s="454"/>
      <c r="H58" s="454"/>
      <c r="I58" s="454"/>
      <c r="J58" s="454"/>
      <c r="K58" s="454"/>
      <c r="L58" s="454"/>
      <c r="M58" s="454"/>
      <c r="N58" s="454"/>
      <c r="O58" s="454"/>
      <c r="P58" s="454"/>
      <c r="Q58" s="454"/>
      <c r="R58" s="454"/>
      <c r="S58" s="454"/>
      <c r="T58" s="455"/>
    </row>
    <row r="59" spans="2:20" ht="15" customHeight="1" x14ac:dyDescent="0.25"/>
    <row r="60" spans="2:20" ht="15" customHeight="1" x14ac:dyDescent="0.25">
      <c r="B60" s="391" t="s">
        <v>96</v>
      </c>
      <c r="C60" s="375" t="s">
        <v>371</v>
      </c>
      <c r="D60" s="437" t="s">
        <v>387</v>
      </c>
      <c r="E60" s="437"/>
      <c r="F60" s="453" t="s">
        <v>459</v>
      </c>
      <c r="G60" s="454"/>
      <c r="H60" s="454"/>
      <c r="I60" s="454"/>
      <c r="J60" s="454"/>
      <c r="K60" s="454"/>
      <c r="L60" s="454"/>
      <c r="M60" s="454"/>
      <c r="N60" s="454"/>
      <c r="O60" s="454"/>
      <c r="P60" s="454"/>
      <c r="Q60" s="454"/>
      <c r="R60" s="454"/>
      <c r="S60" s="454"/>
      <c r="T60" s="455"/>
    </row>
    <row r="61" spans="2:20" ht="15" customHeight="1" x14ac:dyDescent="0.25"/>
    <row r="62" spans="2:20" x14ac:dyDescent="0.25">
      <c r="B62" s="431" t="s">
        <v>364</v>
      </c>
      <c r="C62" s="433" t="s">
        <v>372</v>
      </c>
      <c r="D62" s="437" t="s">
        <v>388</v>
      </c>
      <c r="E62" s="437"/>
      <c r="F62" s="438" t="s">
        <v>379</v>
      </c>
      <c r="G62" s="439"/>
      <c r="H62" s="439"/>
      <c r="I62" s="439"/>
      <c r="J62" s="439"/>
      <c r="K62" s="439"/>
      <c r="L62" s="439"/>
      <c r="M62" s="439"/>
      <c r="N62" s="439"/>
      <c r="O62" s="439"/>
      <c r="P62" s="439"/>
      <c r="Q62" s="439"/>
      <c r="R62" s="439"/>
      <c r="S62" s="439"/>
      <c r="T62" s="440"/>
    </row>
    <row r="63" spans="2:20" x14ac:dyDescent="0.25">
      <c r="B63" s="432"/>
      <c r="C63" s="434"/>
      <c r="D63" s="437"/>
      <c r="E63" s="437"/>
      <c r="F63" s="444"/>
      <c r="G63" s="445"/>
      <c r="H63" s="445"/>
      <c r="I63" s="445"/>
      <c r="J63" s="445"/>
      <c r="K63" s="445"/>
      <c r="L63" s="445"/>
      <c r="M63" s="445"/>
      <c r="N63" s="445"/>
      <c r="O63" s="445"/>
      <c r="P63" s="445"/>
      <c r="Q63" s="445"/>
      <c r="R63" s="445"/>
      <c r="S63" s="445"/>
      <c r="T63" s="446"/>
    </row>
    <row r="65" spans="2:20" ht="15" customHeight="1" x14ac:dyDescent="0.25">
      <c r="B65" s="431" t="s">
        <v>365</v>
      </c>
      <c r="C65" s="433" t="s">
        <v>372</v>
      </c>
      <c r="D65" s="437" t="s">
        <v>389</v>
      </c>
      <c r="E65" s="437"/>
      <c r="F65" s="438" t="s">
        <v>380</v>
      </c>
      <c r="G65" s="439"/>
      <c r="H65" s="439"/>
      <c r="I65" s="439"/>
      <c r="J65" s="439"/>
      <c r="K65" s="439"/>
      <c r="L65" s="439"/>
      <c r="M65" s="439"/>
      <c r="N65" s="439"/>
      <c r="O65" s="439"/>
      <c r="P65" s="439"/>
      <c r="Q65" s="439"/>
      <c r="R65" s="439"/>
      <c r="S65" s="439"/>
      <c r="T65" s="440"/>
    </row>
    <row r="66" spans="2:20" ht="15" customHeight="1" x14ac:dyDescent="0.25">
      <c r="B66" s="432"/>
      <c r="C66" s="434"/>
      <c r="D66" s="437"/>
      <c r="E66" s="437"/>
      <c r="F66" s="444"/>
      <c r="G66" s="445"/>
      <c r="H66" s="445"/>
      <c r="I66" s="445"/>
      <c r="J66" s="445"/>
      <c r="K66" s="445"/>
      <c r="L66" s="445"/>
      <c r="M66" s="445"/>
      <c r="N66" s="445"/>
      <c r="O66" s="445"/>
      <c r="P66" s="445"/>
      <c r="Q66" s="445"/>
      <c r="R66" s="445"/>
      <c r="S66" s="445"/>
      <c r="T66" s="446"/>
    </row>
    <row r="68" spans="2:20" ht="15" customHeight="1" x14ac:dyDescent="0.25">
      <c r="B68" s="431" t="s">
        <v>366</v>
      </c>
      <c r="C68" s="433" t="s">
        <v>372</v>
      </c>
      <c r="D68" s="437" t="s">
        <v>390</v>
      </c>
      <c r="E68" s="437"/>
      <c r="F68" s="438" t="s">
        <v>382</v>
      </c>
      <c r="G68" s="439"/>
      <c r="H68" s="439"/>
      <c r="I68" s="439"/>
      <c r="J68" s="439"/>
      <c r="K68" s="439"/>
      <c r="L68" s="439"/>
      <c r="M68" s="439"/>
      <c r="N68" s="439"/>
      <c r="O68" s="439"/>
      <c r="P68" s="439"/>
      <c r="Q68" s="439"/>
      <c r="R68" s="439"/>
      <c r="S68" s="439"/>
      <c r="T68" s="440"/>
    </row>
    <row r="69" spans="2:20" x14ac:dyDescent="0.25">
      <c r="B69" s="432"/>
      <c r="C69" s="434"/>
      <c r="D69" s="437"/>
      <c r="E69" s="437"/>
      <c r="F69" s="444"/>
      <c r="G69" s="445"/>
      <c r="H69" s="445"/>
      <c r="I69" s="445"/>
      <c r="J69" s="445"/>
      <c r="K69" s="445"/>
      <c r="L69" s="445"/>
      <c r="M69" s="445"/>
      <c r="N69" s="445"/>
      <c r="O69" s="445"/>
      <c r="P69" s="445"/>
      <c r="Q69" s="445"/>
      <c r="R69" s="445"/>
      <c r="S69" s="445"/>
      <c r="T69" s="446"/>
    </row>
    <row r="70" spans="2:20" ht="15" customHeight="1" x14ac:dyDescent="0.25"/>
    <row r="71" spans="2:20" ht="15" customHeight="1" x14ac:dyDescent="0.25">
      <c r="B71" s="431" t="s">
        <v>367</v>
      </c>
      <c r="C71" s="433" t="s">
        <v>372</v>
      </c>
      <c r="D71" s="437" t="s">
        <v>391</v>
      </c>
      <c r="E71" s="437"/>
      <c r="F71" s="438" t="s">
        <v>381</v>
      </c>
      <c r="G71" s="439"/>
      <c r="H71" s="439"/>
      <c r="I71" s="439"/>
      <c r="J71" s="439"/>
      <c r="K71" s="439"/>
      <c r="L71" s="439"/>
      <c r="M71" s="439"/>
      <c r="N71" s="439"/>
      <c r="O71" s="439"/>
      <c r="P71" s="439"/>
      <c r="Q71" s="439"/>
      <c r="R71" s="439"/>
      <c r="S71" s="439"/>
      <c r="T71" s="440"/>
    </row>
    <row r="72" spans="2:20" x14ac:dyDescent="0.25">
      <c r="B72" s="432"/>
      <c r="C72" s="434"/>
      <c r="D72" s="437"/>
      <c r="E72" s="437"/>
      <c r="F72" s="444"/>
      <c r="G72" s="445"/>
      <c r="H72" s="445"/>
      <c r="I72" s="445"/>
      <c r="J72" s="445"/>
      <c r="K72" s="445"/>
      <c r="L72" s="445"/>
      <c r="M72" s="445"/>
      <c r="N72" s="445"/>
      <c r="O72" s="445"/>
      <c r="P72" s="445"/>
      <c r="Q72" s="445"/>
      <c r="R72" s="445"/>
      <c r="S72" s="445"/>
      <c r="T72" s="446"/>
    </row>
    <row r="73" spans="2:20" ht="15" customHeight="1" x14ac:dyDescent="0.25"/>
    <row r="74" spans="2:20" ht="15" customHeight="1" x14ac:dyDescent="0.25">
      <c r="B74" s="391" t="s">
        <v>368</v>
      </c>
      <c r="C74" s="375" t="s">
        <v>350</v>
      </c>
      <c r="D74" s="437" t="s">
        <v>392</v>
      </c>
      <c r="E74" s="437"/>
      <c r="F74" s="453" t="s">
        <v>383</v>
      </c>
      <c r="G74" s="454"/>
      <c r="H74" s="454"/>
      <c r="I74" s="454"/>
      <c r="J74" s="454"/>
      <c r="K74" s="454"/>
      <c r="L74" s="454"/>
      <c r="M74" s="454"/>
      <c r="N74" s="454"/>
      <c r="O74" s="454"/>
      <c r="P74" s="454"/>
      <c r="Q74" s="454"/>
      <c r="R74" s="454"/>
      <c r="S74" s="454"/>
      <c r="T74" s="455"/>
    </row>
    <row r="75" spans="2:20" ht="15" customHeight="1" x14ac:dyDescent="0.25"/>
    <row r="76" spans="2:20" ht="15" customHeight="1" x14ac:dyDescent="0.25">
      <c r="B76" s="391" t="s">
        <v>518</v>
      </c>
      <c r="C76" s="393" t="s">
        <v>350</v>
      </c>
      <c r="D76" s="437" t="s">
        <v>515</v>
      </c>
      <c r="E76" s="437"/>
      <c r="F76" s="453" t="s">
        <v>519</v>
      </c>
      <c r="G76" s="454"/>
      <c r="H76" s="454"/>
      <c r="I76" s="454"/>
      <c r="J76" s="454"/>
      <c r="K76" s="454"/>
      <c r="L76" s="454"/>
      <c r="M76" s="454"/>
      <c r="N76" s="454"/>
      <c r="O76" s="454"/>
      <c r="P76" s="454"/>
      <c r="Q76" s="454"/>
      <c r="R76" s="454"/>
      <c r="S76" s="454"/>
      <c r="T76" s="455"/>
    </row>
    <row r="77" spans="2:20" ht="15" customHeight="1" x14ac:dyDescent="0.25"/>
    <row r="78" spans="2:20" ht="15" customHeight="1" x14ac:dyDescent="0.25">
      <c r="B78" s="392" t="s">
        <v>369</v>
      </c>
      <c r="C78" s="376" t="s">
        <v>373</v>
      </c>
      <c r="D78" s="462" t="s">
        <v>393</v>
      </c>
      <c r="E78" s="462"/>
      <c r="F78" s="453" t="s">
        <v>460</v>
      </c>
      <c r="G78" s="454"/>
      <c r="H78" s="454"/>
      <c r="I78" s="454"/>
      <c r="J78" s="454"/>
      <c r="K78" s="454"/>
      <c r="L78" s="454"/>
      <c r="M78" s="454"/>
      <c r="N78" s="454"/>
      <c r="O78" s="454"/>
      <c r="P78" s="454"/>
      <c r="Q78" s="454"/>
      <c r="R78" s="454"/>
      <c r="S78" s="454"/>
      <c r="T78" s="455"/>
    </row>
    <row r="79" spans="2:20" ht="15" customHeight="1" x14ac:dyDescent="0.25"/>
    <row r="80" spans="2:20" ht="15" customHeight="1" x14ac:dyDescent="0.25">
      <c r="B80" s="392" t="s">
        <v>476</v>
      </c>
      <c r="C80" s="375" t="s">
        <v>98</v>
      </c>
      <c r="D80" s="462" t="s">
        <v>478</v>
      </c>
      <c r="E80" s="462"/>
      <c r="F80" s="453" t="s">
        <v>479</v>
      </c>
      <c r="G80" s="454"/>
      <c r="H80" s="454"/>
      <c r="I80" s="454"/>
      <c r="J80" s="454"/>
      <c r="K80" s="454"/>
      <c r="L80" s="454"/>
      <c r="M80" s="454"/>
      <c r="N80" s="454"/>
      <c r="O80" s="454"/>
      <c r="P80" s="454"/>
      <c r="Q80" s="454"/>
      <c r="R80" s="454"/>
      <c r="S80" s="454"/>
      <c r="T80" s="455"/>
    </row>
    <row r="81" spans="2:20" ht="15" customHeight="1" x14ac:dyDescent="0.25"/>
    <row r="82" spans="2:20" ht="15" customHeight="1" x14ac:dyDescent="0.25">
      <c r="B82" s="389" t="s">
        <v>462</v>
      </c>
      <c r="C82" s="375" t="s">
        <v>98</v>
      </c>
      <c r="D82" s="462" t="s">
        <v>477</v>
      </c>
      <c r="E82" s="462"/>
      <c r="F82" s="453" t="s">
        <v>504</v>
      </c>
      <c r="G82" s="454"/>
      <c r="H82" s="454"/>
      <c r="I82" s="454"/>
      <c r="J82" s="454"/>
      <c r="K82" s="454"/>
      <c r="L82" s="454"/>
      <c r="M82" s="454"/>
      <c r="N82" s="454"/>
      <c r="O82" s="454"/>
      <c r="P82" s="454"/>
      <c r="Q82" s="454"/>
      <c r="R82" s="454"/>
      <c r="S82" s="454"/>
      <c r="T82" s="455"/>
    </row>
    <row r="83" spans="2:20" ht="15" customHeight="1" x14ac:dyDescent="0.25"/>
    <row r="84" spans="2:20" ht="15" customHeight="1" x14ac:dyDescent="0.25">
      <c r="B84" s="389" t="s">
        <v>505</v>
      </c>
      <c r="C84" s="375" t="s">
        <v>480</v>
      </c>
      <c r="D84" s="462" t="s">
        <v>481</v>
      </c>
      <c r="E84" s="462"/>
      <c r="F84" s="453" t="s">
        <v>516</v>
      </c>
      <c r="G84" s="454"/>
      <c r="H84" s="454"/>
      <c r="I84" s="454"/>
      <c r="J84" s="454"/>
      <c r="K84" s="454"/>
      <c r="L84" s="454"/>
      <c r="M84" s="454"/>
      <c r="N84" s="454"/>
      <c r="O84" s="454"/>
      <c r="P84" s="454"/>
      <c r="Q84" s="454"/>
      <c r="R84" s="454"/>
      <c r="S84" s="454"/>
      <c r="T84" s="455"/>
    </row>
    <row r="85" spans="2:20" ht="15" customHeight="1" x14ac:dyDescent="0.25"/>
    <row r="86" spans="2:20" ht="15" customHeight="1" x14ac:dyDescent="0.25">
      <c r="B86" s="391" t="s">
        <v>514</v>
      </c>
      <c r="C86" s="393" t="s">
        <v>480</v>
      </c>
      <c r="D86" s="437" t="s">
        <v>515</v>
      </c>
      <c r="E86" s="437"/>
      <c r="F86" s="453" t="s">
        <v>517</v>
      </c>
      <c r="G86" s="454"/>
      <c r="H86" s="454"/>
      <c r="I86" s="454"/>
      <c r="J86" s="454"/>
      <c r="K86" s="454"/>
      <c r="L86" s="454"/>
      <c r="M86" s="454"/>
      <c r="N86" s="454"/>
      <c r="O86" s="454"/>
      <c r="P86" s="454"/>
      <c r="Q86" s="454"/>
      <c r="R86" s="454"/>
      <c r="S86" s="454"/>
      <c r="T86" s="455"/>
    </row>
    <row r="87" spans="2:20" ht="15" customHeight="1" x14ac:dyDescent="0.25"/>
    <row r="88" spans="2:20" ht="15" customHeight="1" x14ac:dyDescent="0.25">
      <c r="B88" s="389" t="s">
        <v>103</v>
      </c>
      <c r="C88" s="393" t="s">
        <v>98</v>
      </c>
      <c r="D88" s="462" t="s">
        <v>384</v>
      </c>
      <c r="E88" s="462"/>
      <c r="F88" s="453" t="s">
        <v>482</v>
      </c>
      <c r="G88" s="454"/>
      <c r="H88" s="454"/>
      <c r="I88" s="454"/>
      <c r="J88" s="454"/>
      <c r="K88" s="454"/>
      <c r="L88" s="454"/>
      <c r="M88" s="454"/>
      <c r="N88" s="454"/>
      <c r="O88" s="454"/>
      <c r="P88" s="454"/>
      <c r="Q88" s="454"/>
      <c r="R88" s="454"/>
      <c r="S88" s="454"/>
      <c r="T88" s="455"/>
    </row>
    <row r="89" spans="2:20" ht="15" customHeight="1" x14ac:dyDescent="0.25"/>
    <row r="90" spans="2:20" ht="15" customHeight="1" x14ac:dyDescent="0.25">
      <c r="B90" s="391" t="s">
        <v>520</v>
      </c>
      <c r="C90" s="393" t="s">
        <v>521</v>
      </c>
      <c r="D90" s="437" t="s">
        <v>522</v>
      </c>
      <c r="E90" s="437"/>
      <c r="F90" s="453" t="s">
        <v>523</v>
      </c>
      <c r="G90" s="454"/>
      <c r="H90" s="454"/>
      <c r="I90" s="454"/>
      <c r="J90" s="454"/>
      <c r="K90" s="454"/>
      <c r="L90" s="454"/>
      <c r="M90" s="454"/>
      <c r="N90" s="454"/>
      <c r="O90" s="454"/>
      <c r="P90" s="454"/>
      <c r="Q90" s="454"/>
      <c r="R90" s="454"/>
      <c r="S90" s="454"/>
      <c r="T90" s="455"/>
    </row>
    <row r="91" spans="2:20" ht="15" customHeight="1" x14ac:dyDescent="0.25"/>
    <row r="92" spans="2:20" ht="15" customHeight="1" x14ac:dyDescent="0.25">
      <c r="B92" s="391" t="s">
        <v>141</v>
      </c>
      <c r="C92" s="393" t="s">
        <v>521</v>
      </c>
      <c r="D92" s="437" t="s">
        <v>524</v>
      </c>
      <c r="E92" s="437"/>
      <c r="F92" s="453" t="s">
        <v>525</v>
      </c>
      <c r="G92" s="454"/>
      <c r="H92" s="454"/>
      <c r="I92" s="454"/>
      <c r="J92" s="454"/>
      <c r="K92" s="454"/>
      <c r="L92" s="454"/>
      <c r="M92" s="454"/>
      <c r="N92" s="454"/>
      <c r="O92" s="454"/>
      <c r="P92" s="454"/>
      <c r="Q92" s="454"/>
      <c r="R92" s="454"/>
      <c r="S92" s="454"/>
      <c r="T92" s="455"/>
    </row>
    <row r="93" spans="2:20" ht="15" customHeight="1" x14ac:dyDescent="0.25"/>
    <row r="94" spans="2:20" ht="15" customHeight="1" x14ac:dyDescent="0.25">
      <c r="B94" s="391" t="s">
        <v>55</v>
      </c>
      <c r="C94" s="393" t="s">
        <v>526</v>
      </c>
      <c r="D94" s="437" t="s">
        <v>527</v>
      </c>
      <c r="E94" s="437"/>
      <c r="F94" s="453" t="s">
        <v>530</v>
      </c>
      <c r="G94" s="454"/>
      <c r="H94" s="454"/>
      <c r="I94" s="454"/>
      <c r="J94" s="454"/>
      <c r="K94" s="454"/>
      <c r="L94" s="454"/>
      <c r="M94" s="454"/>
      <c r="N94" s="454"/>
      <c r="O94" s="454"/>
      <c r="P94" s="454"/>
      <c r="Q94" s="454"/>
      <c r="R94" s="454"/>
      <c r="S94" s="454"/>
      <c r="T94" s="455"/>
    </row>
    <row r="95" spans="2:20" ht="15" customHeight="1" x14ac:dyDescent="0.25"/>
    <row r="96" spans="2:20" ht="15" customHeight="1" x14ac:dyDescent="0.25">
      <c r="B96" s="391" t="s">
        <v>56</v>
      </c>
      <c r="C96" s="393" t="s">
        <v>526</v>
      </c>
      <c r="D96" s="437" t="s">
        <v>528</v>
      </c>
      <c r="E96" s="437"/>
      <c r="F96" s="453" t="s">
        <v>531</v>
      </c>
      <c r="G96" s="454"/>
      <c r="H96" s="454"/>
      <c r="I96" s="454"/>
      <c r="J96" s="454"/>
      <c r="K96" s="454"/>
      <c r="L96" s="454"/>
      <c r="M96" s="454"/>
      <c r="N96" s="454"/>
      <c r="O96" s="454"/>
      <c r="P96" s="454"/>
      <c r="Q96" s="454"/>
      <c r="R96" s="454"/>
      <c r="S96" s="454"/>
      <c r="T96" s="455"/>
    </row>
    <row r="97" spans="2:20" ht="15" customHeight="1" x14ac:dyDescent="0.25"/>
    <row r="98" spans="2:20" x14ac:dyDescent="0.25">
      <c r="B98" s="391" t="s">
        <v>57</v>
      </c>
      <c r="C98" s="393" t="s">
        <v>526</v>
      </c>
      <c r="D98" s="437" t="s">
        <v>529</v>
      </c>
      <c r="E98" s="437"/>
      <c r="F98" s="453" t="s">
        <v>532</v>
      </c>
      <c r="G98" s="454"/>
      <c r="H98" s="454"/>
      <c r="I98" s="454"/>
      <c r="J98" s="454"/>
      <c r="K98" s="454"/>
      <c r="L98" s="454"/>
      <c r="M98" s="454"/>
      <c r="N98" s="454"/>
      <c r="O98" s="454"/>
      <c r="P98" s="454"/>
      <c r="Q98" s="454"/>
      <c r="R98" s="454"/>
      <c r="S98" s="454"/>
      <c r="T98" s="455"/>
    </row>
    <row r="100" spans="2:20" x14ac:dyDescent="0.25">
      <c r="B100" s="391" t="s">
        <v>262</v>
      </c>
      <c r="C100" s="393" t="s">
        <v>143</v>
      </c>
      <c r="D100" s="437" t="s">
        <v>533</v>
      </c>
      <c r="E100" s="437"/>
      <c r="F100" s="453" t="s">
        <v>534</v>
      </c>
      <c r="G100" s="454"/>
      <c r="H100" s="454"/>
      <c r="I100" s="454"/>
      <c r="J100" s="454"/>
      <c r="K100" s="454"/>
      <c r="L100" s="454"/>
      <c r="M100" s="454"/>
      <c r="N100" s="454"/>
      <c r="O100" s="454"/>
      <c r="P100" s="454"/>
      <c r="Q100" s="454"/>
      <c r="R100" s="454"/>
      <c r="S100" s="454"/>
      <c r="T100" s="455"/>
    </row>
    <row r="102" spans="2:20" x14ac:dyDescent="0.25">
      <c r="B102" s="391" t="s">
        <v>154</v>
      </c>
      <c r="C102" s="393" t="s">
        <v>154</v>
      </c>
      <c r="D102" s="437" t="s">
        <v>535</v>
      </c>
      <c r="E102" s="437"/>
      <c r="F102" s="453" t="s">
        <v>536</v>
      </c>
      <c r="G102" s="454"/>
      <c r="H102" s="454"/>
      <c r="I102" s="454"/>
      <c r="J102" s="454"/>
      <c r="K102" s="454"/>
      <c r="L102" s="454"/>
      <c r="M102" s="454"/>
      <c r="N102" s="454"/>
      <c r="O102" s="454"/>
      <c r="P102" s="454"/>
      <c r="Q102" s="454"/>
      <c r="R102" s="454"/>
      <c r="S102" s="454"/>
      <c r="T102" s="455"/>
    </row>
    <row r="104" spans="2:20" x14ac:dyDescent="0.25">
      <c r="B104" s="391" t="s">
        <v>538</v>
      </c>
      <c r="C104" s="393" t="s">
        <v>234</v>
      </c>
      <c r="D104" s="437" t="s">
        <v>537</v>
      </c>
      <c r="E104" s="437"/>
      <c r="F104" s="453" t="s">
        <v>539</v>
      </c>
      <c r="G104" s="454"/>
      <c r="H104" s="454"/>
      <c r="I104" s="454"/>
      <c r="J104" s="454"/>
      <c r="K104" s="454"/>
      <c r="L104" s="454"/>
      <c r="M104" s="454"/>
      <c r="N104" s="454"/>
      <c r="O104" s="454"/>
      <c r="P104" s="454"/>
      <c r="Q104" s="454"/>
      <c r="R104" s="454"/>
      <c r="S104" s="454"/>
      <c r="T104" s="455"/>
    </row>
    <row r="107" spans="2:20" x14ac:dyDescent="0.25">
      <c r="B107" s="67"/>
      <c r="C107" s="67"/>
      <c r="D107" s="67"/>
      <c r="E107" s="67"/>
      <c r="F107" s="67"/>
      <c r="G107" s="67"/>
      <c r="H107" s="67"/>
      <c r="I107" s="67"/>
      <c r="J107" s="67"/>
      <c r="K107" s="67"/>
      <c r="L107" s="67"/>
      <c r="M107" s="67"/>
      <c r="N107" s="67"/>
      <c r="O107" s="67"/>
      <c r="P107" s="67"/>
      <c r="Q107" s="67"/>
      <c r="R107" s="67"/>
      <c r="S107" s="67"/>
      <c r="T107" s="67"/>
    </row>
  </sheetData>
  <mergeCells count="87">
    <mergeCell ref="D104:E104"/>
    <mergeCell ref="F104:T104"/>
    <mergeCell ref="D90:E90"/>
    <mergeCell ref="D92:E92"/>
    <mergeCell ref="D98:E98"/>
    <mergeCell ref="F98:T98"/>
    <mergeCell ref="D100:E100"/>
    <mergeCell ref="F100:T100"/>
    <mergeCell ref="D102:E102"/>
    <mergeCell ref="F102:T102"/>
    <mergeCell ref="F90:T90"/>
    <mergeCell ref="F92:T92"/>
    <mergeCell ref="D94:E94"/>
    <mergeCell ref="F94:T94"/>
    <mergeCell ref="D96:E96"/>
    <mergeCell ref="F96:T96"/>
    <mergeCell ref="F84:T84"/>
    <mergeCell ref="D84:E84"/>
    <mergeCell ref="D88:E88"/>
    <mergeCell ref="F88:T88"/>
    <mergeCell ref="F82:T82"/>
    <mergeCell ref="D86:E86"/>
    <mergeCell ref="F86:T86"/>
    <mergeCell ref="F80:T80"/>
    <mergeCell ref="D80:E80"/>
    <mergeCell ref="D82:E82"/>
    <mergeCell ref="D68:E69"/>
    <mergeCell ref="D71:E72"/>
    <mergeCell ref="D76:E76"/>
    <mergeCell ref="F76:T76"/>
    <mergeCell ref="F78:T78"/>
    <mergeCell ref="D74:E74"/>
    <mergeCell ref="D78:E78"/>
    <mergeCell ref="F71:T72"/>
    <mergeCell ref="F74:T74"/>
    <mergeCell ref="B35:B37"/>
    <mergeCell ref="C35:C37"/>
    <mergeCell ref="B45:B47"/>
    <mergeCell ref="C45:C47"/>
    <mergeCell ref="B49:B52"/>
    <mergeCell ref="C49:C52"/>
    <mergeCell ref="F68:T69"/>
    <mergeCell ref="B54:B56"/>
    <mergeCell ref="C54:C56"/>
    <mergeCell ref="B62:B63"/>
    <mergeCell ref="C62:C63"/>
    <mergeCell ref="B65:B66"/>
    <mergeCell ref="C65:C66"/>
    <mergeCell ref="D58:E58"/>
    <mergeCell ref="F58:T58"/>
    <mergeCell ref="F60:T60"/>
    <mergeCell ref="F62:T63"/>
    <mergeCell ref="F65:T66"/>
    <mergeCell ref="D45:E47"/>
    <mergeCell ref="D49:E52"/>
    <mergeCell ref="D54:E56"/>
    <mergeCell ref="F41:T41"/>
    <mergeCell ref="F45:T47"/>
    <mergeCell ref="D43:E43"/>
    <mergeCell ref="F43:T43"/>
    <mergeCell ref="B68:B69"/>
    <mergeCell ref="C68:C69"/>
    <mergeCell ref="B71:B72"/>
    <mergeCell ref="C71:C72"/>
    <mergeCell ref="F33:S33"/>
    <mergeCell ref="D33:E33"/>
    <mergeCell ref="D35:E37"/>
    <mergeCell ref="D39:E39"/>
    <mergeCell ref="F49:T52"/>
    <mergeCell ref="F35:T37"/>
    <mergeCell ref="F39:T39"/>
    <mergeCell ref="D60:E60"/>
    <mergeCell ref="D62:E63"/>
    <mergeCell ref="D65:E66"/>
    <mergeCell ref="F54:T56"/>
    <mergeCell ref="D41:E41"/>
    <mergeCell ref="F17:J31"/>
    <mergeCell ref="E17:E31"/>
    <mergeCell ref="B15:C15"/>
    <mergeCell ref="B11:C11"/>
    <mergeCell ref="B28:C28"/>
    <mergeCell ref="F11:J11"/>
    <mergeCell ref="F12:J12"/>
    <mergeCell ref="F13:J13"/>
    <mergeCell ref="F14:J14"/>
    <mergeCell ref="F15:J15"/>
    <mergeCell ref="F16:J16"/>
  </mergeCells>
  <dataValidations count="2">
    <dataValidation type="list" allowBlank="1" showInputMessage="1" showErrorMessage="1" sqref="B12">
      <formula1>"Best Case, Base Case, Worst Case"</formula1>
    </dataValidation>
    <dataValidation type="list" allowBlank="1" showInputMessage="1" showErrorMessage="1" sqref="C22">
      <formula1>"4%,5%,6%"</formula1>
    </dataValidation>
  </dataValidations>
  <hyperlinks>
    <hyperlink ref="F16"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0"/>
  <sheetViews>
    <sheetView showGridLines="0" topLeftCell="A4" workbookViewId="0">
      <pane ySplit="7" topLeftCell="A11" activePane="bottomLeft" state="frozen"/>
      <selection activeCell="A4" sqref="A4"/>
      <selection pane="bottomLeft" activeCell="B20" sqref="B20:B24"/>
    </sheetView>
  </sheetViews>
  <sheetFormatPr defaultRowHeight="15" x14ac:dyDescent="0.25"/>
  <cols>
    <col min="1" max="1" width="1.85546875" customWidth="1"/>
    <col min="2" max="2" width="94.140625" bestFit="1" customWidth="1"/>
    <col min="5" max="5" width="10.7109375" bestFit="1" customWidth="1"/>
  </cols>
  <sheetData>
    <row r="1" spans="2:7" x14ac:dyDescent="0.25">
      <c r="B1" s="67"/>
      <c r="C1" s="67"/>
      <c r="D1" s="67"/>
      <c r="E1" s="67"/>
      <c r="F1" s="67"/>
      <c r="G1" s="67"/>
    </row>
    <row r="7" spans="2:7" x14ac:dyDescent="0.25">
      <c r="B7" s="27" t="s">
        <v>344</v>
      </c>
    </row>
    <row r="8" spans="2:7" x14ac:dyDescent="0.25">
      <c r="B8" s="405" t="s">
        <v>296</v>
      </c>
      <c r="C8" s="405"/>
      <c r="D8" s="405"/>
      <c r="E8" s="405"/>
      <c r="F8" s="405"/>
      <c r="G8" s="405"/>
    </row>
    <row r="9" spans="2:7" x14ac:dyDescent="0.25">
      <c r="B9" s="104" t="s">
        <v>206</v>
      </c>
    </row>
    <row r="10" spans="2:7" x14ac:dyDescent="0.25">
      <c r="B10" s="166" t="s">
        <v>0</v>
      </c>
      <c r="C10" s="166">
        <v>2021</v>
      </c>
      <c r="D10" s="166">
        <f>C10+1</f>
        <v>2022</v>
      </c>
      <c r="E10" s="166">
        <f t="shared" ref="E10:G10" si="0">D10+1</f>
        <v>2023</v>
      </c>
      <c r="F10" s="166">
        <f t="shared" si="0"/>
        <v>2024</v>
      </c>
      <c r="G10" s="166">
        <f t="shared" si="0"/>
        <v>2025</v>
      </c>
    </row>
    <row r="11" spans="2:7" x14ac:dyDescent="0.25">
      <c r="B11" s="1" t="s">
        <v>8</v>
      </c>
      <c r="D11" t="s">
        <v>1</v>
      </c>
    </row>
    <row r="12" spans="2:7" x14ac:dyDescent="0.25">
      <c r="B12" s="4" t="s">
        <v>2</v>
      </c>
      <c r="C12" s="319">
        <v>5023.28</v>
      </c>
      <c r="D12" s="319">
        <v>6871.05</v>
      </c>
      <c r="E12" s="319">
        <v>7282.62</v>
      </c>
      <c r="F12" s="319">
        <v>7010.56</v>
      </c>
      <c r="G12" s="319">
        <v>8046.01</v>
      </c>
    </row>
    <row r="13" spans="2:7" x14ac:dyDescent="0.25">
      <c r="B13" t="s">
        <v>3</v>
      </c>
      <c r="C13" s="318">
        <v>-517.17999999999995</v>
      </c>
      <c r="D13" s="318">
        <v>-785.54</v>
      </c>
      <c r="E13" s="318">
        <v>-664.04</v>
      </c>
      <c r="F13" s="318">
        <v>-639.76</v>
      </c>
      <c r="G13" s="318">
        <v>-774.69</v>
      </c>
    </row>
    <row r="14" spans="2:7" x14ac:dyDescent="0.25">
      <c r="B14" s="4" t="s">
        <v>4</v>
      </c>
      <c r="C14" s="320">
        <f>SUM(C12:C13)</f>
        <v>4506.0999999999995</v>
      </c>
      <c r="D14" s="320">
        <f>SUM(D12:D13)</f>
        <v>6085.51</v>
      </c>
      <c r="E14" s="320">
        <f>SUM(E12:E13)</f>
        <v>6618.58</v>
      </c>
      <c r="F14" s="320">
        <f>SUM(F12:F13)</f>
        <v>6370.8</v>
      </c>
      <c r="G14" s="320">
        <f>SUM(G12:G13)</f>
        <v>7271.32</v>
      </c>
    </row>
    <row r="15" spans="2:7" x14ac:dyDescent="0.25">
      <c r="B15" t="s">
        <v>5</v>
      </c>
      <c r="C15" s="321">
        <v>0.7</v>
      </c>
      <c r="D15" s="321">
        <v>0.77</v>
      </c>
      <c r="E15" s="321">
        <v>0.86</v>
      </c>
      <c r="F15" s="321">
        <v>10.86</v>
      </c>
      <c r="G15" s="321">
        <v>14.12</v>
      </c>
    </row>
    <row r="16" spans="2:7" x14ac:dyDescent="0.25">
      <c r="B16" s="4" t="s">
        <v>6</v>
      </c>
      <c r="C16" s="320">
        <f>SUM(C14:C15)</f>
        <v>4506.7999999999993</v>
      </c>
      <c r="D16" s="320">
        <f>SUM(D14:D15)</f>
        <v>6086.2800000000007</v>
      </c>
      <c r="E16" s="320">
        <f>SUM(E14:E15)</f>
        <v>6619.44</v>
      </c>
      <c r="F16" s="320">
        <f>SUM(F14:F15)</f>
        <v>6381.66</v>
      </c>
      <c r="G16" s="320">
        <f>SUM(G14:G15)</f>
        <v>7285.44</v>
      </c>
    </row>
    <row r="17" spans="2:7" x14ac:dyDescent="0.25">
      <c r="B17" s="1" t="s">
        <v>7</v>
      </c>
      <c r="C17" s="318"/>
      <c r="D17" s="318"/>
      <c r="E17" s="318"/>
      <c r="F17" s="318"/>
      <c r="G17" s="318"/>
    </row>
    <row r="18" spans="2:7" x14ac:dyDescent="0.25">
      <c r="B18" t="s">
        <v>9</v>
      </c>
      <c r="C18" s="321">
        <v>1937.57</v>
      </c>
      <c r="D18" s="321">
        <v>2794.06</v>
      </c>
      <c r="E18" s="321">
        <v>3462.03</v>
      </c>
      <c r="F18" s="321">
        <v>3771.5</v>
      </c>
      <c r="G18" s="321">
        <v>4381.3599999999997</v>
      </c>
    </row>
    <row r="19" spans="2:7" x14ac:dyDescent="0.25">
      <c r="B19" t="s">
        <v>10</v>
      </c>
      <c r="C19" s="321">
        <v>244.24</v>
      </c>
      <c r="D19" s="321">
        <v>270.88</v>
      </c>
      <c r="E19" s="321">
        <v>313.94</v>
      </c>
      <c r="F19" s="321">
        <v>203.95</v>
      </c>
      <c r="G19" s="321">
        <v>219.73</v>
      </c>
    </row>
    <row r="20" spans="2:7" x14ac:dyDescent="0.25">
      <c r="B20" t="s">
        <v>11</v>
      </c>
      <c r="C20" s="321">
        <v>-53.25</v>
      </c>
      <c r="D20" s="321">
        <v>-210.49</v>
      </c>
      <c r="E20" s="321">
        <v>65.7</v>
      </c>
      <c r="F20" s="321">
        <v>-93.57</v>
      </c>
      <c r="G20" s="321">
        <v>54.03</v>
      </c>
    </row>
    <row r="21" spans="2:7" x14ac:dyDescent="0.25">
      <c r="B21" t="s">
        <v>12</v>
      </c>
      <c r="C21" s="321">
        <v>371.38</v>
      </c>
      <c r="D21" s="321">
        <v>356.96</v>
      </c>
      <c r="E21" s="321">
        <v>385.33</v>
      </c>
      <c r="F21" s="321">
        <v>403.74</v>
      </c>
      <c r="G21" s="321">
        <v>422.42</v>
      </c>
    </row>
    <row r="22" spans="2:7" x14ac:dyDescent="0.25">
      <c r="B22" t="s">
        <v>13</v>
      </c>
      <c r="C22" s="321">
        <v>86.37</v>
      </c>
      <c r="D22" s="321">
        <v>102.33</v>
      </c>
      <c r="E22" s="321">
        <v>168.28</v>
      </c>
      <c r="F22" s="321">
        <v>211.47</v>
      </c>
      <c r="G22" s="321">
        <v>275.44</v>
      </c>
    </row>
    <row r="23" spans="2:7" x14ac:dyDescent="0.25">
      <c r="B23" t="s">
        <v>14</v>
      </c>
      <c r="C23" s="321">
        <v>231.31</v>
      </c>
      <c r="D23" s="321">
        <v>246.4</v>
      </c>
      <c r="E23" s="321">
        <v>310.45</v>
      </c>
      <c r="F23" s="321">
        <v>378.12</v>
      </c>
      <c r="G23" s="321">
        <v>434.27</v>
      </c>
    </row>
    <row r="24" spans="2:7" x14ac:dyDescent="0.25">
      <c r="B24" t="s">
        <v>15</v>
      </c>
      <c r="C24" s="321">
        <v>1024.6300000000001</v>
      </c>
      <c r="D24" s="321">
        <v>1153.99</v>
      </c>
      <c r="E24" s="321">
        <v>1302.6099999999999</v>
      </c>
      <c r="F24" s="321">
        <v>1111.03</v>
      </c>
      <c r="G24" s="321">
        <v>1193.33</v>
      </c>
    </row>
    <row r="25" spans="2:7" x14ac:dyDescent="0.25">
      <c r="B25" s="4" t="s">
        <v>16</v>
      </c>
      <c r="C25" s="320">
        <f>-SUM(C18:C24)</f>
        <v>-3842.25</v>
      </c>
      <c r="D25" s="320">
        <f>-SUM(D18:D24)</f>
        <v>-4714.13</v>
      </c>
      <c r="E25" s="320">
        <f>-SUM(E18:E24)</f>
        <v>-6008.3399999999992</v>
      </c>
      <c r="F25" s="320">
        <f>-SUM(F18:F24)</f>
        <v>-5986.24</v>
      </c>
      <c r="G25" s="320">
        <f t="shared" ref="G25" si="1">-SUM(G18:G24)</f>
        <v>-6980.5799999999981</v>
      </c>
    </row>
    <row r="26" spans="2:7" x14ac:dyDescent="0.25">
      <c r="B26" s="1" t="s">
        <v>17</v>
      </c>
      <c r="C26" s="322">
        <f>SUM(C16,C25)</f>
        <v>664.54999999999927</v>
      </c>
      <c r="D26" s="322">
        <f>SUM(D16,D25)</f>
        <v>1372.1500000000005</v>
      </c>
      <c r="E26" s="322">
        <f>SUM(E16,E25)</f>
        <v>611.10000000000036</v>
      </c>
      <c r="F26" s="322">
        <f>SUM(F16,F25)</f>
        <v>395.42000000000007</v>
      </c>
      <c r="G26" s="322">
        <f>SUM(G16,G25)</f>
        <v>304.86000000000149</v>
      </c>
    </row>
    <row r="27" spans="2:7" x14ac:dyDescent="0.25">
      <c r="B27" s="1" t="s">
        <v>25</v>
      </c>
      <c r="C27" s="322"/>
      <c r="D27" s="322"/>
      <c r="E27" s="322"/>
      <c r="F27" s="322"/>
      <c r="G27" s="318"/>
    </row>
    <row r="28" spans="2:7" x14ac:dyDescent="0.25">
      <c r="B28" t="s">
        <v>26</v>
      </c>
      <c r="C28" s="321">
        <v>0</v>
      </c>
      <c r="D28" s="321">
        <v>0</v>
      </c>
      <c r="E28" s="321">
        <v>0</v>
      </c>
      <c r="F28" s="321">
        <v>0</v>
      </c>
      <c r="G28" s="321">
        <v>2.37</v>
      </c>
    </row>
    <row r="29" spans="2:7" x14ac:dyDescent="0.25">
      <c r="B29" s="4" t="s">
        <v>27</v>
      </c>
      <c r="C29" s="320">
        <f t="shared" ref="C29:E29" si="2">SUM(C26:C28)</f>
        <v>664.54999999999927</v>
      </c>
      <c r="D29" s="320">
        <f t="shared" si="2"/>
        <v>1372.1500000000005</v>
      </c>
      <c r="E29" s="320">
        <f t="shared" si="2"/>
        <v>611.10000000000036</v>
      </c>
      <c r="F29" s="320">
        <f>SUM(F26:F28)</f>
        <v>395.42000000000007</v>
      </c>
      <c r="G29" s="320">
        <f>SUM(G26:G28)</f>
        <v>307.2300000000015</v>
      </c>
    </row>
    <row r="30" spans="2:7" x14ac:dyDescent="0.25">
      <c r="B30" s="3" t="s">
        <v>18</v>
      </c>
      <c r="C30" s="321">
        <v>-129.33000000000001</v>
      </c>
      <c r="D30" s="321">
        <v>-186.25</v>
      </c>
      <c r="E30" s="321">
        <v>-65.87</v>
      </c>
      <c r="F30" s="321">
        <v>21.05</v>
      </c>
      <c r="G30" s="321">
        <v>23.64</v>
      </c>
    </row>
    <row r="31" spans="2:7" x14ac:dyDescent="0.25">
      <c r="B31" s="4" t="s">
        <v>19</v>
      </c>
      <c r="C31" s="320">
        <f>SUM(C29:C30)</f>
        <v>535.21999999999923</v>
      </c>
      <c r="D31" s="320">
        <f t="shared" ref="D31:G31" si="3">SUM(D29:D30)</f>
        <v>1185.9000000000005</v>
      </c>
      <c r="E31" s="320">
        <f t="shared" si="3"/>
        <v>545.23000000000036</v>
      </c>
      <c r="F31" s="320">
        <f t="shared" si="3"/>
        <v>416.47000000000008</v>
      </c>
      <c r="G31" s="320">
        <f t="shared" si="3"/>
        <v>330.87000000000148</v>
      </c>
    </row>
    <row r="32" spans="2:7" x14ac:dyDescent="0.25">
      <c r="B32" t="s">
        <v>20</v>
      </c>
      <c r="C32" s="321">
        <v>-11.75</v>
      </c>
      <c r="D32" s="321">
        <v>-0.23</v>
      </c>
      <c r="E32" s="321">
        <v>0</v>
      </c>
      <c r="F32" s="321">
        <v>0</v>
      </c>
      <c r="G32" s="321">
        <v>0</v>
      </c>
    </row>
    <row r="33" spans="2:7" ht="15.75" thickBot="1" x14ac:dyDescent="0.3">
      <c r="B33" s="5" t="s">
        <v>21</v>
      </c>
      <c r="C33" s="323">
        <f>SUM(C31:C32)</f>
        <v>523.46999999999923</v>
      </c>
      <c r="D33" s="323">
        <f>SUM(D31:D32)</f>
        <v>1185.6700000000005</v>
      </c>
      <c r="E33" s="323">
        <f>SUM(E31:E32)</f>
        <v>545.23000000000036</v>
      </c>
      <c r="F33" s="323">
        <f>SUM(F31:F32)</f>
        <v>416.47000000000008</v>
      </c>
      <c r="G33" s="323">
        <f>SUM(G31:G32)</f>
        <v>330.87000000000148</v>
      </c>
    </row>
    <row r="35" spans="2:7" x14ac:dyDescent="0.25">
      <c r="B35" s="1" t="s">
        <v>22</v>
      </c>
    </row>
    <row r="36" spans="2:7" x14ac:dyDescent="0.25">
      <c r="B36" s="6" t="s">
        <v>23</v>
      </c>
      <c r="C36" s="17">
        <v>30.04</v>
      </c>
      <c r="D36" s="17">
        <v>36.06</v>
      </c>
      <c r="E36" s="17">
        <v>15.04</v>
      </c>
      <c r="F36" s="17">
        <v>11.49</v>
      </c>
      <c r="G36" s="17">
        <v>9.1300000000000008</v>
      </c>
    </row>
    <row r="37" spans="2:7" x14ac:dyDescent="0.25">
      <c r="B37" s="6" t="s">
        <v>24</v>
      </c>
      <c r="C37" s="17">
        <v>15.02</v>
      </c>
      <c r="D37" s="17">
        <v>36.06</v>
      </c>
      <c r="E37" s="17">
        <v>15.04</v>
      </c>
      <c r="F37" s="17">
        <v>11.49</v>
      </c>
      <c r="G37" s="17">
        <v>9.1199999999999992</v>
      </c>
    </row>
    <row r="40" spans="2:7" x14ac:dyDescent="0.25">
      <c r="B40" s="67"/>
      <c r="C40" s="67"/>
      <c r="D40" s="67"/>
      <c r="E40" s="67"/>
      <c r="F40" s="67"/>
      <c r="G40" s="67"/>
    </row>
  </sheetData>
  <mergeCells count="1">
    <mergeCell ref="B8:G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78"/>
  <sheetViews>
    <sheetView showGridLines="0" workbookViewId="0">
      <pane ySplit="10" topLeftCell="A70" activePane="bottomLeft" state="frozen"/>
      <selection pane="bottomLeft" activeCell="B12" sqref="B12:B74"/>
    </sheetView>
  </sheetViews>
  <sheetFormatPr defaultRowHeight="15" x14ac:dyDescent="0.25"/>
  <cols>
    <col min="1" max="1" width="1.85546875" customWidth="1"/>
    <col min="2" max="2" width="35.28515625" bestFit="1" customWidth="1"/>
    <col min="3" max="5" width="9.7109375" bestFit="1" customWidth="1"/>
    <col min="6" max="7" width="10.7109375" bestFit="1" customWidth="1"/>
  </cols>
  <sheetData>
    <row r="1" spans="2:7" x14ac:dyDescent="0.25">
      <c r="B1" s="67"/>
      <c r="C1" s="67"/>
      <c r="D1" s="67"/>
      <c r="E1" s="67"/>
      <c r="F1" s="67"/>
      <c r="G1" s="67"/>
    </row>
    <row r="9" spans="2:7" x14ac:dyDescent="0.25">
      <c r="B9" s="27" t="s">
        <v>344</v>
      </c>
    </row>
    <row r="10" spans="2:7" x14ac:dyDescent="0.25">
      <c r="B10" s="7" t="s">
        <v>0</v>
      </c>
      <c r="C10" s="7">
        <v>2021</v>
      </c>
      <c r="D10" s="7">
        <f>C10+1</f>
        <v>2022</v>
      </c>
      <c r="E10" s="7">
        <f t="shared" ref="E10:G10" si="0">D10+1</f>
        <v>2023</v>
      </c>
      <c r="F10" s="7">
        <f t="shared" si="0"/>
        <v>2024</v>
      </c>
      <c r="G10" s="7">
        <f t="shared" si="0"/>
        <v>2025</v>
      </c>
    </row>
    <row r="11" spans="2:7" x14ac:dyDescent="0.25">
      <c r="B11" s="104" t="s">
        <v>206</v>
      </c>
    </row>
    <row r="12" spans="2:7" x14ac:dyDescent="0.25">
      <c r="B12" s="1" t="s">
        <v>28</v>
      </c>
    </row>
    <row r="13" spans="2:7" x14ac:dyDescent="0.25">
      <c r="B13" s="1" t="s">
        <v>29</v>
      </c>
    </row>
    <row r="14" spans="2:7" x14ac:dyDescent="0.25">
      <c r="B14" t="s">
        <v>30</v>
      </c>
      <c r="C14" s="279">
        <v>3592.48</v>
      </c>
      <c r="D14" s="16">
        <v>3577.7</v>
      </c>
      <c r="E14" s="16">
        <v>4829.18</v>
      </c>
      <c r="F14" s="16">
        <v>5583.06</v>
      </c>
      <c r="G14" s="16">
        <v>6277.48</v>
      </c>
    </row>
    <row r="15" spans="2:7" x14ac:dyDescent="0.25">
      <c r="B15" t="s">
        <v>31</v>
      </c>
      <c r="C15" s="279">
        <v>1297.9100000000001</v>
      </c>
      <c r="D15" s="16">
        <v>1303.02</v>
      </c>
      <c r="E15" s="16">
        <v>988.98</v>
      </c>
      <c r="F15" s="16">
        <v>1058.54</v>
      </c>
      <c r="G15" s="16">
        <v>1273.8</v>
      </c>
    </row>
    <row r="16" spans="2:7" x14ac:dyDescent="0.25">
      <c r="B16" t="s">
        <v>32</v>
      </c>
      <c r="C16" s="279">
        <v>0</v>
      </c>
      <c r="D16" s="16">
        <v>16.95</v>
      </c>
      <c r="E16" s="16">
        <v>30.3</v>
      </c>
      <c r="F16" s="16">
        <v>53.42</v>
      </c>
      <c r="G16" s="16">
        <v>51.06</v>
      </c>
    </row>
    <row r="17" spans="2:7" x14ac:dyDescent="0.25">
      <c r="B17" t="s">
        <v>33</v>
      </c>
      <c r="C17" s="279">
        <v>0.1</v>
      </c>
      <c r="D17" s="16">
        <v>0</v>
      </c>
      <c r="E17" s="16">
        <v>1.47</v>
      </c>
      <c r="F17" s="16">
        <v>12.92</v>
      </c>
      <c r="G17" s="16">
        <v>48.25</v>
      </c>
    </row>
    <row r="18" spans="2:7" x14ac:dyDescent="0.25">
      <c r="B18" t="s">
        <v>34</v>
      </c>
      <c r="C18" s="279">
        <v>0</v>
      </c>
      <c r="D18" s="16">
        <v>42.97</v>
      </c>
      <c r="E18" s="16">
        <v>107.24</v>
      </c>
      <c r="F18" s="16">
        <v>170.51</v>
      </c>
      <c r="G18" s="16">
        <v>180.41</v>
      </c>
    </row>
    <row r="19" spans="2:7" x14ac:dyDescent="0.25">
      <c r="B19" s="1" t="s">
        <v>35</v>
      </c>
      <c r="C19" s="279"/>
      <c r="D19" s="16"/>
      <c r="E19" s="16"/>
      <c r="F19" s="16"/>
      <c r="G19" s="16"/>
    </row>
    <row r="20" spans="2:7" x14ac:dyDescent="0.25">
      <c r="B20" s="8" t="s">
        <v>36</v>
      </c>
      <c r="C20" s="279">
        <v>63.52</v>
      </c>
      <c r="D20" s="16">
        <v>28.29</v>
      </c>
      <c r="E20" s="16">
        <v>17.170000000000002</v>
      </c>
      <c r="F20" s="16">
        <v>22.92</v>
      </c>
      <c r="G20" s="16">
        <v>47.63</v>
      </c>
    </row>
    <row r="21" spans="2:7" x14ac:dyDescent="0.25">
      <c r="B21" s="8" t="s">
        <v>37</v>
      </c>
      <c r="C21" s="279">
        <v>320.07</v>
      </c>
      <c r="D21" s="16">
        <v>0</v>
      </c>
      <c r="E21" s="16">
        <v>0.01</v>
      </c>
      <c r="F21" s="16">
        <v>0.3</v>
      </c>
      <c r="G21" s="16">
        <v>0.06</v>
      </c>
    </row>
    <row r="22" spans="2:7" x14ac:dyDescent="0.25">
      <c r="B22" t="s">
        <v>38</v>
      </c>
      <c r="C22" s="279">
        <v>0</v>
      </c>
      <c r="D22" s="16">
        <v>27.74</v>
      </c>
      <c r="E22" s="16">
        <v>52.78</v>
      </c>
      <c r="F22" s="16">
        <v>143.55000000000001</v>
      </c>
      <c r="G22" s="16">
        <v>217.99</v>
      </c>
    </row>
    <row r="23" spans="2:7" x14ac:dyDescent="0.25">
      <c r="B23" t="s">
        <v>39</v>
      </c>
      <c r="C23" s="279">
        <v>0</v>
      </c>
      <c r="D23" s="16">
        <v>155.19</v>
      </c>
      <c r="E23" s="16">
        <v>94.5</v>
      </c>
      <c r="F23" s="16">
        <v>110.89</v>
      </c>
      <c r="G23" s="16">
        <v>122.1</v>
      </c>
    </row>
    <row r="24" spans="2:7" x14ac:dyDescent="0.25">
      <c r="C24" s="279"/>
      <c r="D24" s="16"/>
      <c r="E24" s="16"/>
      <c r="F24" s="16"/>
      <c r="G24" s="16"/>
    </row>
    <row r="25" spans="2:7" x14ac:dyDescent="0.25">
      <c r="B25" s="9" t="s">
        <v>40</v>
      </c>
      <c r="C25" s="324">
        <f>SUM(C14:C23)</f>
        <v>5274.0800000000008</v>
      </c>
      <c r="D25" s="324">
        <f>SUM(D14:D23)</f>
        <v>5151.8599999999988</v>
      </c>
      <c r="E25" s="324">
        <f t="shared" ref="E25:G25" si="1">SUM(E14:E23)</f>
        <v>6121.63</v>
      </c>
      <c r="F25" s="324">
        <f t="shared" si="1"/>
        <v>7156.1100000000015</v>
      </c>
      <c r="G25" s="324">
        <f t="shared" si="1"/>
        <v>8218.7800000000007</v>
      </c>
    </row>
    <row r="26" spans="2:7" x14ac:dyDescent="0.25">
      <c r="C26" s="325"/>
      <c r="D26" s="11"/>
      <c r="E26" s="11"/>
      <c r="F26" s="11"/>
      <c r="G26" s="11"/>
    </row>
    <row r="27" spans="2:7" x14ac:dyDescent="0.25">
      <c r="B27" s="1" t="s">
        <v>41</v>
      </c>
      <c r="C27" s="325"/>
      <c r="D27" s="11"/>
      <c r="E27" s="11"/>
      <c r="F27" s="11"/>
      <c r="G27" s="11"/>
    </row>
    <row r="28" spans="2:7" x14ac:dyDescent="0.25">
      <c r="B28" t="s">
        <v>42</v>
      </c>
      <c r="C28" s="279">
        <v>935.68</v>
      </c>
      <c r="D28" s="16">
        <v>934.12</v>
      </c>
      <c r="E28" s="16">
        <v>1031.05</v>
      </c>
      <c r="F28" s="16">
        <v>1159.6500000000001</v>
      </c>
      <c r="G28" s="16">
        <v>1454.02</v>
      </c>
    </row>
    <row r="29" spans="2:7" x14ac:dyDescent="0.25">
      <c r="B29" s="1" t="s">
        <v>43</v>
      </c>
      <c r="C29" s="325"/>
      <c r="D29" s="11"/>
      <c r="E29" s="11"/>
      <c r="F29" s="11"/>
      <c r="G29" s="11"/>
    </row>
    <row r="30" spans="2:7" x14ac:dyDescent="0.25">
      <c r="B30" s="8" t="s">
        <v>44</v>
      </c>
      <c r="C30" s="279">
        <v>793.73</v>
      </c>
      <c r="D30" s="16">
        <v>1091.52</v>
      </c>
      <c r="E30" s="16">
        <v>940.49</v>
      </c>
      <c r="F30" s="16">
        <v>854.18</v>
      </c>
      <c r="G30" s="16">
        <v>786.06</v>
      </c>
    </row>
    <row r="31" spans="2:7" x14ac:dyDescent="0.25">
      <c r="B31" s="8" t="s">
        <v>45</v>
      </c>
      <c r="C31" s="279">
        <v>412.32</v>
      </c>
      <c r="D31" s="16">
        <v>93.63</v>
      </c>
      <c r="E31" s="16">
        <v>167.45</v>
      </c>
      <c r="F31" s="16">
        <v>428.29</v>
      </c>
      <c r="G31" s="16">
        <v>199.39</v>
      </c>
    </row>
    <row r="32" spans="2:7" x14ac:dyDescent="0.25">
      <c r="B32" s="8" t="s">
        <v>47</v>
      </c>
      <c r="C32" s="279">
        <v>0</v>
      </c>
      <c r="D32" s="16">
        <v>79.930000000000007</v>
      </c>
      <c r="E32" s="16">
        <v>33.28</v>
      </c>
      <c r="F32" s="16">
        <v>87.95</v>
      </c>
      <c r="G32" s="16">
        <v>95.58</v>
      </c>
    </row>
    <row r="33" spans="2:7" x14ac:dyDescent="0.25">
      <c r="B33" s="8" t="s">
        <v>46</v>
      </c>
      <c r="C33" s="279">
        <v>0</v>
      </c>
      <c r="D33" s="16">
        <v>0</v>
      </c>
      <c r="E33" s="16">
        <v>32.03</v>
      </c>
      <c r="F33" s="16">
        <v>8.2799999999999994</v>
      </c>
      <c r="G33" s="16">
        <v>6.27</v>
      </c>
    </row>
    <row r="34" spans="2:7" x14ac:dyDescent="0.25">
      <c r="B34" s="8" t="s">
        <v>48</v>
      </c>
      <c r="C34" s="279">
        <v>187.48</v>
      </c>
      <c r="D34" s="16">
        <v>407.3</v>
      </c>
      <c r="E34" s="16">
        <v>160.74</v>
      </c>
      <c r="F34" s="16">
        <v>16.71</v>
      </c>
      <c r="G34" s="16">
        <v>16.32</v>
      </c>
    </row>
    <row r="35" spans="2:7" x14ac:dyDescent="0.25">
      <c r="B35" t="s">
        <v>49</v>
      </c>
      <c r="C35" s="279">
        <v>0</v>
      </c>
      <c r="D35" s="16">
        <v>55.42</v>
      </c>
      <c r="E35" s="16">
        <v>55.48</v>
      </c>
      <c r="F35" s="16">
        <v>71.16</v>
      </c>
      <c r="G35" s="16">
        <v>13.89</v>
      </c>
    </row>
    <row r="36" spans="2:7" x14ac:dyDescent="0.25">
      <c r="B36" t="s">
        <v>50</v>
      </c>
      <c r="C36" s="279">
        <v>38.39</v>
      </c>
      <c r="D36" s="16">
        <v>36.909999999999997</v>
      </c>
      <c r="E36" s="16">
        <v>38.75</v>
      </c>
      <c r="F36" s="16">
        <v>332.84</v>
      </c>
      <c r="G36" s="16">
        <v>323.20999999999998</v>
      </c>
    </row>
    <row r="37" spans="2:7" x14ac:dyDescent="0.25">
      <c r="C37" s="325"/>
      <c r="D37" s="11"/>
      <c r="E37" s="11"/>
      <c r="F37" s="11"/>
      <c r="G37" s="11"/>
    </row>
    <row r="38" spans="2:7" x14ac:dyDescent="0.25">
      <c r="B38" s="9" t="s">
        <v>51</v>
      </c>
      <c r="C38" s="324">
        <f>SUM(C28:C36)</f>
        <v>2367.6</v>
      </c>
      <c r="D38" s="324">
        <f t="shared" ref="D38:G38" si="2">SUM(D28:D36)</f>
        <v>2698.83</v>
      </c>
      <c r="E38" s="324">
        <f t="shared" si="2"/>
        <v>2459.27</v>
      </c>
      <c r="F38" s="324">
        <f t="shared" si="2"/>
        <v>2959.06</v>
      </c>
      <c r="G38" s="324">
        <f t="shared" si="2"/>
        <v>2894.74</v>
      </c>
    </row>
    <row r="39" spans="2:7" x14ac:dyDescent="0.25">
      <c r="C39" s="325"/>
      <c r="D39" s="11"/>
      <c r="E39" s="11"/>
      <c r="F39" s="11"/>
      <c r="G39" s="11"/>
    </row>
    <row r="40" spans="2:7" x14ac:dyDescent="0.25">
      <c r="B40" s="10" t="s">
        <v>52</v>
      </c>
      <c r="C40" s="326">
        <f t="shared" ref="C40:G40" si="3">C38+C25</f>
        <v>7641.68</v>
      </c>
      <c r="D40" s="326">
        <f t="shared" si="3"/>
        <v>7850.6899999999987</v>
      </c>
      <c r="E40" s="326">
        <f t="shared" si="3"/>
        <v>8580.9</v>
      </c>
      <c r="F40" s="326">
        <f t="shared" si="3"/>
        <v>10115.170000000002</v>
      </c>
      <c r="G40" s="326">
        <f t="shared" si="3"/>
        <v>11113.52</v>
      </c>
    </row>
    <row r="41" spans="2:7" x14ac:dyDescent="0.25">
      <c r="C41" s="325"/>
      <c r="D41" s="11"/>
      <c r="E41" s="11"/>
      <c r="F41" s="11"/>
      <c r="G41" s="11"/>
    </row>
    <row r="42" spans="2:7" x14ac:dyDescent="0.25">
      <c r="B42" s="1" t="s">
        <v>53</v>
      </c>
      <c r="C42" s="325"/>
      <c r="D42" s="11"/>
      <c r="E42" s="11"/>
      <c r="F42" s="11"/>
      <c r="G42" s="11"/>
    </row>
    <row r="43" spans="2:7" x14ac:dyDescent="0.25">
      <c r="B43" s="1" t="s">
        <v>54</v>
      </c>
      <c r="C43" s="325"/>
      <c r="D43" s="11"/>
      <c r="E43" s="11"/>
      <c r="F43" s="11"/>
      <c r="G43" s="11"/>
    </row>
    <row r="44" spans="2:7" x14ac:dyDescent="0.25">
      <c r="B44" t="s">
        <v>55</v>
      </c>
      <c r="C44" s="279">
        <v>87.12</v>
      </c>
      <c r="D44" s="16">
        <v>181.25</v>
      </c>
      <c r="E44" s="16">
        <v>181.25</v>
      </c>
      <c r="F44" s="16">
        <v>181.25</v>
      </c>
      <c r="G44" s="16">
        <v>181.26</v>
      </c>
    </row>
    <row r="45" spans="2:7" x14ac:dyDescent="0.25">
      <c r="B45" t="s">
        <v>56</v>
      </c>
      <c r="C45" s="279">
        <v>3415.78</v>
      </c>
      <c r="D45" s="16">
        <v>4334.7299999999996</v>
      </c>
      <c r="E45" s="16">
        <v>4738.83</v>
      </c>
      <c r="F45" s="16">
        <v>5108.5200000000004</v>
      </c>
      <c r="G45" s="16">
        <v>5423.86</v>
      </c>
    </row>
    <row r="46" spans="2:7" x14ac:dyDescent="0.25">
      <c r="B46" t="s">
        <v>57</v>
      </c>
      <c r="C46" s="279">
        <v>12.24</v>
      </c>
      <c r="D46" s="16">
        <v>0.72</v>
      </c>
      <c r="E46" s="16">
        <v>0.72</v>
      </c>
      <c r="F46" s="16">
        <v>0.72</v>
      </c>
      <c r="G46" s="16">
        <v>0.1</v>
      </c>
    </row>
    <row r="47" spans="2:7" x14ac:dyDescent="0.25">
      <c r="B47" s="10" t="s">
        <v>58</v>
      </c>
      <c r="C47" s="326">
        <f t="shared" ref="C47:E47" si="4">SUM(C44:C46)</f>
        <v>3515.14</v>
      </c>
      <c r="D47" s="13">
        <f t="shared" si="4"/>
        <v>4516.7</v>
      </c>
      <c r="E47" s="13">
        <f t="shared" si="4"/>
        <v>4920.8</v>
      </c>
      <c r="F47" s="13">
        <f>SUM(F44:F46)</f>
        <v>5290.4900000000007</v>
      </c>
      <c r="G47" s="13">
        <f>SUM(G44:G46)</f>
        <v>5605.22</v>
      </c>
    </row>
    <row r="48" spans="2:7" x14ac:dyDescent="0.25">
      <c r="C48" s="325"/>
      <c r="D48" s="11"/>
      <c r="E48" s="11"/>
      <c r="F48" s="11"/>
      <c r="G48" s="11"/>
    </row>
    <row r="49" spans="2:7" s="1" customFormat="1" x14ac:dyDescent="0.25">
      <c r="B49" s="1" t="s">
        <v>59</v>
      </c>
      <c r="C49" s="327"/>
      <c r="D49" s="14"/>
      <c r="E49" s="14"/>
      <c r="F49" s="14"/>
      <c r="G49" s="14"/>
    </row>
    <row r="50" spans="2:7" x14ac:dyDescent="0.25">
      <c r="B50" s="1" t="s">
        <v>60</v>
      </c>
      <c r="C50" s="325"/>
      <c r="D50" s="11"/>
      <c r="E50" s="11"/>
      <c r="F50" s="11"/>
      <c r="G50" s="11"/>
    </row>
    <row r="51" spans="2:7" x14ac:dyDescent="0.25">
      <c r="B51" t="s">
        <v>61</v>
      </c>
      <c r="C51" s="325"/>
      <c r="D51" s="11"/>
      <c r="E51" s="11"/>
      <c r="F51" s="11"/>
      <c r="G51" s="11"/>
    </row>
    <row r="52" spans="2:7" x14ac:dyDescent="0.25">
      <c r="B52" t="s">
        <v>62</v>
      </c>
      <c r="C52" s="279">
        <v>1268.05</v>
      </c>
      <c r="D52" s="16">
        <v>929.85</v>
      </c>
      <c r="E52" s="16">
        <v>634.71</v>
      </c>
      <c r="F52" s="16">
        <v>1523.87</v>
      </c>
      <c r="G52" s="16">
        <v>1867.42</v>
      </c>
    </row>
    <row r="53" spans="2:7" x14ac:dyDescent="0.25">
      <c r="B53" t="s">
        <v>63</v>
      </c>
      <c r="C53" s="279"/>
      <c r="D53" s="16">
        <v>14.91</v>
      </c>
      <c r="E53" s="16">
        <v>25.26</v>
      </c>
      <c r="F53" s="16">
        <v>49.31</v>
      </c>
      <c r="G53" s="16">
        <v>47.13</v>
      </c>
    </row>
    <row r="54" spans="2:7" x14ac:dyDescent="0.25">
      <c r="B54" t="s">
        <v>64</v>
      </c>
      <c r="C54" s="279">
        <v>224.41</v>
      </c>
      <c r="D54" s="16">
        <v>223.58</v>
      </c>
      <c r="E54" s="16">
        <v>216.81</v>
      </c>
      <c r="F54" s="16">
        <v>175.29</v>
      </c>
      <c r="G54" s="16">
        <v>112.16</v>
      </c>
    </row>
    <row r="55" spans="2:7" x14ac:dyDescent="0.25">
      <c r="B55" t="s">
        <v>414</v>
      </c>
      <c r="C55" s="279">
        <v>233.94</v>
      </c>
      <c r="D55" s="16">
        <v>0</v>
      </c>
      <c r="E55" s="16">
        <v>0</v>
      </c>
      <c r="F55" s="16">
        <v>0</v>
      </c>
      <c r="G55" s="16">
        <v>0</v>
      </c>
    </row>
    <row r="56" spans="2:7" x14ac:dyDescent="0.25">
      <c r="B56" t="s">
        <v>65</v>
      </c>
      <c r="C56" s="325"/>
      <c r="D56" s="11"/>
      <c r="E56" s="11"/>
      <c r="F56" s="16">
        <v>13.76</v>
      </c>
      <c r="G56" s="16">
        <v>15.19</v>
      </c>
    </row>
    <row r="57" spans="2:7" x14ac:dyDescent="0.25">
      <c r="B57" s="9" t="s">
        <v>66</v>
      </c>
      <c r="C57" s="324">
        <f t="shared" ref="C57:E57" si="5">SUM(C52:C55)</f>
        <v>1726.4</v>
      </c>
      <c r="D57" s="324">
        <f t="shared" si="5"/>
        <v>1168.3399999999999</v>
      </c>
      <c r="E57" s="324">
        <f t="shared" si="5"/>
        <v>876.78</v>
      </c>
      <c r="F57" s="324">
        <f>SUM(F52:F56)</f>
        <v>1762.2299999999998</v>
      </c>
      <c r="G57" s="324">
        <f t="shared" ref="G57" si="6">SUM(G52:G56)</f>
        <v>2041.9000000000003</v>
      </c>
    </row>
    <row r="58" spans="2:7" x14ac:dyDescent="0.25">
      <c r="C58" s="325"/>
      <c r="D58" s="11"/>
      <c r="E58" s="11"/>
      <c r="F58" s="11"/>
      <c r="G58" s="11"/>
    </row>
    <row r="59" spans="2:7" x14ac:dyDescent="0.25">
      <c r="B59" s="1" t="s">
        <v>67</v>
      </c>
      <c r="C59" s="325"/>
      <c r="D59" s="11"/>
      <c r="E59" s="11"/>
      <c r="F59" s="11"/>
      <c r="G59" s="11"/>
    </row>
    <row r="60" spans="2:7" x14ac:dyDescent="0.25">
      <c r="B60" t="s">
        <v>61</v>
      </c>
      <c r="C60" s="325"/>
      <c r="D60" s="11"/>
      <c r="E60" s="11"/>
      <c r="F60" s="11"/>
      <c r="G60" s="11"/>
    </row>
    <row r="61" spans="2:7" x14ac:dyDescent="0.25">
      <c r="B61" t="s">
        <v>62</v>
      </c>
      <c r="C61" s="279">
        <v>1224.07</v>
      </c>
      <c r="D61" s="16">
        <v>1638.12</v>
      </c>
      <c r="E61" s="16">
        <v>2239.3200000000002</v>
      </c>
      <c r="F61" s="16">
        <v>2040.42</v>
      </c>
      <c r="G61" s="16">
        <v>1922.13</v>
      </c>
    </row>
    <row r="62" spans="2:7" x14ac:dyDescent="0.25">
      <c r="B62" t="s">
        <v>63</v>
      </c>
      <c r="C62" s="279">
        <v>0</v>
      </c>
      <c r="D62" s="16">
        <v>4.07</v>
      </c>
      <c r="E62" s="16">
        <v>8.02</v>
      </c>
      <c r="F62" s="16">
        <v>9.07</v>
      </c>
      <c r="G62" s="16">
        <v>11.11</v>
      </c>
    </row>
    <row r="63" spans="2:7" x14ac:dyDescent="0.25">
      <c r="B63" t="s">
        <v>68</v>
      </c>
      <c r="C63" s="279"/>
      <c r="D63" s="16"/>
      <c r="E63" s="16"/>
      <c r="F63" s="16"/>
      <c r="G63" s="16"/>
    </row>
    <row r="64" spans="2:7" x14ac:dyDescent="0.25">
      <c r="B64" t="s">
        <v>415</v>
      </c>
      <c r="C64" s="279"/>
      <c r="D64">
        <v>69.28</v>
      </c>
      <c r="E64">
        <v>48.66</v>
      </c>
      <c r="F64">
        <v>47.45</v>
      </c>
      <c r="G64">
        <v>26.48</v>
      </c>
    </row>
    <row r="65" spans="2:7" x14ac:dyDescent="0.25">
      <c r="B65" t="s">
        <v>416</v>
      </c>
      <c r="C65">
        <v>576.33000000000004</v>
      </c>
      <c r="D65">
        <v>275.57</v>
      </c>
      <c r="E65">
        <v>166.94</v>
      </c>
      <c r="F65">
        <v>677.47</v>
      </c>
      <c r="G65" s="2">
        <v>1211</v>
      </c>
    </row>
    <row r="66" spans="2:7" x14ac:dyDescent="0.25">
      <c r="B66" t="s">
        <v>69</v>
      </c>
      <c r="C66" s="279">
        <v>0</v>
      </c>
      <c r="D66" s="16">
        <v>2.23</v>
      </c>
      <c r="E66" s="16">
        <v>191.26</v>
      </c>
      <c r="F66" s="16">
        <v>136.56</v>
      </c>
      <c r="G66" s="16">
        <v>202.26</v>
      </c>
    </row>
    <row r="67" spans="2:7" x14ac:dyDescent="0.25">
      <c r="B67" t="s">
        <v>70</v>
      </c>
      <c r="C67" s="279">
        <v>559.62</v>
      </c>
      <c r="D67" s="16">
        <v>144.69999999999999</v>
      </c>
      <c r="E67" s="16">
        <v>99.26</v>
      </c>
      <c r="F67" s="16">
        <v>124.97</v>
      </c>
      <c r="G67" s="16">
        <v>77.510000000000005</v>
      </c>
    </row>
    <row r="68" spans="2:7" x14ac:dyDescent="0.25">
      <c r="B68" t="s">
        <v>65</v>
      </c>
      <c r="C68" s="279">
        <v>40.119999999999997</v>
      </c>
      <c r="D68" s="16">
        <v>31.68</v>
      </c>
      <c r="E68" s="16">
        <v>29.86</v>
      </c>
      <c r="F68" s="16">
        <v>26.51</v>
      </c>
      <c r="G68" s="16">
        <v>15.91</v>
      </c>
    </row>
    <row r="69" spans="2:7" x14ac:dyDescent="0.25">
      <c r="C69" s="325"/>
      <c r="D69" s="11"/>
      <c r="E69" s="11"/>
      <c r="F69" s="11"/>
      <c r="G69" s="11"/>
    </row>
    <row r="70" spans="2:7" x14ac:dyDescent="0.25">
      <c r="B70" s="9" t="s">
        <v>71</v>
      </c>
      <c r="C70" s="324">
        <f t="shared" ref="C70:G70" si="7">SUM(C61:C68)</f>
        <v>2400.14</v>
      </c>
      <c r="D70" s="324">
        <f t="shared" si="7"/>
        <v>2165.6499999999996</v>
      </c>
      <c r="E70" s="324">
        <f t="shared" si="7"/>
        <v>2783.32</v>
      </c>
      <c r="F70" s="324">
        <f t="shared" si="7"/>
        <v>3062.45</v>
      </c>
      <c r="G70" s="324">
        <f t="shared" si="7"/>
        <v>3466.4000000000005</v>
      </c>
    </row>
    <row r="71" spans="2:7" x14ac:dyDescent="0.25">
      <c r="C71" s="325"/>
      <c r="D71" s="11"/>
      <c r="E71" s="11"/>
      <c r="F71" s="11"/>
      <c r="G71" s="11"/>
    </row>
    <row r="72" spans="2:7" x14ac:dyDescent="0.25">
      <c r="B72" s="10" t="s">
        <v>72</v>
      </c>
      <c r="C72" s="326">
        <f t="shared" ref="C72:G72" si="8">C70+C57</f>
        <v>4126.54</v>
      </c>
      <c r="D72" s="326">
        <f t="shared" si="8"/>
        <v>3333.99</v>
      </c>
      <c r="E72" s="326">
        <f t="shared" si="8"/>
        <v>3660.1000000000004</v>
      </c>
      <c r="F72" s="326">
        <f t="shared" si="8"/>
        <v>4824.6799999999994</v>
      </c>
      <c r="G72" s="326">
        <f t="shared" si="8"/>
        <v>5508.3000000000011</v>
      </c>
    </row>
    <row r="73" spans="2:7" x14ac:dyDescent="0.25">
      <c r="C73" s="325"/>
      <c r="D73" s="11"/>
      <c r="E73" s="11"/>
      <c r="F73" s="11"/>
      <c r="G73" s="11"/>
    </row>
    <row r="74" spans="2:7" x14ac:dyDescent="0.25">
      <c r="B74" s="10" t="s">
        <v>73</v>
      </c>
      <c r="C74" s="326">
        <f t="shared" ref="C74:G74" si="9">C72+C47</f>
        <v>7641.68</v>
      </c>
      <c r="D74" s="326">
        <f t="shared" si="9"/>
        <v>7850.69</v>
      </c>
      <c r="E74" s="326">
        <f t="shared" si="9"/>
        <v>8580.9000000000015</v>
      </c>
      <c r="F74" s="326">
        <f t="shared" si="9"/>
        <v>10115.17</v>
      </c>
      <c r="G74" s="326">
        <f t="shared" si="9"/>
        <v>11113.52</v>
      </c>
    </row>
    <row r="76" spans="2:7" x14ac:dyDescent="0.25">
      <c r="B76" s="10" t="s">
        <v>74</v>
      </c>
      <c r="C76" s="10" t="b">
        <f>C74=C40</f>
        <v>1</v>
      </c>
      <c r="D76" s="10" t="b">
        <f t="shared" ref="D76:G76" si="10">D74=D40</f>
        <v>1</v>
      </c>
      <c r="E76" s="10" t="b">
        <f t="shared" si="10"/>
        <v>1</v>
      </c>
      <c r="F76" s="10" t="b">
        <f t="shared" si="10"/>
        <v>1</v>
      </c>
      <c r="G76" s="10" t="b">
        <f t="shared" si="10"/>
        <v>1</v>
      </c>
    </row>
    <row r="78" spans="2:7" x14ac:dyDescent="0.25">
      <c r="B78" s="67"/>
      <c r="C78" s="67"/>
      <c r="D78" s="67"/>
      <c r="E78" s="67"/>
      <c r="F78" s="67"/>
      <c r="G78" s="6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3"/>
  <sheetViews>
    <sheetView showGridLines="0" topLeftCell="B1" workbookViewId="0">
      <pane ySplit="11" topLeftCell="A24" activePane="bottomLeft" state="frozen"/>
      <selection pane="bottomLeft" activeCell="H26" sqref="H26"/>
    </sheetView>
  </sheetViews>
  <sheetFormatPr defaultRowHeight="15" x14ac:dyDescent="0.25"/>
  <cols>
    <col min="1" max="1" width="1.85546875" customWidth="1"/>
    <col min="2" max="2" width="30.85546875" bestFit="1" customWidth="1"/>
    <col min="3" max="7" width="8.42578125" customWidth="1"/>
    <col min="8" max="8" width="11.140625" bestFit="1" customWidth="1"/>
    <col min="9" max="17" width="11.140625"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346</v>
      </c>
      <c r="C8" s="405"/>
      <c r="D8" s="405"/>
      <c r="E8" s="405"/>
      <c r="F8" s="405"/>
      <c r="G8" s="405"/>
      <c r="H8" s="405"/>
      <c r="I8" s="405"/>
      <c r="J8" s="405"/>
      <c r="K8" s="405"/>
      <c r="L8" s="405"/>
      <c r="M8" s="405"/>
      <c r="N8" s="405"/>
      <c r="O8" s="405"/>
      <c r="P8" s="405"/>
      <c r="Q8" s="405"/>
    </row>
    <row r="9" spans="2:17" x14ac:dyDescent="0.25">
      <c r="B9" s="104" t="s">
        <v>206</v>
      </c>
    </row>
    <row r="10" spans="2:17" x14ac:dyDescent="0.25">
      <c r="B10" s="57" t="s">
        <v>0</v>
      </c>
      <c r="C10" s="57">
        <v>2021</v>
      </c>
      <c r="D10" s="57">
        <f>C10+1</f>
        <v>2022</v>
      </c>
      <c r="E10" s="57">
        <f t="shared" ref="E10:G10" si="0">D10+1</f>
        <v>2023</v>
      </c>
      <c r="F10" s="57">
        <f t="shared" si="0"/>
        <v>2024</v>
      </c>
      <c r="G10" s="57">
        <f t="shared" si="0"/>
        <v>2025</v>
      </c>
      <c r="H10" s="57">
        <f>G10+1</f>
        <v>2026</v>
      </c>
      <c r="I10" s="57">
        <f t="shared" ref="I10:Q10" si="1">H10+1</f>
        <v>2027</v>
      </c>
      <c r="J10" s="57">
        <f t="shared" si="1"/>
        <v>2028</v>
      </c>
      <c r="K10" s="57">
        <f t="shared" si="1"/>
        <v>2029</v>
      </c>
      <c r="L10" s="57">
        <f t="shared" si="1"/>
        <v>2030</v>
      </c>
      <c r="M10" s="57">
        <f t="shared" si="1"/>
        <v>2031</v>
      </c>
      <c r="N10" s="57">
        <f t="shared" si="1"/>
        <v>2032</v>
      </c>
      <c r="O10" s="57">
        <f t="shared" si="1"/>
        <v>2033</v>
      </c>
      <c r="P10" s="57">
        <f t="shared" si="1"/>
        <v>2034</v>
      </c>
      <c r="Q10" s="57">
        <f t="shared" si="1"/>
        <v>2035</v>
      </c>
    </row>
    <row r="11" spans="2:17" x14ac:dyDescent="0.25">
      <c r="B11" s="228"/>
      <c r="C11" s="229" t="s">
        <v>82</v>
      </c>
      <c r="D11" s="229" t="s">
        <v>82</v>
      </c>
      <c r="E11" s="229" t="s">
        <v>82</v>
      </c>
      <c r="F11" s="229" t="s">
        <v>82</v>
      </c>
      <c r="G11" s="229" t="s">
        <v>82</v>
      </c>
      <c r="H11" s="229" t="s">
        <v>83</v>
      </c>
      <c r="I11" s="229" t="s">
        <v>83</v>
      </c>
      <c r="J11" s="229" t="s">
        <v>83</v>
      </c>
      <c r="K11" s="229" t="s">
        <v>83</v>
      </c>
      <c r="L11" s="229" t="s">
        <v>83</v>
      </c>
      <c r="M11" s="229" t="s">
        <v>83</v>
      </c>
      <c r="N11" s="229" t="s">
        <v>83</v>
      </c>
      <c r="O11" s="229" t="s">
        <v>83</v>
      </c>
      <c r="P11" s="229" t="s">
        <v>83</v>
      </c>
      <c r="Q11" s="229" t="s">
        <v>83</v>
      </c>
    </row>
    <row r="13" spans="2:17" x14ac:dyDescent="0.25">
      <c r="B13" s="23"/>
      <c r="C13" s="24"/>
      <c r="D13" s="24"/>
      <c r="E13" s="24"/>
      <c r="F13" s="24"/>
      <c r="G13" s="24"/>
      <c r="H13" s="25"/>
      <c r="I13" s="25"/>
      <c r="J13" s="25"/>
      <c r="K13" s="25"/>
      <c r="L13" s="25"/>
      <c r="M13" s="25"/>
      <c r="N13" s="25"/>
      <c r="O13" s="25"/>
      <c r="P13" s="25"/>
      <c r="Q13" s="25"/>
    </row>
    <row r="14" spans="2:17" x14ac:dyDescent="0.25">
      <c r="B14" s="9" t="s">
        <v>464</v>
      </c>
      <c r="C14" s="59">
        <f>'Historical P&amp;L'!C12</f>
        <v>5023.28</v>
      </c>
      <c r="D14" s="59">
        <f>'Historical P&amp;L'!D12</f>
        <v>6871.05</v>
      </c>
      <c r="E14" s="59">
        <f>'Historical P&amp;L'!E12</f>
        <v>7282.62</v>
      </c>
      <c r="F14" s="59">
        <f>'Historical P&amp;L'!F12</f>
        <v>7010.56</v>
      </c>
      <c r="G14" s="59">
        <f>'Historical P&amp;L'!G12</f>
        <v>8046.01</v>
      </c>
      <c r="H14" s="59">
        <f>G14*(1+H15)</f>
        <v>9128.3625900690968</v>
      </c>
      <c r="I14" s="59">
        <f t="shared" ref="I14:Q14" si="2">H14*(1+I15)</f>
        <v>10258.077609197217</v>
      </c>
      <c r="J14" s="59">
        <f t="shared" si="2"/>
        <v>11426.042607289159</v>
      </c>
      <c r="K14" s="59">
        <f t="shared" si="2"/>
        <v>12622.914075141123</v>
      </c>
      <c r="L14" s="59">
        <f t="shared" si="2"/>
        <v>13839.377702976866</v>
      </c>
      <c r="M14" s="59">
        <f t="shared" si="2"/>
        <v>15066.375807119071</v>
      </c>
      <c r="N14" s="59">
        <f t="shared" si="2"/>
        <v>16295.296771089903</v>
      </c>
      <c r="O14" s="59">
        <f t="shared" si="2"/>
        <v>17518.12444422704</v>
      </c>
      <c r="P14" s="59">
        <f t="shared" si="2"/>
        <v>18727.547987753824</v>
      </c>
      <c r="Q14" s="59">
        <f t="shared" si="2"/>
        <v>19917.034597427421</v>
      </c>
    </row>
    <row r="15" spans="2:17" x14ac:dyDescent="0.25">
      <c r="B15" s="380" t="s">
        <v>81</v>
      </c>
      <c r="C15" s="380"/>
      <c r="D15" s="381">
        <f>D14/C14-1</f>
        <v>0.36784133076396319</v>
      </c>
      <c r="E15" s="381">
        <f t="shared" ref="E15:G15" si="3">E14/D14-1</f>
        <v>5.9899142052524779E-2</v>
      </c>
      <c r="F15" s="381">
        <f t="shared" si="3"/>
        <v>-3.735743454965379E-2</v>
      </c>
      <c r="G15" s="381">
        <f t="shared" si="3"/>
        <v>0.14769861466131085</v>
      </c>
      <c r="H15" s="381">
        <f>CHOOSE(Assumption!$C$12,'Revenue Build_up'!$H$26:$Q$26,'Revenue Build_up'!$H$27:$Q$27,'Revenue Build_up'!$H$28:$Q$28)</f>
        <v>0.13452041323203626</v>
      </c>
      <c r="I15" s="381">
        <f>CHOOSE(Assumption!$C$12,'Revenue Build_up'!$H$26:$Q$26,'Revenue Build_up'!$H$27:$Q$27,'Revenue Build_up'!$H$28:$Q$28)</f>
        <v>0.12375878017347336</v>
      </c>
      <c r="J15" s="381">
        <f>CHOOSE(Assumption!$C$12,'Revenue Build_up'!$H$26:$Q$26,'Revenue Build_up'!$H$27:$Q$27,'Revenue Build_up'!$H$28:$Q$28)</f>
        <v>0.1138580777595955</v>
      </c>
      <c r="K15" s="381">
        <f>CHOOSE(Assumption!$C$12,'Revenue Build_up'!$H$26:$Q$26,'Revenue Build_up'!$H$27:$Q$27,'Revenue Build_up'!$H$28:$Q$28)</f>
        <v>0.10474943153882786</v>
      </c>
      <c r="L15" s="381">
        <f>CHOOSE(Assumption!$C$12,'Revenue Build_up'!$H$26:$Q$26,'Revenue Build_up'!$H$27:$Q$27,'Revenue Build_up'!$H$28:$Q$28)</f>
        <v>9.6369477015721641E-2</v>
      </c>
      <c r="M15" s="381">
        <f>CHOOSE(Assumption!$C$12,'Revenue Build_up'!$H$26:$Q$26,'Revenue Build_up'!$H$27:$Q$27,'Revenue Build_up'!$H$28:$Q$28)</f>
        <v>8.8659918854463921E-2</v>
      </c>
      <c r="N15" s="381">
        <f>CHOOSE(Assumption!$C$12,'Revenue Build_up'!$H$26:$Q$26,'Revenue Build_up'!$H$27:$Q$27,'Revenue Build_up'!$H$28:$Q$28)</f>
        <v>8.1567125346106814E-2</v>
      </c>
      <c r="O15" s="381">
        <f>CHOOSE(Assumption!$C$12,'Revenue Build_up'!$H$26:$Q$26,'Revenue Build_up'!$H$27:$Q$27,'Revenue Build_up'!$H$28:$Q$28)</f>
        <v>7.5041755318418266E-2</v>
      </c>
      <c r="P15" s="381">
        <f>CHOOSE(Assumption!$C$12,'Revenue Build_up'!$H$26:$Q$26,'Revenue Build_up'!$H$27:$Q$27,'Revenue Build_up'!$H$28:$Q$28)</f>
        <v>6.9038414892944808E-2</v>
      </c>
      <c r="Q15" s="381">
        <f>CHOOSE(Assumption!$C$12,'Revenue Build_up'!$H$26:$Q$26,'Revenue Build_up'!$H$27:$Q$27,'Revenue Build_up'!$H$28:$Q$28)</f>
        <v>6.3515341701509229E-2</v>
      </c>
    </row>
    <row r="16" spans="2:17" x14ac:dyDescent="0.25">
      <c r="B16" s="3" t="s">
        <v>3</v>
      </c>
      <c r="C16" s="280">
        <v>517.17999999999995</v>
      </c>
      <c r="D16" s="280">
        <v>785.54</v>
      </c>
      <c r="E16" s="280">
        <v>664.04</v>
      </c>
      <c r="F16" s="280">
        <v>639.76</v>
      </c>
      <c r="G16" s="280">
        <v>774.69</v>
      </c>
      <c r="H16" s="62">
        <f>H14*H17</f>
        <v>905.5395522007525</v>
      </c>
      <c r="I16" s="62">
        <f t="shared" ref="I16:Q16" si="4">I14*I17</f>
        <v>1017.608022579951</v>
      </c>
      <c r="J16" s="62">
        <f t="shared" si="4"/>
        <v>1133.4709159436472</v>
      </c>
      <c r="K16" s="62">
        <f t="shared" si="4"/>
        <v>1252.2013500545386</v>
      </c>
      <c r="L16" s="62">
        <f t="shared" si="4"/>
        <v>1372.8753392776753</v>
      </c>
      <c r="M16" s="62">
        <f t="shared" si="4"/>
        <v>1494.5943554553285</v>
      </c>
      <c r="N16" s="62">
        <f t="shared" si="4"/>
        <v>1616.5041205883369</v>
      </c>
      <c r="O16" s="62">
        <f t="shared" si="4"/>
        <v>1737.8094272767414</v>
      </c>
      <c r="P16" s="62">
        <f t="shared" si="4"/>
        <v>1857.7850355219439</v>
      </c>
      <c r="Q16" s="62">
        <f t="shared" si="4"/>
        <v>1975.7828868610707</v>
      </c>
    </row>
    <row r="17" spans="2:17" x14ac:dyDescent="0.25">
      <c r="B17" s="382" t="s">
        <v>91</v>
      </c>
      <c r="C17" s="383">
        <f>C16/C14</f>
        <v>0.10295663391250338</v>
      </c>
      <c r="D17" s="383">
        <f>D16/D14</f>
        <v>0.11432604914823789</v>
      </c>
      <c r="E17" s="383">
        <f t="shared" ref="E17:G17" si="5">E16/E14</f>
        <v>9.1181470404881754E-2</v>
      </c>
      <c r="F17" s="383">
        <f t="shared" si="5"/>
        <v>9.1256618586817592E-2</v>
      </c>
      <c r="G17" s="383">
        <f t="shared" si="5"/>
        <v>9.6282505241728517E-2</v>
      </c>
      <c r="H17" s="384">
        <f>AVERAGE(C17:G17)</f>
        <v>9.9200655458833831E-2</v>
      </c>
      <c r="I17" s="384">
        <f>H17</f>
        <v>9.9200655458833831E-2</v>
      </c>
      <c r="J17" s="384">
        <f t="shared" ref="J17:Q17" si="6">I17</f>
        <v>9.9200655458833831E-2</v>
      </c>
      <c r="K17" s="384">
        <f t="shared" si="6"/>
        <v>9.9200655458833831E-2</v>
      </c>
      <c r="L17" s="384">
        <f t="shared" si="6"/>
        <v>9.9200655458833831E-2</v>
      </c>
      <c r="M17" s="384">
        <f t="shared" si="6"/>
        <v>9.9200655458833831E-2</v>
      </c>
      <c r="N17" s="384">
        <f t="shared" si="6"/>
        <v>9.9200655458833831E-2</v>
      </c>
      <c r="O17" s="384">
        <f t="shared" si="6"/>
        <v>9.9200655458833831E-2</v>
      </c>
      <c r="P17" s="384">
        <f t="shared" si="6"/>
        <v>9.9200655458833831E-2</v>
      </c>
      <c r="Q17" s="384">
        <f t="shared" si="6"/>
        <v>9.9200655458833831E-2</v>
      </c>
    </row>
    <row r="18" spans="2:17" ht="15.75" thickBot="1" x14ac:dyDescent="0.3">
      <c r="B18" s="5" t="s">
        <v>76</v>
      </c>
      <c r="C18" s="63">
        <f>C14-C16</f>
        <v>4506.0999999999995</v>
      </c>
      <c r="D18" s="63">
        <f>D14-D16</f>
        <v>6085.51</v>
      </c>
      <c r="E18" s="63">
        <f t="shared" ref="E18:Q18" si="7">E14-E16</f>
        <v>6618.58</v>
      </c>
      <c r="F18" s="63">
        <f t="shared" si="7"/>
        <v>6370.8</v>
      </c>
      <c r="G18" s="63">
        <f t="shared" si="7"/>
        <v>7271.32</v>
      </c>
      <c r="H18" s="63">
        <f t="shared" si="7"/>
        <v>8222.8230378683438</v>
      </c>
      <c r="I18" s="63">
        <f t="shared" si="7"/>
        <v>9240.469586617266</v>
      </c>
      <c r="J18" s="63">
        <f t="shared" si="7"/>
        <v>10292.571691345511</v>
      </c>
      <c r="K18" s="63">
        <f t="shared" si="7"/>
        <v>11370.712725086585</v>
      </c>
      <c r="L18" s="63">
        <f t="shared" si="7"/>
        <v>12466.50236369919</v>
      </c>
      <c r="M18" s="63">
        <f t="shared" si="7"/>
        <v>13571.781451663743</v>
      </c>
      <c r="N18" s="63">
        <f t="shared" si="7"/>
        <v>14678.792650501566</v>
      </c>
      <c r="O18" s="63">
        <f t="shared" si="7"/>
        <v>15780.315016950299</v>
      </c>
      <c r="P18" s="63">
        <f t="shared" si="7"/>
        <v>16869.762952231878</v>
      </c>
      <c r="Q18" s="63">
        <f t="shared" si="7"/>
        <v>17941.25171056635</v>
      </c>
    </row>
    <row r="19" spans="2:17" x14ac:dyDescent="0.25">
      <c r="D19" s="29"/>
      <c r="E19" s="29"/>
      <c r="F19" s="29"/>
      <c r="G19" s="29"/>
      <c r="H19" s="29"/>
      <c r="I19" s="29"/>
      <c r="J19" s="29"/>
      <c r="K19" s="29"/>
      <c r="L19" s="29"/>
      <c r="M19" s="29"/>
      <c r="N19" s="29"/>
      <c r="O19" s="29"/>
      <c r="P19" s="29"/>
      <c r="Q19" s="29"/>
    </row>
    <row r="21" spans="2:17" x14ac:dyDescent="0.25">
      <c r="B21" s="4" t="s">
        <v>5</v>
      </c>
      <c r="C21" s="281">
        <f>'Historical P&amp;L'!C15</f>
        <v>0.7</v>
      </c>
      <c r="D21" s="281">
        <f>'Historical P&amp;L'!D15</f>
        <v>0.77</v>
      </c>
      <c r="E21" s="281">
        <f>'Historical P&amp;L'!E15</f>
        <v>0.86</v>
      </c>
      <c r="F21" s="281">
        <f>'Historical P&amp;L'!F15</f>
        <v>10.86</v>
      </c>
      <c r="G21" s="281">
        <f>'Historical P&amp;L'!G15</f>
        <v>14.12</v>
      </c>
      <c r="H21" s="64">
        <f>H22*H18</f>
        <v>6.6742031730850062</v>
      </c>
      <c r="I21" s="64">
        <f t="shared" ref="I21:Q21" si="8">I22*I18</f>
        <v>7.5001944164159333</v>
      </c>
      <c r="J21" s="64">
        <f t="shared" si="8"/>
        <v>8.354152135492301</v>
      </c>
      <c r="K21" s="64">
        <f t="shared" si="8"/>
        <v>9.2292448226740049</v>
      </c>
      <c r="L21" s="64">
        <f t="shared" si="8"/>
        <v>10.118662319485155</v>
      </c>
      <c r="M21" s="64">
        <f t="shared" si="8"/>
        <v>11.015782099646431</v>
      </c>
      <c r="N21" s="64">
        <f t="shared" si="8"/>
        <v>11.91430777895369</v>
      </c>
      <c r="O21" s="64">
        <f t="shared" si="8"/>
        <v>12.808378348090258</v>
      </c>
      <c r="P21" s="64">
        <f t="shared" si="8"/>
        <v>13.692648486591523</v>
      </c>
      <c r="Q21" s="64">
        <f t="shared" si="8"/>
        <v>14.562341734016039</v>
      </c>
    </row>
    <row r="22" spans="2:17" x14ac:dyDescent="0.25">
      <c r="B22" s="23" t="s">
        <v>90</v>
      </c>
      <c r="C22" s="24">
        <f>C21/C18</f>
        <v>1.5534497680921419E-4</v>
      </c>
      <c r="D22" s="24">
        <f t="shared" ref="D22:G22" si="9">D21/D18</f>
        <v>1.2653006896710383E-4</v>
      </c>
      <c r="E22" s="24">
        <f t="shared" si="9"/>
        <v>1.2993723729259147E-4</v>
      </c>
      <c r="F22" s="24">
        <f t="shared" si="9"/>
        <v>1.7046524769259747E-3</v>
      </c>
      <c r="G22" s="24">
        <f t="shared" si="9"/>
        <v>1.9418757529581973E-3</v>
      </c>
      <c r="H22" s="25">
        <f>AVERAGE(C22:G22)</f>
        <v>8.1166810259061632E-4</v>
      </c>
      <c r="I22" s="25">
        <f>H22</f>
        <v>8.1166810259061632E-4</v>
      </c>
      <c r="J22" s="25">
        <f t="shared" ref="J22:Q22" si="10">I22</f>
        <v>8.1166810259061632E-4</v>
      </c>
      <c r="K22" s="25">
        <f t="shared" si="10"/>
        <v>8.1166810259061632E-4</v>
      </c>
      <c r="L22" s="25">
        <f t="shared" si="10"/>
        <v>8.1166810259061632E-4</v>
      </c>
      <c r="M22" s="25">
        <f t="shared" si="10"/>
        <v>8.1166810259061632E-4</v>
      </c>
      <c r="N22" s="25">
        <f t="shared" si="10"/>
        <v>8.1166810259061632E-4</v>
      </c>
      <c r="O22" s="25">
        <f t="shared" si="10"/>
        <v>8.1166810259061632E-4</v>
      </c>
      <c r="P22" s="25">
        <f t="shared" si="10"/>
        <v>8.1166810259061632E-4</v>
      </c>
      <c r="Q22" s="25">
        <f t="shared" si="10"/>
        <v>8.1166810259061632E-4</v>
      </c>
    </row>
    <row r="24" spans="2:17" x14ac:dyDescent="0.25">
      <c r="B24" s="53"/>
    </row>
    <row r="25" spans="2:17" x14ac:dyDescent="0.25">
      <c r="B25" s="27" t="s">
        <v>77</v>
      </c>
      <c r="C25" s="385" t="s">
        <v>81</v>
      </c>
      <c r="D25" s="20"/>
      <c r="E25" s="20"/>
      <c r="F25" s="20"/>
      <c r="G25" s="20"/>
    </row>
    <row r="26" spans="2:17" x14ac:dyDescent="0.25">
      <c r="B26" s="66" t="s">
        <v>78</v>
      </c>
      <c r="C26" s="379">
        <f>MAX(D15:G15)</f>
        <v>0.36784133076396319</v>
      </c>
      <c r="D26" s="6"/>
      <c r="E26" s="6"/>
      <c r="F26" s="6"/>
      <c r="G26" s="6"/>
      <c r="H26" s="394">
        <f>C26</f>
        <v>0.36784133076396319</v>
      </c>
      <c r="I26" s="394">
        <f t="shared" ref="I26:Q26" si="11">H26*(1-$C$29)</f>
        <v>0.33841402430284617</v>
      </c>
      <c r="J26" s="394">
        <f t="shared" si="11"/>
        <v>0.3113409023586185</v>
      </c>
      <c r="K26" s="394">
        <f t="shared" si="11"/>
        <v>0.28643363016992901</v>
      </c>
      <c r="L26" s="394">
        <f t="shared" si="11"/>
        <v>0.26351893975633472</v>
      </c>
      <c r="M26" s="394">
        <f t="shared" si="11"/>
        <v>0.24243742457582795</v>
      </c>
      <c r="N26" s="394">
        <f t="shared" si="11"/>
        <v>0.22304243060976173</v>
      </c>
      <c r="O26" s="394">
        <f t="shared" si="11"/>
        <v>0.20519903616098079</v>
      </c>
      <c r="P26" s="394">
        <f t="shared" si="11"/>
        <v>0.18878311326810232</v>
      </c>
      <c r="Q26" s="394">
        <f t="shared" si="11"/>
        <v>0.17368046420665414</v>
      </c>
    </row>
    <row r="27" spans="2:17" x14ac:dyDescent="0.25">
      <c r="B27" s="66" t="s">
        <v>79</v>
      </c>
      <c r="C27" s="379">
        <f>AVERAGE(D15:G15)</f>
        <v>0.13452041323203626</v>
      </c>
      <c r="D27" s="6"/>
      <c r="E27" s="6"/>
      <c r="F27" s="6"/>
      <c r="G27" s="6"/>
      <c r="H27" s="394">
        <f>C27</f>
        <v>0.13452041323203626</v>
      </c>
      <c r="I27" s="394">
        <f>H27*(1-$C$29)</f>
        <v>0.12375878017347336</v>
      </c>
      <c r="J27" s="394">
        <f t="shared" ref="J27:Q27" si="12">I27*(1-$C$29)</f>
        <v>0.1138580777595955</v>
      </c>
      <c r="K27" s="394">
        <f t="shared" si="12"/>
        <v>0.10474943153882786</v>
      </c>
      <c r="L27" s="394">
        <f t="shared" si="12"/>
        <v>9.6369477015721641E-2</v>
      </c>
      <c r="M27" s="394">
        <f t="shared" si="12"/>
        <v>8.8659918854463921E-2</v>
      </c>
      <c r="N27" s="394">
        <f t="shared" si="12"/>
        <v>8.1567125346106814E-2</v>
      </c>
      <c r="O27" s="394">
        <f t="shared" si="12"/>
        <v>7.5041755318418266E-2</v>
      </c>
      <c r="P27" s="394">
        <f t="shared" si="12"/>
        <v>6.9038414892944808E-2</v>
      </c>
      <c r="Q27" s="394">
        <f t="shared" si="12"/>
        <v>6.3515341701509229E-2</v>
      </c>
    </row>
    <row r="28" spans="2:17" x14ac:dyDescent="0.25">
      <c r="B28" s="66" t="s">
        <v>80</v>
      </c>
      <c r="C28" s="379">
        <f>MIN(D15:G15)</f>
        <v>-3.735743454965379E-2</v>
      </c>
      <c r="D28" s="6"/>
      <c r="E28" s="6"/>
      <c r="F28" s="6"/>
      <c r="G28" s="6"/>
      <c r="H28" s="394">
        <f>C28</f>
        <v>-3.735743454965379E-2</v>
      </c>
      <c r="I28" s="394">
        <f>H28*(1-$C$29)</f>
        <v>-3.436883978568149E-2</v>
      </c>
      <c r="J28" s="394">
        <f t="shared" ref="J28:Q28" si="13">I28*(1-$C$29)</f>
        <v>-3.1619332602826976E-2</v>
      </c>
      <c r="K28" s="394">
        <f t="shared" si="13"/>
        <v>-2.9089785994600818E-2</v>
      </c>
      <c r="L28" s="394">
        <f t="shared" si="13"/>
        <v>-2.6762603115032754E-2</v>
      </c>
      <c r="M28" s="394">
        <f t="shared" si="13"/>
        <v>-2.4621594865830133E-2</v>
      </c>
      <c r="N28" s="394">
        <f t="shared" si="13"/>
        <v>-2.2651867276563722E-2</v>
      </c>
      <c r="O28" s="394">
        <f t="shared" si="13"/>
        <v>-2.0839717894438625E-2</v>
      </c>
      <c r="P28" s="394">
        <f t="shared" si="13"/>
        <v>-1.9172540462883535E-2</v>
      </c>
      <c r="Q28" s="394">
        <f t="shared" si="13"/>
        <v>-1.7638737225852852E-2</v>
      </c>
    </row>
    <row r="29" spans="2:17" x14ac:dyDescent="0.25">
      <c r="B29" s="377" t="s">
        <v>462</v>
      </c>
      <c r="C29" s="378">
        <v>0.08</v>
      </c>
    </row>
    <row r="30" spans="2:17" x14ac:dyDescent="0.25">
      <c r="B30" s="4"/>
      <c r="C30" s="282"/>
      <c r="D30" s="282"/>
      <c r="E30" s="282"/>
      <c r="F30" s="282"/>
      <c r="G30" s="282"/>
      <c r="H30" s="64"/>
      <c r="I30" s="64"/>
      <c r="J30" s="64"/>
      <c r="K30" s="64"/>
      <c r="L30" s="64"/>
      <c r="M30" s="64"/>
      <c r="N30" s="64"/>
      <c r="O30" s="64"/>
      <c r="P30" s="64"/>
      <c r="Q30" s="64"/>
    </row>
    <row r="32" spans="2:17" x14ac:dyDescent="0.25">
      <c r="B32" s="18"/>
    </row>
    <row r="33" spans="2:17" x14ac:dyDescent="0.25">
      <c r="B33" s="261"/>
      <c r="C33" s="262"/>
      <c r="D33" s="262"/>
      <c r="E33" s="262"/>
      <c r="F33" s="262"/>
      <c r="G33" s="262"/>
      <c r="H33" s="260"/>
      <c r="I33" s="260"/>
      <c r="J33" s="260"/>
      <c r="K33" s="260"/>
      <c r="L33" s="260"/>
      <c r="M33" s="260"/>
      <c r="N33" s="260"/>
      <c r="O33" s="260"/>
      <c r="P33" s="260"/>
      <c r="Q33" s="260"/>
    </row>
  </sheetData>
  <mergeCells count="1">
    <mergeCell ref="B8:Q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1"/>
  <sheetViews>
    <sheetView showGridLines="0" workbookViewId="0">
      <pane ySplit="11" topLeftCell="A23" activePane="bottomLeft" state="frozen"/>
      <selection pane="bottomLeft" activeCell="C28" sqref="C28"/>
    </sheetView>
  </sheetViews>
  <sheetFormatPr defaultRowHeight="15" x14ac:dyDescent="0.25"/>
  <cols>
    <col min="1" max="1" width="1.85546875" customWidth="1"/>
    <col min="2" max="2" width="71.42578125" bestFit="1" customWidth="1"/>
    <col min="3" max="17" width="9.7109375"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348</v>
      </c>
      <c r="C8" s="405"/>
      <c r="D8" s="405"/>
      <c r="E8" s="405"/>
      <c r="F8" s="405"/>
      <c r="G8" s="405"/>
      <c r="H8" s="405"/>
      <c r="I8" s="405"/>
      <c r="J8" s="405"/>
      <c r="K8" s="405"/>
      <c r="L8" s="405"/>
      <c r="M8" s="405"/>
      <c r="N8" s="405"/>
      <c r="O8" s="405"/>
      <c r="P8" s="405"/>
      <c r="Q8" s="405"/>
    </row>
    <row r="9" spans="2:17" x14ac:dyDescent="0.25">
      <c r="B9" s="104" t="s">
        <v>206</v>
      </c>
    </row>
    <row r="10" spans="2:17" x14ac:dyDescent="0.25">
      <c r="B10" s="7" t="s">
        <v>0</v>
      </c>
      <c r="C10" s="7">
        <v>2021</v>
      </c>
      <c r="D10" s="7">
        <f>C10+1</f>
        <v>2022</v>
      </c>
      <c r="E10" s="7">
        <f t="shared" ref="E10:G10" si="0">D10+1</f>
        <v>2023</v>
      </c>
      <c r="F10" s="7">
        <f t="shared" si="0"/>
        <v>2024</v>
      </c>
      <c r="G10" s="7">
        <f t="shared" si="0"/>
        <v>2025</v>
      </c>
      <c r="H10" s="7">
        <f>G10+1</f>
        <v>2026</v>
      </c>
      <c r="I10" s="7">
        <f t="shared" ref="I10:Q10" si="1">H10+1</f>
        <v>2027</v>
      </c>
      <c r="J10" s="7">
        <f t="shared" si="1"/>
        <v>2028</v>
      </c>
      <c r="K10" s="7">
        <f t="shared" si="1"/>
        <v>2029</v>
      </c>
      <c r="L10" s="7">
        <f t="shared" si="1"/>
        <v>2030</v>
      </c>
      <c r="M10" s="7">
        <f t="shared" si="1"/>
        <v>2031</v>
      </c>
      <c r="N10" s="7">
        <f t="shared" si="1"/>
        <v>2032</v>
      </c>
      <c r="O10" s="7">
        <f t="shared" si="1"/>
        <v>2033</v>
      </c>
      <c r="P10" s="7">
        <f t="shared" si="1"/>
        <v>2034</v>
      </c>
      <c r="Q10" s="7">
        <f t="shared" si="1"/>
        <v>2035</v>
      </c>
    </row>
    <row r="11" spans="2:17" x14ac:dyDescent="0.25">
      <c r="B11" s="228"/>
      <c r="C11" s="229" t="s">
        <v>82</v>
      </c>
      <c r="D11" s="229" t="s">
        <v>82</v>
      </c>
      <c r="E11" s="229" t="s">
        <v>82</v>
      </c>
      <c r="F11" s="229" t="s">
        <v>82</v>
      </c>
      <c r="G11" s="229" t="s">
        <v>82</v>
      </c>
      <c r="H11" s="229" t="s">
        <v>83</v>
      </c>
      <c r="I11" s="229" t="s">
        <v>83</v>
      </c>
      <c r="J11" s="229" t="s">
        <v>83</v>
      </c>
      <c r="K11" s="229" t="s">
        <v>83</v>
      </c>
      <c r="L11" s="229" t="s">
        <v>83</v>
      </c>
      <c r="M11" s="229" t="s">
        <v>83</v>
      </c>
      <c r="N11" s="229" t="s">
        <v>83</v>
      </c>
      <c r="O11" s="229" t="s">
        <v>83</v>
      </c>
      <c r="P11" s="229" t="s">
        <v>83</v>
      </c>
      <c r="Q11" s="229" t="s">
        <v>83</v>
      </c>
    </row>
    <row r="13" spans="2:17" x14ac:dyDescent="0.25">
      <c r="B13" s="1" t="s">
        <v>84</v>
      </c>
      <c r="C13" s="283">
        <f>'Revenue Build_up'!C18</f>
        <v>4506.0999999999995</v>
      </c>
      <c r="D13" s="283">
        <f>'Revenue Build_up'!D18</f>
        <v>6085.51</v>
      </c>
      <c r="E13" s="283">
        <f>'Revenue Build_up'!E18</f>
        <v>6618.58</v>
      </c>
      <c r="F13" s="283">
        <f>'Revenue Build_up'!F18</f>
        <v>6370.8</v>
      </c>
      <c r="G13" s="283">
        <f>'Revenue Build_up'!G18</f>
        <v>7271.32</v>
      </c>
      <c r="H13" s="283">
        <f>'Revenue Build_up'!H18</f>
        <v>8222.8230378683438</v>
      </c>
      <c r="I13" s="283">
        <f>'Revenue Build_up'!I18</f>
        <v>9240.469586617266</v>
      </c>
      <c r="J13" s="283">
        <f>'Revenue Build_up'!J18</f>
        <v>10292.571691345511</v>
      </c>
      <c r="K13" s="283">
        <f>'Revenue Build_up'!K18</f>
        <v>11370.712725086585</v>
      </c>
      <c r="L13" s="283">
        <f>'Revenue Build_up'!L18</f>
        <v>12466.50236369919</v>
      </c>
      <c r="M13" s="283">
        <f>'Revenue Build_up'!M18</f>
        <v>13571.781451663743</v>
      </c>
      <c r="N13" s="283">
        <f>'Revenue Build_up'!N18</f>
        <v>14678.792650501566</v>
      </c>
      <c r="O13" s="283">
        <f>'Revenue Build_up'!O18</f>
        <v>15780.315016950299</v>
      </c>
      <c r="P13" s="283">
        <f>'Revenue Build_up'!P18</f>
        <v>16869.762952231878</v>
      </c>
      <c r="Q13" s="283">
        <f>'Revenue Build_up'!Q18</f>
        <v>17941.25171056635</v>
      </c>
    </row>
    <row r="14" spans="2:17" x14ac:dyDescent="0.25">
      <c r="B14" s="26"/>
      <c r="C14" s="26"/>
      <c r="D14" s="26"/>
      <c r="E14" s="26"/>
      <c r="F14" s="26"/>
      <c r="G14" s="26"/>
      <c r="H14" s="26"/>
      <c r="I14" s="26"/>
      <c r="J14" s="26"/>
      <c r="K14" s="26"/>
      <c r="L14" s="26"/>
      <c r="M14" s="26"/>
      <c r="N14" s="26"/>
      <c r="O14" s="26"/>
      <c r="P14" s="26"/>
      <c r="Q14" s="26"/>
    </row>
    <row r="16" spans="2:17" x14ac:dyDescent="0.25">
      <c r="B16" s="1" t="s">
        <v>85</v>
      </c>
      <c r="C16" s="283">
        <f>'Historical P&amp;L'!C18</f>
        <v>1937.57</v>
      </c>
      <c r="D16" s="283">
        <f>'Historical P&amp;L'!D18</f>
        <v>2794.06</v>
      </c>
      <c r="E16" s="283">
        <f>'Historical P&amp;L'!E18</f>
        <v>3462.03</v>
      </c>
      <c r="F16" s="283">
        <f>'Historical P&amp;L'!F18</f>
        <v>3771.5</v>
      </c>
      <c r="G16" s="283">
        <f>'Historical P&amp;L'!G18</f>
        <v>4381.3599999999997</v>
      </c>
      <c r="H16" s="284">
        <f>H13*H17</f>
        <v>4286.9694615188973</v>
      </c>
      <c r="I16" s="284">
        <f t="shared" ref="I16:Q16" si="2">I13*I17</f>
        <v>4817.5195727174087</v>
      </c>
      <c r="J16" s="284">
        <f t="shared" si="2"/>
        <v>5366.0330908362403</v>
      </c>
      <c r="K16" s="284">
        <f t="shared" si="2"/>
        <v>5928.1220067198756</v>
      </c>
      <c r="L16" s="284">
        <f t="shared" si="2"/>
        <v>6499.4120241928604</v>
      </c>
      <c r="M16" s="284">
        <f t="shared" si="2"/>
        <v>7075.6493668595258</v>
      </c>
      <c r="N16" s="284">
        <f t="shared" si="2"/>
        <v>7652.7897456712581</v>
      </c>
      <c r="O16" s="284">
        <f t="shared" si="2"/>
        <v>8227.0685212692206</v>
      </c>
      <c r="P16" s="284">
        <f t="shared" si="2"/>
        <v>8795.0522911932894</v>
      </c>
      <c r="Q16" s="284">
        <f t="shared" si="2"/>
        <v>9353.6730427510738</v>
      </c>
    </row>
    <row r="17" spans="2:17" x14ac:dyDescent="0.25">
      <c r="B17" s="23" t="s">
        <v>86</v>
      </c>
      <c r="C17" s="24">
        <f>C16/C13</f>
        <v>0.42998823816604165</v>
      </c>
      <c r="D17" s="24">
        <f t="shared" ref="D17:G17" si="3">D16/D13</f>
        <v>0.45913325259509885</v>
      </c>
      <c r="E17" s="24">
        <f t="shared" si="3"/>
        <v>0.52307745770240754</v>
      </c>
      <c r="F17" s="24">
        <f t="shared" si="3"/>
        <v>0.59199786526024989</v>
      </c>
      <c r="G17" s="24">
        <f t="shared" si="3"/>
        <v>0.60255359412046228</v>
      </c>
      <c r="H17" s="25">
        <f>AVERAGE(C17:G17)</f>
        <v>0.5213500815688521</v>
      </c>
      <c r="I17" s="25">
        <f>H17</f>
        <v>0.5213500815688521</v>
      </c>
      <c r="J17" s="25">
        <f t="shared" ref="J17:Q17" si="4">I17</f>
        <v>0.5213500815688521</v>
      </c>
      <c r="K17" s="25">
        <f t="shared" si="4"/>
        <v>0.5213500815688521</v>
      </c>
      <c r="L17" s="25">
        <f t="shared" si="4"/>
        <v>0.5213500815688521</v>
      </c>
      <c r="M17" s="25">
        <f t="shared" si="4"/>
        <v>0.5213500815688521</v>
      </c>
      <c r="N17" s="25">
        <f t="shared" si="4"/>
        <v>0.5213500815688521</v>
      </c>
      <c r="O17" s="25">
        <f t="shared" si="4"/>
        <v>0.5213500815688521</v>
      </c>
      <c r="P17" s="25">
        <f t="shared" si="4"/>
        <v>0.5213500815688521</v>
      </c>
      <c r="Q17" s="25">
        <f t="shared" si="4"/>
        <v>0.5213500815688521</v>
      </c>
    </row>
    <row r="19" spans="2:17" x14ac:dyDescent="0.25">
      <c r="B19" s="1" t="s">
        <v>87</v>
      </c>
      <c r="C19" s="283">
        <f>'Historical P&amp;L'!C19</f>
        <v>244.24</v>
      </c>
      <c r="D19" s="283">
        <f>'Historical P&amp;L'!D19</f>
        <v>270.88</v>
      </c>
      <c r="E19" s="283">
        <f>'Historical P&amp;L'!E19</f>
        <v>313.94</v>
      </c>
      <c r="F19" s="283">
        <f>'Historical P&amp;L'!F19</f>
        <v>203.95</v>
      </c>
      <c r="G19" s="283">
        <f>'Historical P&amp;L'!G19</f>
        <v>219.73</v>
      </c>
      <c r="H19" s="58">
        <f>H20*H13</f>
        <v>342.6935167781478</v>
      </c>
      <c r="I19" s="58">
        <f t="shared" ref="I19:Q19" si="5">I20*I13</f>
        <v>385.10484838796918</v>
      </c>
      <c r="J19" s="58">
        <f t="shared" si="5"/>
        <v>428.95214616132375</v>
      </c>
      <c r="K19" s="58">
        <f t="shared" si="5"/>
        <v>473.88463962908264</v>
      </c>
      <c r="L19" s="58">
        <f t="shared" si="5"/>
        <v>519.55265451592106</v>
      </c>
      <c r="M19" s="58">
        <f t="shared" si="5"/>
        <v>565.61615070592393</v>
      </c>
      <c r="N19" s="58">
        <f t="shared" si="5"/>
        <v>611.75183416833636</v>
      </c>
      <c r="O19" s="58">
        <f t="shared" si="5"/>
        <v>657.65876562359017</v>
      </c>
      <c r="P19" s="58">
        <f t="shared" si="5"/>
        <v>703.06248434269344</v>
      </c>
      <c r="Q19" s="58">
        <f t="shared" si="5"/>
        <v>747.7177382732317</v>
      </c>
    </row>
    <row r="20" spans="2:17" x14ac:dyDescent="0.25">
      <c r="B20" s="23" t="s">
        <v>86</v>
      </c>
      <c r="C20" s="24">
        <f>C19/C13</f>
        <v>5.4202081622689254E-2</v>
      </c>
      <c r="D20" s="24">
        <f t="shared" ref="D20:G20" si="6">D19/D13</f>
        <v>4.451229231403777E-2</v>
      </c>
      <c r="E20" s="24">
        <f t="shared" si="6"/>
        <v>4.7433135204228094E-2</v>
      </c>
      <c r="F20" s="24">
        <f t="shared" si="6"/>
        <v>3.2013247943743328E-2</v>
      </c>
      <c r="G20" s="24">
        <f t="shared" si="6"/>
        <v>3.0218722322769457E-2</v>
      </c>
      <c r="H20" s="25">
        <f>AVERAGE(C20:G20)</f>
        <v>4.1675895881493577E-2</v>
      </c>
      <c r="I20" s="25">
        <f>H20</f>
        <v>4.1675895881493577E-2</v>
      </c>
      <c r="J20" s="25">
        <f t="shared" ref="J20:Q20" si="7">I20</f>
        <v>4.1675895881493577E-2</v>
      </c>
      <c r="K20" s="25">
        <f t="shared" si="7"/>
        <v>4.1675895881493577E-2</v>
      </c>
      <c r="L20" s="25">
        <f t="shared" si="7"/>
        <v>4.1675895881493577E-2</v>
      </c>
      <c r="M20" s="25">
        <f t="shared" si="7"/>
        <v>4.1675895881493577E-2</v>
      </c>
      <c r="N20" s="25">
        <f t="shared" si="7"/>
        <v>4.1675895881493577E-2</v>
      </c>
      <c r="O20" s="25">
        <f t="shared" si="7"/>
        <v>4.1675895881493577E-2</v>
      </c>
      <c r="P20" s="25">
        <f t="shared" si="7"/>
        <v>4.1675895881493577E-2</v>
      </c>
      <c r="Q20" s="25">
        <f t="shared" si="7"/>
        <v>4.1675895881493577E-2</v>
      </c>
    </row>
    <row r="22" spans="2:17" x14ac:dyDescent="0.25">
      <c r="B22" s="1" t="s">
        <v>88</v>
      </c>
      <c r="C22" s="315">
        <f>'Historical P&amp;L'!C20</f>
        <v>-53.25</v>
      </c>
      <c r="D22" s="315">
        <f>'Historical P&amp;L'!D20</f>
        <v>-210.49</v>
      </c>
      <c r="E22" s="315">
        <f>'Historical P&amp;L'!E20</f>
        <v>65.7</v>
      </c>
      <c r="F22" s="315">
        <f>'Historical P&amp;L'!F20</f>
        <v>-93.57</v>
      </c>
      <c r="G22" s="315">
        <f>'Historical P&amp;L'!G20</f>
        <v>54.03</v>
      </c>
      <c r="H22" s="316">
        <f>H13*H23</f>
        <v>-71.926996884724701</v>
      </c>
      <c r="I22" s="316">
        <f t="shared" ref="I22:Q22" si="8">I13*I23</f>
        <v>-80.828594280719471</v>
      </c>
      <c r="J22" s="316">
        <f t="shared" si="8"/>
        <v>-90.031582653532411</v>
      </c>
      <c r="K22" s="316">
        <f t="shared" si="8"/>
        <v>-99.462339757030918</v>
      </c>
      <c r="L22" s="316">
        <f t="shared" si="8"/>
        <v>-109.04747342217601</v>
      </c>
      <c r="M22" s="316">
        <f t="shared" si="8"/>
        <v>-118.71561356707045</v>
      </c>
      <c r="N22" s="316">
        <f t="shared" si="8"/>
        <v>-128.39890489943565</v>
      </c>
      <c r="O22" s="316">
        <f t="shared" si="8"/>
        <v>-138.03418410405195</v>
      </c>
      <c r="P22" s="316">
        <f t="shared" si="8"/>
        <v>-147.56384537563659</v>
      </c>
      <c r="Q22" s="316">
        <f t="shared" si="8"/>
        <v>-156.93641343745884</v>
      </c>
    </row>
    <row r="23" spans="2:17" x14ac:dyDescent="0.25">
      <c r="B23" s="23" t="s">
        <v>86</v>
      </c>
      <c r="C23" s="24">
        <f>C22/C13</f>
        <v>-1.1817314307272366E-2</v>
      </c>
      <c r="D23" s="24">
        <f t="shared" ref="D23:G23" si="9">D22/D13</f>
        <v>-3.4588719762189198E-2</v>
      </c>
      <c r="E23" s="24">
        <f t="shared" si="9"/>
        <v>9.9266005699107668E-3</v>
      </c>
      <c r="F23" s="24">
        <f t="shared" si="9"/>
        <v>-1.4687323413072139E-2</v>
      </c>
      <c r="G23" s="24">
        <f t="shared" si="9"/>
        <v>7.4305628139044906E-3</v>
      </c>
      <c r="H23" s="25">
        <f>AVERAGE(C23:G23)</f>
        <v>-8.7472388197436888E-3</v>
      </c>
      <c r="I23" s="25">
        <f>H23</f>
        <v>-8.7472388197436888E-3</v>
      </c>
      <c r="J23" s="25">
        <f t="shared" ref="J23:Q23" si="10">I23</f>
        <v>-8.7472388197436888E-3</v>
      </c>
      <c r="K23" s="25">
        <f t="shared" si="10"/>
        <v>-8.7472388197436888E-3</v>
      </c>
      <c r="L23" s="25">
        <f t="shared" si="10"/>
        <v>-8.7472388197436888E-3</v>
      </c>
      <c r="M23" s="25">
        <f t="shared" si="10"/>
        <v>-8.7472388197436888E-3</v>
      </c>
      <c r="N23" s="25">
        <f t="shared" si="10"/>
        <v>-8.7472388197436888E-3</v>
      </c>
      <c r="O23" s="25">
        <f t="shared" si="10"/>
        <v>-8.7472388197436888E-3</v>
      </c>
      <c r="P23" s="25">
        <f t="shared" si="10"/>
        <v>-8.7472388197436888E-3</v>
      </c>
      <c r="Q23" s="25">
        <f t="shared" si="10"/>
        <v>-8.7472388197436888E-3</v>
      </c>
    </row>
    <row r="25" spans="2:17" x14ac:dyDescent="0.25">
      <c r="B25" s="9" t="s">
        <v>89</v>
      </c>
      <c r="C25" s="59">
        <f>C22+C19+C16</f>
        <v>2128.56</v>
      </c>
      <c r="D25" s="59">
        <f t="shared" ref="D25:Q25" si="11">D22+D19+D16</f>
        <v>2854.45</v>
      </c>
      <c r="E25" s="59">
        <f t="shared" si="11"/>
        <v>3841.67</v>
      </c>
      <c r="F25" s="59">
        <f t="shared" si="11"/>
        <v>3881.88</v>
      </c>
      <c r="G25" s="59">
        <f t="shared" si="11"/>
        <v>4655.12</v>
      </c>
      <c r="H25" s="59">
        <f t="shared" si="11"/>
        <v>4557.7359814123201</v>
      </c>
      <c r="I25" s="59">
        <f t="shared" si="11"/>
        <v>5121.7958268246584</v>
      </c>
      <c r="J25" s="59">
        <f t="shared" si="11"/>
        <v>5704.9536543440317</v>
      </c>
      <c r="K25" s="59">
        <f t="shared" si="11"/>
        <v>6302.5443065919271</v>
      </c>
      <c r="L25" s="59">
        <f t="shared" si="11"/>
        <v>6909.9172052866052</v>
      </c>
      <c r="M25" s="59">
        <f t="shared" si="11"/>
        <v>7522.5499039983788</v>
      </c>
      <c r="N25" s="59">
        <f t="shared" si="11"/>
        <v>8136.1426749401589</v>
      </c>
      <c r="O25" s="59">
        <f t="shared" si="11"/>
        <v>8746.6931027887586</v>
      </c>
      <c r="P25" s="59">
        <f t="shared" si="11"/>
        <v>9350.550930160347</v>
      </c>
      <c r="Q25" s="59">
        <f t="shared" si="11"/>
        <v>9944.4543675868463</v>
      </c>
    </row>
    <row r="26" spans="2:17" x14ac:dyDescent="0.25">
      <c r="B26" s="23" t="s">
        <v>86</v>
      </c>
      <c r="C26" s="24">
        <f>C25/C13</f>
        <v>0.4723730054814585</v>
      </c>
      <c r="D26" s="24">
        <f t="shared" ref="D26:Q26" si="12">D25/D13</f>
        <v>0.46905682514694735</v>
      </c>
      <c r="E26" s="24">
        <f t="shared" si="12"/>
        <v>0.58043719347654632</v>
      </c>
      <c r="F26" s="24">
        <f t="shared" si="12"/>
        <v>0.60932378979092106</v>
      </c>
      <c r="G26" s="24">
        <f t="shared" si="12"/>
        <v>0.64020287925713626</v>
      </c>
      <c r="H26" s="24">
        <f t="shared" si="12"/>
        <v>0.55427873863060195</v>
      </c>
      <c r="I26" s="24">
        <f t="shared" si="12"/>
        <v>0.55427873863060195</v>
      </c>
      <c r="J26" s="24">
        <f t="shared" si="12"/>
        <v>0.55427873863060206</v>
      </c>
      <c r="K26" s="24">
        <f t="shared" si="12"/>
        <v>0.55427873863060195</v>
      </c>
      <c r="L26" s="24">
        <f t="shared" si="12"/>
        <v>0.55427873863060195</v>
      </c>
      <c r="M26" s="24">
        <f t="shared" si="12"/>
        <v>0.55427873863060195</v>
      </c>
      <c r="N26" s="24">
        <f t="shared" si="12"/>
        <v>0.55427873863060195</v>
      </c>
      <c r="O26" s="24">
        <f t="shared" si="12"/>
        <v>0.55427873863060206</v>
      </c>
      <c r="P26" s="24">
        <f t="shared" si="12"/>
        <v>0.55427873863060206</v>
      </c>
      <c r="Q26" s="24">
        <f t="shared" si="12"/>
        <v>0.55427873863060195</v>
      </c>
    </row>
    <row r="28" spans="2:17" x14ac:dyDescent="0.25">
      <c r="B28" s="23" t="s">
        <v>92</v>
      </c>
      <c r="C28" s="24">
        <f>(C13-C25)/C13</f>
        <v>0.52762699451854145</v>
      </c>
      <c r="D28" s="24">
        <f t="shared" ref="D28:Q28" si="13">(D13-D25)/D13</f>
        <v>0.53094317485305265</v>
      </c>
      <c r="E28" s="24">
        <f t="shared" si="13"/>
        <v>0.41956280652345368</v>
      </c>
      <c r="F28" s="24">
        <f t="shared" si="13"/>
        <v>0.39067621020907894</v>
      </c>
      <c r="G28" s="24">
        <f t="shared" si="13"/>
        <v>0.35979712074286374</v>
      </c>
      <c r="H28" s="24">
        <f t="shared" si="13"/>
        <v>0.44572126136939805</v>
      </c>
      <c r="I28" s="24">
        <f t="shared" si="13"/>
        <v>0.44572126136939799</v>
      </c>
      <c r="J28" s="24">
        <f t="shared" si="13"/>
        <v>0.44572126136939799</v>
      </c>
      <c r="K28" s="24">
        <f t="shared" si="13"/>
        <v>0.44572126136939805</v>
      </c>
      <c r="L28" s="24">
        <f t="shared" si="13"/>
        <v>0.44572126136939799</v>
      </c>
      <c r="M28" s="24">
        <f t="shared" si="13"/>
        <v>0.4457212613693981</v>
      </c>
      <c r="N28" s="24">
        <f t="shared" si="13"/>
        <v>0.44572126136939799</v>
      </c>
      <c r="O28" s="24">
        <f t="shared" si="13"/>
        <v>0.44572126136939799</v>
      </c>
      <c r="P28" s="24">
        <f t="shared" si="13"/>
        <v>0.44572126136939794</v>
      </c>
      <c r="Q28" s="24">
        <f t="shared" si="13"/>
        <v>0.44572126136939805</v>
      </c>
    </row>
    <row r="30" spans="2:17" x14ac:dyDescent="0.25">
      <c r="B30" s="1" t="s">
        <v>93</v>
      </c>
      <c r="C30" s="283">
        <f>'Historical P&amp;L'!C21</f>
        <v>371.38</v>
      </c>
      <c r="D30" s="283">
        <f>'Historical P&amp;L'!D21</f>
        <v>356.96</v>
      </c>
      <c r="E30" s="283">
        <f>'Historical P&amp;L'!E21</f>
        <v>385.33</v>
      </c>
      <c r="F30" s="283">
        <f>'Historical P&amp;L'!F21</f>
        <v>403.74</v>
      </c>
      <c r="G30" s="283">
        <f>'Historical P&amp;L'!G21</f>
        <v>422.42</v>
      </c>
      <c r="H30" s="58">
        <f>H31*H13</f>
        <v>527.51297841809446</v>
      </c>
      <c r="I30" s="58">
        <f t="shared" ref="I30:Q30" si="14">I31*I13</f>
        <v>592.79734115279371</v>
      </c>
      <c r="J30" s="58">
        <f t="shared" si="14"/>
        <v>660.29210691744993</v>
      </c>
      <c r="K30" s="58">
        <f t="shared" si="14"/>
        <v>729.45732976662782</v>
      </c>
      <c r="L30" s="58">
        <f t="shared" si="14"/>
        <v>799.75475114152243</v>
      </c>
      <c r="M30" s="58">
        <f t="shared" si="14"/>
        <v>870.6609424812018</v>
      </c>
      <c r="N30" s="58">
        <f t="shared" si="14"/>
        <v>941.67825271052538</v>
      </c>
      <c r="O30" s="58">
        <f t="shared" si="14"/>
        <v>1012.3434417391043</v>
      </c>
      <c r="P30" s="58">
        <f t="shared" si="14"/>
        <v>1082.2340282840401</v>
      </c>
      <c r="Q30" s="58">
        <f t="shared" si="14"/>
        <v>1150.9724923915019</v>
      </c>
    </row>
    <row r="31" spans="2:17" x14ac:dyDescent="0.25">
      <c r="B31" s="23" t="s">
        <v>86</v>
      </c>
      <c r="C31" s="24">
        <f>C30/C13</f>
        <v>8.2417167839151387E-2</v>
      </c>
      <c r="D31" s="24">
        <f t="shared" ref="D31:G31" si="15">D30/D13</f>
        <v>5.865736807597062E-2</v>
      </c>
      <c r="E31" s="24">
        <f t="shared" si="15"/>
        <v>5.8219436797621239E-2</v>
      </c>
      <c r="F31" s="24">
        <f t="shared" si="15"/>
        <v>6.3373516669805993E-2</v>
      </c>
      <c r="G31" s="24">
        <f t="shared" si="15"/>
        <v>5.8093991187294747E-2</v>
      </c>
      <c r="H31" s="25">
        <f>AVERAGE(C31:G31)</f>
        <v>6.4152296113968804E-2</v>
      </c>
      <c r="I31" s="25">
        <f>H31</f>
        <v>6.4152296113968804E-2</v>
      </c>
      <c r="J31" s="25">
        <f t="shared" ref="J31:Q31" si="16">I31</f>
        <v>6.4152296113968804E-2</v>
      </c>
      <c r="K31" s="25">
        <f t="shared" si="16"/>
        <v>6.4152296113968804E-2</v>
      </c>
      <c r="L31" s="25">
        <f t="shared" si="16"/>
        <v>6.4152296113968804E-2</v>
      </c>
      <c r="M31" s="25">
        <f t="shared" si="16"/>
        <v>6.4152296113968804E-2</v>
      </c>
      <c r="N31" s="25">
        <f t="shared" si="16"/>
        <v>6.4152296113968804E-2</v>
      </c>
      <c r="O31" s="25">
        <f t="shared" si="16"/>
        <v>6.4152296113968804E-2</v>
      </c>
      <c r="P31" s="25">
        <f t="shared" si="16"/>
        <v>6.4152296113968804E-2</v>
      </c>
      <c r="Q31" s="25">
        <f t="shared" si="16"/>
        <v>6.4152296113968804E-2</v>
      </c>
    </row>
    <row r="33" spans="2:17" x14ac:dyDescent="0.25">
      <c r="B33" s="1" t="s">
        <v>94</v>
      </c>
      <c r="C33" s="283">
        <f>'Historical P&amp;L'!C24</f>
        <v>1024.6300000000001</v>
      </c>
      <c r="D33" s="283">
        <f>'Historical P&amp;L'!D24</f>
        <v>1153.99</v>
      </c>
      <c r="E33" s="283">
        <f>'Historical P&amp;L'!E24</f>
        <v>1302.6099999999999</v>
      </c>
      <c r="F33" s="283">
        <f>'Historical P&amp;L'!F24</f>
        <v>1111.03</v>
      </c>
      <c r="G33" s="283">
        <f>'Historical P&amp;L'!G24</f>
        <v>1193.33</v>
      </c>
      <c r="H33" s="58">
        <f>H34*H13</f>
        <v>1566.1785654516643</v>
      </c>
      <c r="I33" s="58">
        <f t="shared" ref="I33:Q33" si="17">I34*I13</f>
        <v>1760.006914245803</v>
      </c>
      <c r="J33" s="58">
        <f t="shared" si="17"/>
        <v>1960.3979183454271</v>
      </c>
      <c r="K33" s="58">
        <f t="shared" si="17"/>
        <v>2165.7484858820121</v>
      </c>
      <c r="L33" s="58">
        <f t="shared" si="17"/>
        <v>2374.4605348140526</v>
      </c>
      <c r="M33" s="58">
        <f t="shared" si="17"/>
        <v>2584.9800131537936</v>
      </c>
      <c r="N33" s="58">
        <f t="shared" si="17"/>
        <v>2795.8294019038894</v>
      </c>
      <c r="O33" s="58">
        <f t="shared" si="17"/>
        <v>3005.6333477936005</v>
      </c>
      <c r="P33" s="58">
        <f t="shared" si="17"/>
        <v>3213.1375098746453</v>
      </c>
      <c r="Q33" s="58">
        <f t="shared" si="17"/>
        <v>3417.2210367482708</v>
      </c>
    </row>
    <row r="34" spans="2:17" x14ac:dyDescent="0.25">
      <c r="B34" s="23" t="s">
        <v>86</v>
      </c>
      <c r="C34" s="24">
        <f>C33/C13</f>
        <v>0.22738731941146451</v>
      </c>
      <c r="D34" s="24">
        <f t="shared" ref="D34:G34" si="18">D33/D13</f>
        <v>0.18962913543811447</v>
      </c>
      <c r="E34" s="24">
        <f t="shared" si="18"/>
        <v>0.19681109845314251</v>
      </c>
      <c r="F34" s="24">
        <f t="shared" si="18"/>
        <v>0.17439411062974822</v>
      </c>
      <c r="G34" s="24">
        <f t="shared" si="18"/>
        <v>0.16411463118113354</v>
      </c>
      <c r="H34" s="25">
        <f>AVERAGE(C34:G34)</f>
        <v>0.19046725902272063</v>
      </c>
      <c r="I34" s="25">
        <f>H34</f>
        <v>0.19046725902272063</v>
      </c>
      <c r="J34" s="25">
        <f t="shared" ref="J34:Q34" si="19">I34</f>
        <v>0.19046725902272063</v>
      </c>
      <c r="K34" s="25">
        <f t="shared" si="19"/>
        <v>0.19046725902272063</v>
      </c>
      <c r="L34" s="25">
        <f t="shared" si="19"/>
        <v>0.19046725902272063</v>
      </c>
      <c r="M34" s="25">
        <f t="shared" si="19"/>
        <v>0.19046725902272063</v>
      </c>
      <c r="N34" s="25">
        <f t="shared" si="19"/>
        <v>0.19046725902272063</v>
      </c>
      <c r="O34" s="25">
        <f t="shared" si="19"/>
        <v>0.19046725902272063</v>
      </c>
      <c r="P34" s="25">
        <f t="shared" si="19"/>
        <v>0.19046725902272063</v>
      </c>
      <c r="Q34" s="25">
        <f t="shared" si="19"/>
        <v>0.19046725902272063</v>
      </c>
    </row>
    <row r="35" spans="2:17" x14ac:dyDescent="0.25">
      <c r="B35" s="23"/>
    </row>
    <row r="36" spans="2:17" ht="15.75" thickBot="1" x14ac:dyDescent="0.3">
      <c r="B36" s="60" t="s">
        <v>95</v>
      </c>
      <c r="C36" s="60">
        <f>C33+C30</f>
        <v>1396.0100000000002</v>
      </c>
      <c r="D36" s="60">
        <f t="shared" ref="D36:Q36" si="20">D33+D30</f>
        <v>1510.95</v>
      </c>
      <c r="E36" s="60">
        <f t="shared" si="20"/>
        <v>1687.9399999999998</v>
      </c>
      <c r="F36" s="60">
        <f t="shared" si="20"/>
        <v>1514.77</v>
      </c>
      <c r="G36" s="60">
        <f t="shared" si="20"/>
        <v>1615.75</v>
      </c>
      <c r="H36" s="60">
        <f t="shared" si="20"/>
        <v>2093.6915438697588</v>
      </c>
      <c r="I36" s="60">
        <f t="shared" si="20"/>
        <v>2352.804255398597</v>
      </c>
      <c r="J36" s="60">
        <f t="shared" si="20"/>
        <v>2620.690025262877</v>
      </c>
      <c r="K36" s="60">
        <f t="shared" si="20"/>
        <v>2895.2058156486401</v>
      </c>
      <c r="L36" s="60">
        <f t="shared" si="20"/>
        <v>3174.2152859555749</v>
      </c>
      <c r="M36" s="60">
        <f t="shared" si="20"/>
        <v>3455.6409556349954</v>
      </c>
      <c r="N36" s="60">
        <f t="shared" si="20"/>
        <v>3737.5076546144146</v>
      </c>
      <c r="O36" s="60">
        <f t="shared" si="20"/>
        <v>4017.976789532705</v>
      </c>
      <c r="P36" s="60">
        <f t="shared" si="20"/>
        <v>4295.3715381586853</v>
      </c>
      <c r="Q36" s="60">
        <f t="shared" si="20"/>
        <v>4568.1935291397731</v>
      </c>
    </row>
    <row r="37" spans="2:17" ht="15.75" thickTop="1" x14ac:dyDescent="0.25">
      <c r="B37" s="23" t="s">
        <v>86</v>
      </c>
      <c r="C37" s="24">
        <f>C36/C13</f>
        <v>0.30980448725061593</v>
      </c>
      <c r="D37" s="24">
        <f t="shared" ref="D37:Q37" si="21">D36/D13</f>
        <v>0.2482865035140851</v>
      </c>
      <c r="E37" s="24">
        <f t="shared" si="21"/>
        <v>0.25503053525076375</v>
      </c>
      <c r="F37" s="24">
        <f t="shared" si="21"/>
        <v>0.2377676272995542</v>
      </c>
      <c r="G37" s="24">
        <f t="shared" si="21"/>
        <v>0.22220862236842831</v>
      </c>
      <c r="H37" s="25">
        <f t="shared" si="21"/>
        <v>0.25461955513668943</v>
      </c>
      <c r="I37" s="25">
        <f t="shared" si="21"/>
        <v>0.25461955513668943</v>
      </c>
      <c r="J37" s="25">
        <f t="shared" si="21"/>
        <v>0.25461955513668943</v>
      </c>
      <c r="K37" s="25">
        <f t="shared" si="21"/>
        <v>0.25461955513668943</v>
      </c>
      <c r="L37" s="25">
        <f t="shared" si="21"/>
        <v>0.25461955513668943</v>
      </c>
      <c r="M37" s="25">
        <f t="shared" si="21"/>
        <v>0.25461955513668943</v>
      </c>
      <c r="N37" s="25">
        <f t="shared" si="21"/>
        <v>0.25461955513668938</v>
      </c>
      <c r="O37" s="25">
        <f t="shared" si="21"/>
        <v>0.25461955513668943</v>
      </c>
      <c r="P37" s="25">
        <f t="shared" si="21"/>
        <v>0.25461955513668943</v>
      </c>
      <c r="Q37" s="25">
        <f t="shared" si="21"/>
        <v>0.25461955513668949</v>
      </c>
    </row>
    <row r="39" spans="2:17" ht="15.75" thickBot="1" x14ac:dyDescent="0.3">
      <c r="B39" s="28" t="s">
        <v>96</v>
      </c>
      <c r="C39" s="286">
        <f>-'Historical P&amp;L'!C30/'Historical P&amp;L'!C26</f>
        <v>0.19461289594462441</v>
      </c>
      <c r="D39" s="286">
        <f>-'Historical P&amp;L'!D30/'Historical P&amp;L'!D26</f>
        <v>0.13573588893342559</v>
      </c>
      <c r="E39" s="286">
        <f>-'Historical P&amp;L'!E30/'Historical P&amp;L'!E26</f>
        <v>0.10778923253150052</v>
      </c>
      <c r="F39" s="286">
        <f>-'Historical P&amp;L'!F30/'Historical P&amp;L'!F26</f>
        <v>-5.3234535430681296E-2</v>
      </c>
      <c r="G39" s="286">
        <f>-'Historical P&amp;L'!G30/'Historical P&amp;L'!G26</f>
        <v>-7.7543790592402698E-2</v>
      </c>
      <c r="H39" s="61">
        <f>AVERAGE(C39:G39)</f>
        <v>6.1471938277293303E-2</v>
      </c>
      <c r="I39" s="61">
        <f>H39</f>
        <v>6.1471938277293303E-2</v>
      </c>
      <c r="J39" s="61">
        <f t="shared" ref="J39:Q39" si="22">I39</f>
        <v>6.1471938277293303E-2</v>
      </c>
      <c r="K39" s="61">
        <f t="shared" si="22"/>
        <v>6.1471938277293303E-2</v>
      </c>
      <c r="L39" s="61">
        <f t="shared" si="22"/>
        <v>6.1471938277293303E-2</v>
      </c>
      <c r="M39" s="61">
        <f t="shared" si="22"/>
        <v>6.1471938277293303E-2</v>
      </c>
      <c r="N39" s="61">
        <f t="shared" si="22"/>
        <v>6.1471938277293303E-2</v>
      </c>
      <c r="O39" s="61">
        <f t="shared" si="22"/>
        <v>6.1471938277293303E-2</v>
      </c>
      <c r="P39" s="61">
        <f t="shared" si="22"/>
        <v>6.1471938277293303E-2</v>
      </c>
      <c r="Q39" s="61">
        <f t="shared" si="22"/>
        <v>6.1471938277293303E-2</v>
      </c>
    </row>
    <row r="40" spans="2:17" ht="15.75" thickTop="1" x14ac:dyDescent="0.25"/>
    <row r="41" spans="2:17" x14ac:dyDescent="0.25">
      <c r="B41" s="67"/>
      <c r="C41" s="67"/>
      <c r="D41" s="67"/>
      <c r="E41" s="67"/>
      <c r="F41" s="67"/>
      <c r="G41" s="67"/>
      <c r="H41" s="67"/>
      <c r="I41" s="67"/>
      <c r="J41" s="67"/>
      <c r="K41" s="67"/>
      <c r="L41" s="67"/>
      <c r="M41" s="67"/>
      <c r="N41" s="67"/>
      <c r="O41" s="67"/>
      <c r="P41" s="67"/>
      <c r="Q41" s="67"/>
    </row>
  </sheetData>
  <mergeCells count="1">
    <mergeCell ref="B8:Q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6"/>
  <sheetViews>
    <sheetView showGridLines="0" workbookViewId="0">
      <pane ySplit="11" topLeftCell="A15" activePane="bottomLeft" state="frozen"/>
      <selection pane="bottomLeft" activeCell="D21" sqref="D21"/>
    </sheetView>
  </sheetViews>
  <sheetFormatPr defaultRowHeight="15" x14ac:dyDescent="0.25"/>
  <cols>
    <col min="1" max="1" width="1.85546875" customWidth="1"/>
    <col min="2" max="2" width="20" bestFit="1" customWidth="1"/>
    <col min="8" max="17" width="11.140625" bestFit="1"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349</v>
      </c>
      <c r="C8" s="405"/>
      <c r="D8" s="405"/>
      <c r="E8" s="405"/>
      <c r="F8" s="405"/>
      <c r="G8" s="405"/>
      <c r="H8" s="405"/>
      <c r="I8" s="405"/>
      <c r="J8" s="405"/>
      <c r="K8" s="405"/>
      <c r="L8" s="405"/>
      <c r="M8" s="405"/>
      <c r="N8" s="405"/>
      <c r="O8" s="405"/>
      <c r="P8" s="405"/>
      <c r="Q8" s="405"/>
    </row>
    <row r="9" spans="2:17" x14ac:dyDescent="0.25">
      <c r="B9" s="104" t="s">
        <v>206</v>
      </c>
    </row>
    <row r="10" spans="2:17" x14ac:dyDescent="0.25">
      <c r="B10" s="57" t="s">
        <v>0</v>
      </c>
      <c r="C10" s="57">
        <v>2021</v>
      </c>
      <c r="D10" s="57">
        <f>C10+1</f>
        <v>2022</v>
      </c>
      <c r="E10" s="57">
        <f t="shared" ref="E10:G10" si="0">D10+1</f>
        <v>2023</v>
      </c>
      <c r="F10" s="57">
        <f t="shared" si="0"/>
        <v>2024</v>
      </c>
      <c r="G10" s="57">
        <f t="shared" si="0"/>
        <v>2025</v>
      </c>
      <c r="H10" s="57">
        <f>G10+1</f>
        <v>2026</v>
      </c>
      <c r="I10" s="57">
        <f t="shared" ref="I10:Q10" si="1">H10+1</f>
        <v>2027</v>
      </c>
      <c r="J10" s="57">
        <f t="shared" si="1"/>
        <v>2028</v>
      </c>
      <c r="K10" s="57">
        <f t="shared" si="1"/>
        <v>2029</v>
      </c>
      <c r="L10" s="57">
        <f t="shared" si="1"/>
        <v>2030</v>
      </c>
      <c r="M10" s="57">
        <f t="shared" si="1"/>
        <v>2031</v>
      </c>
      <c r="N10" s="57">
        <f t="shared" si="1"/>
        <v>2032</v>
      </c>
      <c r="O10" s="57">
        <f t="shared" si="1"/>
        <v>2033</v>
      </c>
      <c r="P10" s="57">
        <f t="shared" si="1"/>
        <v>2034</v>
      </c>
      <c r="Q10" s="57">
        <f t="shared" si="1"/>
        <v>2035</v>
      </c>
    </row>
    <row r="11" spans="2:17" x14ac:dyDescent="0.25">
      <c r="B11" s="228"/>
      <c r="C11" s="229" t="s">
        <v>82</v>
      </c>
      <c r="D11" s="229" t="s">
        <v>82</v>
      </c>
      <c r="E11" s="229" t="s">
        <v>82</v>
      </c>
      <c r="F11" s="229" t="s">
        <v>82</v>
      </c>
      <c r="G11" s="229" t="s">
        <v>82</v>
      </c>
      <c r="H11" s="229" t="s">
        <v>83</v>
      </c>
      <c r="I11" s="229" t="s">
        <v>83</v>
      </c>
      <c r="J11" s="229" t="s">
        <v>83</v>
      </c>
      <c r="K11" s="229" t="s">
        <v>83</v>
      </c>
      <c r="L11" s="229" t="s">
        <v>83</v>
      </c>
      <c r="M11" s="229" t="s">
        <v>83</v>
      </c>
      <c r="N11" s="229" t="s">
        <v>83</v>
      </c>
      <c r="O11" s="229" t="s">
        <v>83</v>
      </c>
      <c r="P11" s="229" t="s">
        <v>83</v>
      </c>
      <c r="Q11" s="229" t="s">
        <v>83</v>
      </c>
    </row>
    <row r="12" spans="2:17" x14ac:dyDescent="0.25">
      <c r="B12" s="38" t="s">
        <v>109</v>
      </c>
      <c r="C12" s="38">
        <v>365</v>
      </c>
      <c r="D12" s="38">
        <f>C12</f>
        <v>365</v>
      </c>
      <c r="E12" s="38">
        <f t="shared" ref="E12:Q12" si="2">D12</f>
        <v>365</v>
      </c>
      <c r="F12" s="38">
        <f t="shared" si="2"/>
        <v>365</v>
      </c>
      <c r="G12" s="38">
        <f t="shared" si="2"/>
        <v>365</v>
      </c>
      <c r="H12" s="38">
        <f t="shared" si="2"/>
        <v>365</v>
      </c>
      <c r="I12" s="38">
        <f t="shared" si="2"/>
        <v>365</v>
      </c>
      <c r="J12" s="38">
        <f t="shared" si="2"/>
        <v>365</v>
      </c>
      <c r="K12" s="38">
        <f t="shared" si="2"/>
        <v>365</v>
      </c>
      <c r="L12" s="38">
        <f t="shared" si="2"/>
        <v>365</v>
      </c>
      <c r="M12" s="38">
        <f t="shared" si="2"/>
        <v>365</v>
      </c>
      <c r="N12" s="38">
        <f t="shared" si="2"/>
        <v>365</v>
      </c>
      <c r="O12" s="38">
        <f t="shared" si="2"/>
        <v>365</v>
      </c>
      <c r="P12" s="38">
        <f t="shared" si="2"/>
        <v>365</v>
      </c>
      <c r="Q12" s="38">
        <f t="shared" si="2"/>
        <v>365</v>
      </c>
    </row>
    <row r="14" spans="2:17" x14ac:dyDescent="0.25">
      <c r="B14" s="6" t="s">
        <v>110</v>
      </c>
      <c r="C14" s="289">
        <f>'Historical balance Sheet'!C28</f>
        <v>935.68</v>
      </c>
      <c r="D14" s="289">
        <f>'Historical balance Sheet'!D28</f>
        <v>934.12</v>
      </c>
      <c r="E14" s="289">
        <f>'Historical balance Sheet'!E28</f>
        <v>1031.05</v>
      </c>
      <c r="F14" s="289">
        <f>'Historical balance Sheet'!F28</f>
        <v>1159.6500000000001</v>
      </c>
      <c r="G14" s="289">
        <f>'Historical balance Sheet'!G28</f>
        <v>1454.02</v>
      </c>
      <c r="H14" s="287">
        <f>(H21*'Cost Build_up'!H25)/'Working Capital Schedules'!H12</f>
        <v>1500.682481343699</v>
      </c>
      <c r="I14" s="287">
        <f>(I21*'Cost Build_up'!I25)/'Working Capital Schedules'!I12</f>
        <v>1686.4051146624968</v>
      </c>
      <c r="J14" s="287">
        <f>(J21*'Cost Build_up'!J25)/'Working Capital Schedules'!J12</f>
        <v>1878.4159593419188</v>
      </c>
      <c r="K14" s="287">
        <f>(K21*'Cost Build_up'!K25)/'Working Capital Schedules'!K12</f>
        <v>2075.1789632764467</v>
      </c>
      <c r="L14" s="287">
        <f>(L21*'Cost Build_up'!L25)/'Working Capital Schedules'!L12</f>
        <v>2275.1628746814249</v>
      </c>
      <c r="M14" s="287">
        <f>(M21*'Cost Build_up'!M25)/'Working Capital Schedules'!M12</f>
        <v>2476.8786305313688</v>
      </c>
      <c r="N14" s="287">
        <f>(N21*'Cost Build_up'!N25)/'Working Capital Schedules'!N12</f>
        <v>2678.9105002550145</v>
      </c>
      <c r="O14" s="287">
        <f>(O21*'Cost Build_up'!O25)/'Working Capital Schedules'!O12</f>
        <v>2879.9406465350926</v>
      </c>
      <c r="P14" s="287">
        <f>(P21*'Cost Build_up'!P25)/'Working Capital Schedules'!P12</f>
        <v>3078.7671837576377</v>
      </c>
      <c r="Q14" s="287">
        <f>(Q21*'Cost Build_up'!Q25)/'Working Capital Schedules'!Q12</f>
        <v>3274.316133453397</v>
      </c>
    </row>
    <row r="15" spans="2:17" x14ac:dyDescent="0.25">
      <c r="B15" s="6" t="s">
        <v>111</v>
      </c>
      <c r="C15" s="289">
        <f>'Historical balance Sheet'!C30</f>
        <v>793.73</v>
      </c>
      <c r="D15" s="289">
        <f>'Historical balance Sheet'!D30</f>
        <v>1091.52</v>
      </c>
      <c r="E15" s="289">
        <f>'Historical balance Sheet'!E30</f>
        <v>940.49</v>
      </c>
      <c r="F15" s="289">
        <f>'Historical balance Sheet'!F30</f>
        <v>854.18</v>
      </c>
      <c r="G15" s="289">
        <f>'Historical balance Sheet'!G30</f>
        <v>786.06</v>
      </c>
      <c r="H15" s="287">
        <f>(H22*'Cost Build_up'!H13)/'Working Capital Schedules'!H12</f>
        <v>1216.6314870306792</v>
      </c>
      <c r="I15" s="287">
        <f>(I22*'Cost Build_up'!I13)/'Working Capital Schedules'!I12</f>
        <v>1367.2003157862353</v>
      </c>
      <c r="J15" s="287">
        <f>(J22*'Cost Build_up'!J13)/'Working Capital Schedules'!J12</f>
        <v>1522.8671156539676</v>
      </c>
      <c r="K15" s="287">
        <f>(K22*'Cost Build_up'!K13)/'Working Capital Schedules'!K12</f>
        <v>1682.386580327895</v>
      </c>
      <c r="L15" s="287">
        <f>(L22*'Cost Build_up'!L13)/'Working Capital Schedules'!L12</f>
        <v>1844.5172952123628</v>
      </c>
      <c r="M15" s="287">
        <f>(M22*'Cost Build_up'!M13)/'Working Capital Schedules'!M12</f>
        <v>2008.0520489315461</v>
      </c>
      <c r="N15" s="287">
        <f>(N22*'Cost Build_up'!N13)/'Working Capital Schedules'!N12</f>
        <v>2171.843082108252</v>
      </c>
      <c r="O15" s="287">
        <f>(O22*'Cost Build_up'!O13)/'Working Capital Schedules'!O12</f>
        <v>2334.8219992658187</v>
      </c>
      <c r="P15" s="287">
        <f>(P22*'Cost Build_up'!P13)/'Working Capital Schedules'!P12</f>
        <v>2496.0144091523066</v>
      </c>
      <c r="Q15" s="287">
        <f>(Q22*'Cost Build_up'!Q13)/'Working Capital Schedules'!Q12</f>
        <v>2654.5496172415064</v>
      </c>
    </row>
    <row r="16" spans="2:17" x14ac:dyDescent="0.25">
      <c r="B16" s="170" t="s">
        <v>112</v>
      </c>
      <c r="C16" s="290">
        <f>'Historical balance Sheet'!C64+'Historical balance Sheet'!C65</f>
        <v>576.33000000000004</v>
      </c>
      <c r="D16" s="290">
        <f>'Historical balance Sheet'!D64+'Historical balance Sheet'!D65</f>
        <v>344.85</v>
      </c>
      <c r="E16" s="290">
        <f>'Historical balance Sheet'!E64+'Historical balance Sheet'!E65</f>
        <v>215.6</v>
      </c>
      <c r="F16" s="290">
        <f>'Historical balance Sheet'!F64+'Historical balance Sheet'!F65</f>
        <v>724.92000000000007</v>
      </c>
      <c r="G16" s="290">
        <f>'Historical balance Sheet'!G64+'Historical balance Sheet'!G65</f>
        <v>1237.48</v>
      </c>
      <c r="H16" s="288">
        <f>(H23*'Cost Build_up'!H25)/'Working Capital Schedules'!H12</f>
        <v>820.63850542540092</v>
      </c>
      <c r="I16" s="288">
        <f>(I23*'Cost Build_up'!I25)/'Working Capital Schedules'!I12</f>
        <v>922.19972582023104</v>
      </c>
      <c r="J16" s="288">
        <f>(J23*'Cost Build_up'!J25)/'Working Capital Schedules'!J12</f>
        <v>1027.1996139125486</v>
      </c>
      <c r="K16" s="288">
        <f>(K23*'Cost Build_up'!K25)/'Working Capital Schedules'!K12</f>
        <v>1134.7981895467913</v>
      </c>
      <c r="L16" s="288">
        <f>(L23*'Cost Build_up'!L25)/'Working Capital Schedules'!L12</f>
        <v>1244.1580975918034</v>
      </c>
      <c r="M16" s="288">
        <f>(M23*'Cost Build_up'!M25)/'Working Capital Schedules'!M12</f>
        <v>1354.4650535664166</v>
      </c>
      <c r="N16" s="288">
        <f>(N23*'Cost Build_up'!N25)/'Working Capital Schedules'!N12</f>
        <v>1464.9448743675898</v>
      </c>
      <c r="O16" s="288">
        <f>(O23*'Cost Build_up'!O25)/'Working Capital Schedules'!O12</f>
        <v>1574.8769091848535</v>
      </c>
      <c r="P16" s="288">
        <f>(P23*'Cost Build_up'!P25)/'Working Capital Schedules'!P12</f>
        <v>1683.6039146464759</v>
      </c>
      <c r="Q16" s="288">
        <f>(Q23*'Cost Build_up'!Q25)/'Working Capital Schedules'!Q12</f>
        <v>1790.5385925752453</v>
      </c>
    </row>
    <row r="17" spans="2:17" x14ac:dyDescent="0.25">
      <c r="B17" s="10" t="s">
        <v>513</v>
      </c>
      <c r="C17" s="36">
        <f>C14+C15-C16</f>
        <v>1153.08</v>
      </c>
      <c r="D17" s="36">
        <f t="shared" ref="D17:G17" si="3">D14+D15-D16</f>
        <v>1680.79</v>
      </c>
      <c r="E17" s="36">
        <f t="shared" si="3"/>
        <v>1755.94</v>
      </c>
      <c r="F17" s="36">
        <f t="shared" si="3"/>
        <v>1288.9099999999999</v>
      </c>
      <c r="G17" s="36">
        <f t="shared" si="3"/>
        <v>1002.5999999999999</v>
      </c>
      <c r="H17" s="36">
        <f t="shared" ref="H17" si="4">H14+H15-H16</f>
        <v>1896.6754629489774</v>
      </c>
      <c r="I17" s="36">
        <f t="shared" ref="I17" si="5">I14+I15-I16</f>
        <v>2131.4057046285011</v>
      </c>
      <c r="J17" s="36">
        <f t="shared" ref="J17" si="6">J14+J15-J16</f>
        <v>2374.0834610833381</v>
      </c>
      <c r="K17" s="36">
        <f t="shared" ref="K17" si="7">K14+K15-K16</f>
        <v>2622.7673540575506</v>
      </c>
      <c r="L17" s="36">
        <f t="shared" ref="L17" si="8">L14+L15-L16</f>
        <v>2875.5220723019847</v>
      </c>
      <c r="M17" s="36">
        <f t="shared" ref="M17" si="9">M14+M15-M16</f>
        <v>3130.4656258964978</v>
      </c>
      <c r="N17" s="36">
        <f t="shared" ref="N17" si="10">N14+N15-N16</f>
        <v>3385.8087079956763</v>
      </c>
      <c r="O17" s="36">
        <f t="shared" ref="O17" si="11">O14+O15-O16</f>
        <v>3639.8857366160573</v>
      </c>
      <c r="P17" s="36">
        <f t="shared" ref="P17" si="12">P14+P15-P16</f>
        <v>3891.1776782634684</v>
      </c>
      <c r="Q17" s="36">
        <f t="shared" ref="Q17" si="13">Q14+Q15-Q16</f>
        <v>4138.3271581196586</v>
      </c>
    </row>
    <row r="21" spans="2:17" x14ac:dyDescent="0.25">
      <c r="B21" s="44" t="s">
        <v>113</v>
      </c>
      <c r="C21" s="39">
        <f>(C14/'Cost Build_up'!C25)*'Working Capital Schedules'!C12</f>
        <v>160.44800240538206</v>
      </c>
      <c r="D21" s="39">
        <f>(D14/'Cost Build_up'!D25)*'Working Capital Schedules'!D12</f>
        <v>119.44640823976599</v>
      </c>
      <c r="E21" s="39">
        <f>(E14/'Cost Build_up'!E25)*'Working Capital Schedules'!E12</f>
        <v>97.960847756314308</v>
      </c>
      <c r="F21" s="39">
        <f>(F14/'Cost Build_up'!F25)*'Working Capital Schedules'!F12</f>
        <v>109.03795325976074</v>
      </c>
      <c r="G21" s="39">
        <f>(G14/'Cost Build_up'!G25)*'Working Capital Schedules'!G12</f>
        <v>114.00722215539018</v>
      </c>
      <c r="H21" s="39">
        <f>AVERAGE(C21:G21)</f>
        <v>120.18008676332265</v>
      </c>
      <c r="I21" s="39">
        <f>H21</f>
        <v>120.18008676332265</v>
      </c>
      <c r="J21" s="39">
        <f t="shared" ref="J21:Q21" si="14">I21</f>
        <v>120.18008676332265</v>
      </c>
      <c r="K21" s="39">
        <f t="shared" si="14"/>
        <v>120.18008676332265</v>
      </c>
      <c r="L21" s="39">
        <f t="shared" si="14"/>
        <v>120.18008676332265</v>
      </c>
      <c r="M21" s="39">
        <f t="shared" si="14"/>
        <v>120.18008676332265</v>
      </c>
      <c r="N21" s="39">
        <f t="shared" si="14"/>
        <v>120.18008676332265</v>
      </c>
      <c r="O21" s="39">
        <f t="shared" si="14"/>
        <v>120.18008676332265</v>
      </c>
      <c r="P21" s="39">
        <f t="shared" si="14"/>
        <v>120.18008676332265</v>
      </c>
      <c r="Q21" s="39">
        <f t="shared" si="14"/>
        <v>120.18008676332265</v>
      </c>
    </row>
    <row r="22" spans="2:17" x14ac:dyDescent="0.25">
      <c r="B22" s="44" t="s">
        <v>114</v>
      </c>
      <c r="C22" s="39">
        <f>C15/'Revenue Build_up'!C18*'Working Capital Schedules'!C12</f>
        <v>64.29316925944832</v>
      </c>
      <c r="D22" s="39">
        <f>D15/'Revenue Build_up'!D18*'Working Capital Schedules'!D12</f>
        <v>65.467775091980783</v>
      </c>
      <c r="E22" s="39">
        <f>E15/'Revenue Build_up'!E18*'Working Capital Schedules'!E12</f>
        <v>51.86593649997431</v>
      </c>
      <c r="F22" s="39">
        <f>F15/'Revenue Build_up'!F18*'Working Capital Schedules'!F12</f>
        <v>48.938233816789101</v>
      </c>
      <c r="G22" s="39">
        <f>G15/'Revenue Build_up'!G18*'Working Capital Schedules'!G12</f>
        <v>39.458021377136475</v>
      </c>
      <c r="H22" s="39">
        <f>AVERAGE(C22:G22)</f>
        <v>54.004627209065802</v>
      </c>
      <c r="I22" s="39">
        <f>H22</f>
        <v>54.004627209065802</v>
      </c>
      <c r="J22" s="39">
        <f t="shared" ref="J22:Q22" si="15">I22</f>
        <v>54.004627209065802</v>
      </c>
      <c r="K22" s="39">
        <f t="shared" si="15"/>
        <v>54.004627209065802</v>
      </c>
      <c r="L22" s="39">
        <f t="shared" si="15"/>
        <v>54.004627209065802</v>
      </c>
      <c r="M22" s="39">
        <f t="shared" si="15"/>
        <v>54.004627209065802</v>
      </c>
      <c r="N22" s="39">
        <f t="shared" si="15"/>
        <v>54.004627209065802</v>
      </c>
      <c r="O22" s="39">
        <f t="shared" si="15"/>
        <v>54.004627209065802</v>
      </c>
      <c r="P22" s="39">
        <f t="shared" si="15"/>
        <v>54.004627209065802</v>
      </c>
      <c r="Q22" s="39">
        <f t="shared" si="15"/>
        <v>54.004627209065802</v>
      </c>
    </row>
    <row r="23" spans="2:17" x14ac:dyDescent="0.25">
      <c r="B23" s="45" t="s">
        <v>115</v>
      </c>
      <c r="C23" s="40">
        <f>C16/'Cost Build_up'!C25*'Working Capital Schedules'!C12</f>
        <v>98.827587664900221</v>
      </c>
      <c r="D23" s="40">
        <f>D16/'Cost Build_up'!D25*'Working Capital Schedules'!D12</f>
        <v>44.096148119602731</v>
      </c>
      <c r="E23" s="40">
        <f>E16/'Cost Build_up'!E25*'Working Capital Schedules'!E12</f>
        <v>20.48432062097994</v>
      </c>
      <c r="F23" s="40">
        <f>F16/'Cost Build_up'!F25*'Working Capital Schedules'!F12</f>
        <v>68.161766978886533</v>
      </c>
      <c r="G23" s="43">
        <f>G16/'Cost Build_up'!G25*'Working Capital Schedules'!G12</f>
        <v>97.028690989705964</v>
      </c>
      <c r="H23" s="43">
        <f t="shared" ref="H23" si="16">AVERAGE(C23:G23)</f>
        <v>65.71970287481507</v>
      </c>
      <c r="I23" s="43">
        <f>H23</f>
        <v>65.71970287481507</v>
      </c>
      <c r="J23" s="43">
        <f t="shared" ref="J23:Q23" si="17">I23</f>
        <v>65.71970287481507</v>
      </c>
      <c r="K23" s="43">
        <f t="shared" si="17"/>
        <v>65.71970287481507</v>
      </c>
      <c r="L23" s="43">
        <f t="shared" si="17"/>
        <v>65.71970287481507</v>
      </c>
      <c r="M23" s="43">
        <f t="shared" si="17"/>
        <v>65.71970287481507</v>
      </c>
      <c r="N23" s="43">
        <f t="shared" si="17"/>
        <v>65.71970287481507</v>
      </c>
      <c r="O23" s="43">
        <f t="shared" si="17"/>
        <v>65.71970287481507</v>
      </c>
      <c r="P23" s="43">
        <f t="shared" si="17"/>
        <v>65.71970287481507</v>
      </c>
      <c r="Q23" s="43">
        <f t="shared" si="17"/>
        <v>65.71970287481507</v>
      </c>
    </row>
    <row r="24" spans="2:17" x14ac:dyDescent="0.25">
      <c r="B24" s="10" t="s">
        <v>116</v>
      </c>
      <c r="C24" s="41">
        <f>C21+C22-C23</f>
        <v>125.91358399993015</v>
      </c>
      <c r="D24" s="41">
        <f t="shared" ref="D24:G24" si="18">D21+D22-D23</f>
        <v>140.81803521214403</v>
      </c>
      <c r="E24" s="41">
        <f t="shared" si="18"/>
        <v>129.34246363530869</v>
      </c>
      <c r="F24" s="41">
        <f t="shared" si="18"/>
        <v>89.814420097663316</v>
      </c>
      <c r="G24" s="41">
        <f t="shared" si="18"/>
        <v>56.436552542820678</v>
      </c>
      <c r="H24" s="41">
        <f t="shared" ref="H24" si="19">H21+H22-H23</f>
        <v>108.4650110975734</v>
      </c>
      <c r="I24" s="41">
        <f t="shared" ref="I24" si="20">I21+I22-I23</f>
        <v>108.4650110975734</v>
      </c>
      <c r="J24" s="41">
        <f t="shared" ref="J24" si="21">J21+J22-J23</f>
        <v>108.4650110975734</v>
      </c>
      <c r="K24" s="41">
        <f t="shared" ref="K24" si="22">K21+K22-K23</f>
        <v>108.4650110975734</v>
      </c>
      <c r="L24" s="41">
        <f t="shared" ref="L24" si="23">L21+L22-L23</f>
        <v>108.4650110975734</v>
      </c>
      <c r="M24" s="41">
        <f t="shared" ref="M24" si="24">M21+M22-M23</f>
        <v>108.4650110975734</v>
      </c>
      <c r="N24" s="41">
        <f t="shared" ref="N24" si="25">N21+N22-N23</f>
        <v>108.4650110975734</v>
      </c>
      <c r="O24" s="41">
        <f t="shared" ref="O24" si="26">O21+O22-O23</f>
        <v>108.4650110975734</v>
      </c>
      <c r="P24" s="41">
        <f t="shared" ref="P24" si="27">P21+P22-P23</f>
        <v>108.4650110975734</v>
      </c>
      <c r="Q24" s="41">
        <f t="shared" ref="Q24" si="28">Q21+Q22-Q23</f>
        <v>108.4650110975734</v>
      </c>
    </row>
    <row r="26" spans="2:17" x14ac:dyDescent="0.25">
      <c r="B26" s="67"/>
      <c r="C26" s="67"/>
      <c r="D26" s="67"/>
      <c r="E26" s="67"/>
      <c r="F26" s="67"/>
      <c r="G26" s="67"/>
      <c r="H26" s="67"/>
      <c r="I26" s="67"/>
      <c r="J26" s="67"/>
      <c r="K26" s="67"/>
      <c r="L26" s="67"/>
      <c r="M26" s="67"/>
      <c r="N26" s="67"/>
      <c r="O26" s="67"/>
      <c r="P26" s="67"/>
      <c r="Q26" s="67"/>
    </row>
  </sheetData>
  <mergeCells count="1">
    <mergeCell ref="B8:Q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8"/>
  <sheetViews>
    <sheetView showGridLines="0" workbookViewId="0">
      <selection activeCell="J18" sqref="J18"/>
    </sheetView>
  </sheetViews>
  <sheetFormatPr defaultRowHeight="15" x14ac:dyDescent="0.25"/>
  <cols>
    <col min="1" max="1" width="1.85546875" customWidth="1"/>
    <col min="2" max="2" width="40.7109375" bestFit="1" customWidth="1"/>
    <col min="3" max="3" width="10.28515625" customWidth="1"/>
    <col min="4" max="4" width="9.140625" customWidth="1"/>
    <col min="5" max="5" width="7.42578125" customWidth="1"/>
    <col min="6" max="6" width="7" customWidth="1"/>
    <col min="7" max="7" width="7.28515625" customWidth="1"/>
    <col min="8" max="8" width="7.85546875" customWidth="1"/>
    <col min="9" max="9" width="9" customWidth="1"/>
    <col min="10" max="10" width="8.140625" customWidth="1"/>
    <col min="11" max="11" width="8" customWidth="1"/>
    <col min="12" max="12" width="8.5703125" customWidth="1"/>
    <col min="13" max="13" width="7.85546875" customWidth="1"/>
    <col min="14" max="14" width="8.7109375" customWidth="1"/>
    <col min="15" max="15" width="9.85546875" customWidth="1"/>
    <col min="16" max="16" width="7.7109375" customWidth="1"/>
    <col min="17" max="17" width="9.42578125"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483</v>
      </c>
      <c r="C8" s="405"/>
      <c r="D8" s="405"/>
      <c r="E8" s="405"/>
      <c r="F8" s="405"/>
      <c r="G8" s="405"/>
      <c r="H8" s="405"/>
      <c r="I8" s="405"/>
      <c r="J8" s="405"/>
      <c r="K8" s="405"/>
      <c r="L8" s="405"/>
      <c r="M8" s="405"/>
      <c r="N8" s="405"/>
      <c r="O8" s="405"/>
      <c r="P8" s="405"/>
      <c r="Q8" s="405"/>
    </row>
    <row r="9" spans="2:17" x14ac:dyDescent="0.25">
      <c r="B9" s="104" t="s">
        <v>206</v>
      </c>
    </row>
    <row r="10" spans="2:17" x14ac:dyDescent="0.25">
      <c r="B10" s="57" t="s">
        <v>0</v>
      </c>
      <c r="C10" s="57">
        <v>2021</v>
      </c>
      <c r="D10" s="57">
        <f>C10+1</f>
        <v>2022</v>
      </c>
      <c r="E10" s="57">
        <f t="shared" ref="E10:G10" si="0">D10+1</f>
        <v>2023</v>
      </c>
      <c r="F10" s="57">
        <f t="shared" si="0"/>
        <v>2024</v>
      </c>
      <c r="G10" s="57">
        <f t="shared" si="0"/>
        <v>2025</v>
      </c>
      <c r="H10" s="57">
        <f>G10+1</f>
        <v>2026</v>
      </c>
      <c r="I10" s="57">
        <f t="shared" ref="I10:Q10" si="1">H10+1</f>
        <v>2027</v>
      </c>
      <c r="J10" s="57">
        <f t="shared" si="1"/>
        <v>2028</v>
      </c>
      <c r="K10" s="57">
        <f t="shared" si="1"/>
        <v>2029</v>
      </c>
      <c r="L10" s="57">
        <f t="shared" si="1"/>
        <v>2030</v>
      </c>
      <c r="M10" s="57">
        <f t="shared" si="1"/>
        <v>2031</v>
      </c>
      <c r="N10" s="57">
        <f t="shared" si="1"/>
        <v>2032</v>
      </c>
      <c r="O10" s="57">
        <f t="shared" si="1"/>
        <v>2033</v>
      </c>
      <c r="P10" s="57">
        <f t="shared" si="1"/>
        <v>2034</v>
      </c>
      <c r="Q10" s="57">
        <f t="shared" si="1"/>
        <v>2035</v>
      </c>
    </row>
    <row r="11" spans="2:17" x14ac:dyDescent="0.25">
      <c r="B11" s="1" t="s">
        <v>465</v>
      </c>
      <c r="C11" s="1"/>
    </row>
    <row r="12" spans="2:17" x14ac:dyDescent="0.25">
      <c r="B12" s="4" t="s">
        <v>466</v>
      </c>
      <c r="C12" s="4"/>
      <c r="D12" s="386">
        <f>C15</f>
        <v>4890.4900000000007</v>
      </c>
      <c r="E12" s="386">
        <f t="shared" ref="E12:G12" si="2">D15</f>
        <v>4940.6399999999994</v>
      </c>
      <c r="F12" s="386">
        <f t="shared" si="2"/>
        <v>5957.17</v>
      </c>
      <c r="G12" s="386">
        <f t="shared" si="2"/>
        <v>6878.4500000000007</v>
      </c>
      <c r="H12" s="386">
        <f>G15</f>
        <v>7831</v>
      </c>
      <c r="I12" s="386">
        <f t="shared" ref="I12:Q12" si="3">H15</f>
        <v>8420.4296609010507</v>
      </c>
      <c r="J12" s="386">
        <f t="shared" si="3"/>
        <v>9151.7759053534865</v>
      </c>
      <c r="K12" s="386">
        <f t="shared" si="3"/>
        <v>10031.48813797038</v>
      </c>
      <c r="L12" s="386">
        <f t="shared" si="3"/>
        <v>11064.935750942932</v>
      </c>
      <c r="M12" s="386">
        <f t="shared" si="3"/>
        <v>12256.308459043386</v>
      </c>
      <c r="N12" s="386">
        <f t="shared" si="3"/>
        <v>13608.554772476913</v>
      </c>
      <c r="O12" s="386">
        <f t="shared" si="3"/>
        <v>15123.357033826005</v>
      </c>
      <c r="P12" s="386">
        <f t="shared" si="3"/>
        <v>16801.140038614045</v>
      </c>
      <c r="Q12" s="386">
        <f t="shared" si="3"/>
        <v>18641.109249745605</v>
      </c>
    </row>
    <row r="13" spans="2:17" x14ac:dyDescent="0.25">
      <c r="B13" s="3" t="s">
        <v>467</v>
      </c>
      <c r="D13" s="22">
        <f>D15-D12-D14</f>
        <v>296.5499999999987</v>
      </c>
      <c r="E13" s="22">
        <f t="shared" ref="E13:G13" si="4">E15-E12-E14</f>
        <v>1326.9800000000007</v>
      </c>
      <c r="F13" s="22">
        <f t="shared" si="4"/>
        <v>1299.4000000000005</v>
      </c>
      <c r="G13" s="22">
        <f t="shared" si="4"/>
        <v>1386.8199999999993</v>
      </c>
      <c r="H13" s="22">
        <f>H18*'Revenue Build_up'!H18</f>
        <v>1058.951838579557</v>
      </c>
      <c r="I13" s="22">
        <f>I18*'Revenue Build_up'!I18</f>
        <v>1236.2087743177065</v>
      </c>
      <c r="J13" s="22">
        <f>J18*'Revenue Build_up'!J18</f>
        <v>1428.4239875277935</v>
      </c>
      <c r="K13" s="22">
        <f>K18*'Revenue Build_up'!K18</f>
        <v>1634.9041518431886</v>
      </c>
      <c r="L13" s="22">
        <f>L18*'Revenue Build_up'!L18</f>
        <v>1854.7915217456446</v>
      </c>
      <c r="M13" s="22">
        <f>M18*'Revenue Build_up'!M18</f>
        <v>2087.09609481388</v>
      </c>
      <c r="N13" s="22">
        <f>N18*'Revenue Build_up'!N18</f>
        <v>2330.7284868414413</v>
      </c>
      <c r="O13" s="22">
        <f>O18*'Revenue Build_up'!O18</f>
        <v>2584.5320187494153</v>
      </c>
      <c r="P13" s="22">
        <f>P18*'Revenue Build_up'!P18</f>
        <v>2847.3128273250968</v>
      </c>
      <c r="Q13" s="22">
        <f>Q18*'Revenue Build_up'!Q18</f>
        <v>3117.8671330365728</v>
      </c>
    </row>
    <row r="14" spans="2:17" x14ac:dyDescent="0.25">
      <c r="B14" s="3" t="s">
        <v>468</v>
      </c>
      <c r="C14" s="330">
        <f>-'Historical P&amp;L'!C23</f>
        <v>-231.31</v>
      </c>
      <c r="D14" s="330">
        <f>-'Historical P&amp;L'!D23</f>
        <v>-246.4</v>
      </c>
      <c r="E14" s="330">
        <f>-'Historical P&amp;L'!E23</f>
        <v>-310.45</v>
      </c>
      <c r="F14" s="330">
        <f>-'Historical P&amp;L'!F23</f>
        <v>-378.12</v>
      </c>
      <c r="G14" s="330">
        <f>-'Historical P&amp;L'!G23</f>
        <v>-434.27</v>
      </c>
      <c r="H14" s="331">
        <f>-H17*H12</f>
        <v>-469.52217767850595</v>
      </c>
      <c r="I14" s="331">
        <f t="shared" ref="I14:Q14" si="5">-I17*I12</f>
        <v>-504.86252986527199</v>
      </c>
      <c r="J14" s="331">
        <f t="shared" si="5"/>
        <v>-548.71175491089889</v>
      </c>
      <c r="K14" s="331">
        <f t="shared" si="5"/>
        <v>-601.45653887063645</v>
      </c>
      <c r="L14" s="331">
        <f t="shared" si="5"/>
        <v>-663.41881364518963</v>
      </c>
      <c r="M14" s="331">
        <f t="shared" si="5"/>
        <v>-734.84978138035308</v>
      </c>
      <c r="N14" s="331">
        <f t="shared" si="5"/>
        <v>-815.92622549234909</v>
      </c>
      <c r="O14" s="331">
        <f t="shared" si="5"/>
        <v>-906.74901396137614</v>
      </c>
      <c r="P14" s="331">
        <f t="shared" si="5"/>
        <v>-1007.343616193539</v>
      </c>
      <c r="Q14" s="331">
        <f t="shared" si="5"/>
        <v>-1117.6623942387303</v>
      </c>
    </row>
    <row r="15" spans="2:17" ht="15.75" thickBot="1" x14ac:dyDescent="0.3">
      <c r="B15" s="5" t="s">
        <v>469</v>
      </c>
      <c r="C15" s="69">
        <f>SUM('Historical balance Sheet'!C14:C18)</f>
        <v>4890.4900000000007</v>
      </c>
      <c r="D15" s="69">
        <f>SUM('Historical balance Sheet'!D14:D18)</f>
        <v>4940.6399999999994</v>
      </c>
      <c r="E15" s="69">
        <f>SUM('Historical balance Sheet'!E14:E18)</f>
        <v>5957.17</v>
      </c>
      <c r="F15" s="69">
        <f>SUM('Historical balance Sheet'!F14:F18)</f>
        <v>6878.4500000000007</v>
      </c>
      <c r="G15" s="69">
        <f>SUM('Historical balance Sheet'!G14:G18)</f>
        <v>7831</v>
      </c>
      <c r="H15" s="69">
        <f>SUM(H12:H14)</f>
        <v>8420.4296609010507</v>
      </c>
      <c r="I15" s="69">
        <f t="shared" ref="I15:Q15" si="6">SUM(I12:I14)</f>
        <v>9151.7759053534865</v>
      </c>
      <c r="J15" s="69">
        <f t="shared" si="6"/>
        <v>10031.48813797038</v>
      </c>
      <c r="K15" s="69">
        <f t="shared" si="6"/>
        <v>11064.935750942932</v>
      </c>
      <c r="L15" s="69">
        <f t="shared" si="6"/>
        <v>12256.308459043386</v>
      </c>
      <c r="M15" s="69">
        <f t="shared" si="6"/>
        <v>13608.554772476913</v>
      </c>
      <c r="N15" s="69">
        <f t="shared" si="6"/>
        <v>15123.357033826005</v>
      </c>
      <c r="O15" s="69">
        <f t="shared" si="6"/>
        <v>16801.140038614045</v>
      </c>
      <c r="P15" s="69">
        <f t="shared" si="6"/>
        <v>18641.109249745605</v>
      </c>
      <c r="Q15" s="69">
        <f t="shared" si="6"/>
        <v>20641.313988543447</v>
      </c>
    </row>
    <row r="17" spans="2:17" x14ac:dyDescent="0.25">
      <c r="B17" s="398" t="s">
        <v>470</v>
      </c>
      <c r="C17" s="400">
        <v>0</v>
      </c>
      <c r="D17" s="400">
        <f>-D14/D12</f>
        <v>5.0383499403945202E-2</v>
      </c>
      <c r="E17" s="400">
        <f t="shared" ref="E17:G17" si="7">-E14/E12</f>
        <v>6.283598885974287E-2</v>
      </c>
      <c r="F17" s="400">
        <f t="shared" si="7"/>
        <v>6.3473092089028849E-2</v>
      </c>
      <c r="G17" s="400">
        <f t="shared" si="7"/>
        <v>6.3134863232268884E-2</v>
      </c>
      <c r="H17" s="401">
        <f>AVERAGE(D17:G17)</f>
        <v>5.9956860896246453E-2</v>
      </c>
      <c r="I17" s="401">
        <f>H17</f>
        <v>5.9956860896246453E-2</v>
      </c>
      <c r="J17" s="401">
        <f t="shared" ref="J17:Q17" si="8">I17</f>
        <v>5.9956860896246453E-2</v>
      </c>
      <c r="K17" s="401">
        <f t="shared" si="8"/>
        <v>5.9956860896246453E-2</v>
      </c>
      <c r="L17" s="401">
        <f t="shared" si="8"/>
        <v>5.9956860896246453E-2</v>
      </c>
      <c r="M17" s="401">
        <f t="shared" si="8"/>
        <v>5.9956860896246453E-2</v>
      </c>
      <c r="N17" s="401">
        <f t="shared" si="8"/>
        <v>5.9956860896246453E-2</v>
      </c>
      <c r="O17" s="401">
        <f t="shared" si="8"/>
        <v>5.9956860896246453E-2</v>
      </c>
      <c r="P17" s="401">
        <f t="shared" si="8"/>
        <v>5.9956860896246453E-2</v>
      </c>
      <c r="Q17" s="401">
        <f t="shared" si="8"/>
        <v>5.9956860896246453E-2</v>
      </c>
    </row>
    <row r="18" spans="2:17" ht="15.75" thickBot="1" x14ac:dyDescent="0.3">
      <c r="B18" s="399" t="s">
        <v>484</v>
      </c>
      <c r="C18" s="402">
        <v>0</v>
      </c>
      <c r="D18" s="402">
        <f>D13/'Revenue Build_up'!D18</f>
        <v>4.873050902882399E-2</v>
      </c>
      <c r="E18" s="402">
        <f>E13/'Revenue Build_up'!E18</f>
        <v>0.20049315714246874</v>
      </c>
      <c r="F18" s="402">
        <f>F13/'Revenue Build_up'!F18</f>
        <v>0.20396182583035105</v>
      </c>
      <c r="G18" s="402">
        <f>G13/'Revenue Build_up'!G18</f>
        <v>0.19072465522078513</v>
      </c>
      <c r="H18" s="403">
        <f>AVERAGE(C18:G18)</f>
        <v>0.12878202944448577</v>
      </c>
      <c r="I18" s="403">
        <f>H18+0.5%</f>
        <v>0.13378202944448578</v>
      </c>
      <c r="J18" s="403">
        <f t="shared" ref="J18:Q18" si="9">I18+0.5%</f>
        <v>0.13878202944448578</v>
      </c>
      <c r="K18" s="403">
        <f t="shared" si="9"/>
        <v>0.14378202944448579</v>
      </c>
      <c r="L18" s="403">
        <f t="shared" si="9"/>
        <v>0.14878202944448579</v>
      </c>
      <c r="M18" s="403">
        <f t="shared" si="9"/>
        <v>0.1537820294444858</v>
      </c>
      <c r="N18" s="403">
        <f t="shared" si="9"/>
        <v>0.1587820294444858</v>
      </c>
      <c r="O18" s="403">
        <f t="shared" si="9"/>
        <v>0.1637820294444858</v>
      </c>
      <c r="P18" s="403">
        <f t="shared" si="9"/>
        <v>0.16878202944448581</v>
      </c>
      <c r="Q18" s="403">
        <f t="shared" si="9"/>
        <v>0.17378202944448581</v>
      </c>
    </row>
  </sheetData>
  <mergeCells count="1">
    <mergeCell ref="B8:Q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0"/>
  <sheetViews>
    <sheetView showGridLines="0" workbookViewId="0">
      <pane ySplit="11" topLeftCell="A12" activePane="bottomLeft" state="frozen"/>
      <selection pane="bottomLeft" activeCell="G14" sqref="G14"/>
    </sheetView>
  </sheetViews>
  <sheetFormatPr defaultRowHeight="15" x14ac:dyDescent="0.25"/>
  <cols>
    <col min="1" max="1" width="1.85546875" customWidth="1"/>
    <col min="2" max="2" width="25" bestFit="1" customWidth="1"/>
    <col min="8" max="11" width="11.140625" bestFit="1" customWidth="1"/>
    <col min="12" max="17" width="11.140625"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350</v>
      </c>
      <c r="C8" s="405"/>
      <c r="D8" s="405"/>
      <c r="E8" s="405"/>
      <c r="F8" s="405"/>
      <c r="G8" s="405"/>
      <c r="H8" s="405"/>
      <c r="I8" s="405"/>
      <c r="J8" s="405"/>
      <c r="K8" s="405"/>
      <c r="L8" s="405"/>
      <c r="M8" s="405"/>
      <c r="N8" s="405"/>
      <c r="O8" s="405"/>
      <c r="P8" s="405"/>
      <c r="Q8" s="405"/>
    </row>
    <row r="9" spans="2:17" x14ac:dyDescent="0.25">
      <c r="B9" s="104" t="s">
        <v>206</v>
      </c>
    </row>
    <row r="10" spans="2:17" x14ac:dyDescent="0.25">
      <c r="B10" s="57" t="s">
        <v>0</v>
      </c>
      <c r="C10" s="57">
        <v>2021</v>
      </c>
      <c r="D10" s="57">
        <f>C10+1</f>
        <v>2022</v>
      </c>
      <c r="E10" s="57">
        <f t="shared" ref="E10:G10" si="0">D10+1</f>
        <v>2023</v>
      </c>
      <c r="F10" s="57">
        <f t="shared" si="0"/>
        <v>2024</v>
      </c>
      <c r="G10" s="57">
        <f t="shared" si="0"/>
        <v>2025</v>
      </c>
      <c r="H10" s="57">
        <f>G10+1</f>
        <v>2026</v>
      </c>
      <c r="I10" s="57">
        <f t="shared" ref="I10:Q10" si="1">H10+1</f>
        <v>2027</v>
      </c>
      <c r="J10" s="57">
        <f t="shared" si="1"/>
        <v>2028</v>
      </c>
      <c r="K10" s="57">
        <f t="shared" si="1"/>
        <v>2029</v>
      </c>
      <c r="L10" s="57">
        <f t="shared" si="1"/>
        <v>2030</v>
      </c>
      <c r="M10" s="57">
        <f t="shared" si="1"/>
        <v>2031</v>
      </c>
      <c r="N10" s="57">
        <f t="shared" si="1"/>
        <v>2032</v>
      </c>
      <c r="O10" s="57">
        <f t="shared" si="1"/>
        <v>2033</v>
      </c>
      <c r="P10" s="57">
        <f t="shared" si="1"/>
        <v>2034</v>
      </c>
      <c r="Q10" s="57">
        <f t="shared" si="1"/>
        <v>2035</v>
      </c>
    </row>
    <row r="11" spans="2:17" x14ac:dyDescent="0.25">
      <c r="B11" s="228"/>
      <c r="C11" s="229" t="s">
        <v>82</v>
      </c>
      <c r="D11" s="229" t="s">
        <v>82</v>
      </c>
      <c r="E11" s="229" t="s">
        <v>82</v>
      </c>
      <c r="F11" s="229" t="s">
        <v>82</v>
      </c>
      <c r="G11" s="229" t="s">
        <v>82</v>
      </c>
      <c r="H11" s="229" t="s">
        <v>83</v>
      </c>
      <c r="I11" s="229" t="s">
        <v>83</v>
      </c>
      <c r="J11" s="229" t="s">
        <v>83</v>
      </c>
      <c r="K11" s="229" t="s">
        <v>83</v>
      </c>
      <c r="L11" s="229" t="s">
        <v>83</v>
      </c>
      <c r="M11" s="229" t="s">
        <v>83</v>
      </c>
      <c r="N11" s="229" t="s">
        <v>83</v>
      </c>
      <c r="O11" s="229" t="s">
        <v>83</v>
      </c>
      <c r="P11" s="229" t="s">
        <v>83</v>
      </c>
      <c r="Q11" s="229" t="s">
        <v>83</v>
      </c>
    </row>
    <row r="13" spans="2:17" x14ac:dyDescent="0.25">
      <c r="B13" s="4" t="s">
        <v>117</v>
      </c>
      <c r="C13" s="337"/>
      <c r="D13" s="337">
        <f>C15</f>
        <v>2492.12</v>
      </c>
      <c r="E13" s="337">
        <f t="shared" ref="E13:Q13" si="2">D15</f>
        <v>2586.9500000000003</v>
      </c>
      <c r="F13" s="337">
        <f t="shared" si="2"/>
        <v>2907.31</v>
      </c>
      <c r="G13" s="337">
        <f t="shared" si="2"/>
        <v>3622.67</v>
      </c>
      <c r="H13" s="337">
        <f t="shared" si="2"/>
        <v>3847.7900000000004</v>
      </c>
      <c r="I13" s="337">
        <f t="shared" si="2"/>
        <v>4136.4577912863342</v>
      </c>
      <c r="J13" s="337">
        <f t="shared" si="2"/>
        <v>4648.3807617749917</v>
      </c>
      <c r="K13" s="337">
        <f t="shared" si="2"/>
        <v>5177.6364600053757</v>
      </c>
      <c r="L13" s="337">
        <f t="shared" si="2"/>
        <v>5719.9909359056483</v>
      </c>
      <c r="M13" s="337">
        <f t="shared" si="2"/>
        <v>6271.2234709335444</v>
      </c>
      <c r="N13" s="337">
        <f t="shared" si="2"/>
        <v>6827.2296349847211</v>
      </c>
      <c r="O13" s="337">
        <f t="shared" si="2"/>
        <v>7384.1071303881745</v>
      </c>
      <c r="P13" s="337">
        <f t="shared" si="2"/>
        <v>7938.2234909117506</v>
      </c>
      <c r="Q13" s="337">
        <f t="shared" si="2"/>
        <v>8486.265857790233</v>
      </c>
    </row>
    <row r="14" spans="2:17" x14ac:dyDescent="0.25">
      <c r="B14" t="s">
        <v>118</v>
      </c>
      <c r="C14" s="11"/>
      <c r="D14" s="11">
        <f>D15-D13</f>
        <v>94.830000000000382</v>
      </c>
      <c r="E14" s="11">
        <f t="shared" ref="E14:G14" si="3">E15-E13</f>
        <v>320.35999999999967</v>
      </c>
      <c r="F14" s="11">
        <f t="shared" si="3"/>
        <v>715.36000000000013</v>
      </c>
      <c r="G14" s="11">
        <f t="shared" si="3"/>
        <v>225.12000000000035</v>
      </c>
      <c r="H14" s="11">
        <f t="shared" ref="H14" si="4">H15-H13</f>
        <v>288.6677912863338</v>
      </c>
      <c r="I14" s="11">
        <f t="shared" ref="I14" si="5">I15-I13</f>
        <v>511.92297048865748</v>
      </c>
      <c r="J14" s="11">
        <f t="shared" ref="J14" si="6">J15-J13</f>
        <v>529.25569823038404</v>
      </c>
      <c r="K14" s="11">
        <f t="shared" ref="K14" si="7">K15-K13</f>
        <v>542.35447590027252</v>
      </c>
      <c r="L14" s="11">
        <f t="shared" ref="L14" si="8">L15-L13</f>
        <v>551.23253502789612</v>
      </c>
      <c r="M14" s="11">
        <f t="shared" ref="M14" si="9">M15-M13</f>
        <v>556.00616405117671</v>
      </c>
      <c r="N14" s="11">
        <f t="shared" ref="N14" si="10">N15-N13</f>
        <v>556.87749540345339</v>
      </c>
      <c r="O14" s="11">
        <f t="shared" ref="O14" si="11">O15-O13</f>
        <v>554.11636052357608</v>
      </c>
      <c r="P14" s="11">
        <f t="shared" ref="P14" si="12">P15-P13</f>
        <v>548.04236687848243</v>
      </c>
      <c r="Q14" s="11">
        <f t="shared" ref="Q14" si="13">Q15-Q13</f>
        <v>539.00807572740086</v>
      </c>
    </row>
    <row r="15" spans="2:17" x14ac:dyDescent="0.25">
      <c r="B15" s="10" t="s">
        <v>119</v>
      </c>
      <c r="C15" s="338">
        <f>'Historical balance Sheet'!C52+'Historical balance Sheet'!C53+'Historical balance Sheet'!C61+'Historical balance Sheet'!C62</f>
        <v>2492.12</v>
      </c>
      <c r="D15" s="338">
        <f>'Historical balance Sheet'!D52+'Historical balance Sheet'!D53+'Historical balance Sheet'!D61+'Historical balance Sheet'!D62</f>
        <v>2586.9500000000003</v>
      </c>
      <c r="E15" s="338">
        <f>'Historical balance Sheet'!E52+'Historical balance Sheet'!E53+'Historical balance Sheet'!E61+'Historical balance Sheet'!E62</f>
        <v>2907.31</v>
      </c>
      <c r="F15" s="338">
        <f>'Historical balance Sheet'!F52+'Historical balance Sheet'!F53+'Historical balance Sheet'!F61+'Historical balance Sheet'!F62</f>
        <v>3622.67</v>
      </c>
      <c r="G15" s="338">
        <f>'Historical balance Sheet'!G52+'Historical balance Sheet'!G53+'Historical balance Sheet'!G61+'Historical balance Sheet'!G62</f>
        <v>3847.7900000000004</v>
      </c>
      <c r="H15" s="13">
        <f>Balance_Sheet!H36+Balance_Sheet!H38+Balance_Sheet!H48+Balance_Sheet!H50</f>
        <v>4136.4577912863342</v>
      </c>
      <c r="I15" s="13">
        <f>Balance_Sheet!I36+Balance_Sheet!I38+Balance_Sheet!I48+Balance_Sheet!I50</f>
        <v>4648.3807617749917</v>
      </c>
      <c r="J15" s="13">
        <f>Balance_Sheet!J36+Balance_Sheet!J38+Balance_Sheet!J48+Balance_Sheet!J50</f>
        <v>5177.6364600053757</v>
      </c>
      <c r="K15" s="13">
        <f>Balance_Sheet!K36+Balance_Sheet!K38+Balance_Sheet!K48+Balance_Sheet!K50</f>
        <v>5719.9909359056483</v>
      </c>
      <c r="L15" s="13">
        <f>Balance_Sheet!L36+Balance_Sheet!L38+Balance_Sheet!L48+Balance_Sheet!L50</f>
        <v>6271.2234709335444</v>
      </c>
      <c r="M15" s="13">
        <f>Balance_Sheet!M36+Balance_Sheet!M38+Balance_Sheet!M48+Balance_Sheet!M50</f>
        <v>6827.2296349847211</v>
      </c>
      <c r="N15" s="13">
        <f>Balance_Sheet!N36+Balance_Sheet!N38+Balance_Sheet!N48+Balance_Sheet!N50</f>
        <v>7384.1071303881745</v>
      </c>
      <c r="O15" s="13">
        <f>Balance_Sheet!O36+Balance_Sheet!O38+Balance_Sheet!O48+Balance_Sheet!O50</f>
        <v>7938.2234909117506</v>
      </c>
      <c r="P15" s="13">
        <f>Balance_Sheet!P36+Balance_Sheet!P38+Balance_Sheet!P48+Balance_Sheet!P50</f>
        <v>8486.265857790233</v>
      </c>
      <c r="Q15" s="13">
        <f>Balance_Sheet!Q36+Balance_Sheet!Q38+Balance_Sheet!Q48+Balance_Sheet!Q50</f>
        <v>9025.2739335176338</v>
      </c>
    </row>
    <row r="16" spans="2:17" x14ac:dyDescent="0.25">
      <c r="B16" s="48" t="s">
        <v>120</v>
      </c>
      <c r="C16" s="48"/>
      <c r="D16" s="49">
        <f>'Historical P&amp;L'!D22/'Debt Schedules'!D13</f>
        <v>4.1061425613533861E-2</v>
      </c>
      <c r="E16" s="49">
        <f>'Historical P&amp;L'!E22/'Debt Schedules'!E13</f>
        <v>6.5049575755232986E-2</v>
      </c>
      <c r="F16" s="49">
        <f>'Historical P&amp;L'!F22/'Debt Schedules'!F13</f>
        <v>7.2737341391182916E-2</v>
      </c>
      <c r="G16" s="50">
        <f>'Historical P&amp;L'!G22/'Debt Schedules'!G13</f>
        <v>7.603231870416019E-2</v>
      </c>
      <c r="H16" s="51">
        <f>AVERAGE(D16:G16)</f>
        <v>6.3720165366027481E-2</v>
      </c>
      <c r="I16" s="51">
        <f>H16</f>
        <v>6.3720165366027481E-2</v>
      </c>
      <c r="J16" s="51">
        <f t="shared" ref="J16:Q16" si="14">I16</f>
        <v>6.3720165366027481E-2</v>
      </c>
      <c r="K16" s="51">
        <f t="shared" si="14"/>
        <v>6.3720165366027481E-2</v>
      </c>
      <c r="L16" s="51">
        <f t="shared" si="14"/>
        <v>6.3720165366027481E-2</v>
      </c>
      <c r="M16" s="51">
        <f t="shared" si="14"/>
        <v>6.3720165366027481E-2</v>
      </c>
      <c r="N16" s="51">
        <f t="shared" si="14"/>
        <v>6.3720165366027481E-2</v>
      </c>
      <c r="O16" s="51">
        <f t="shared" si="14"/>
        <v>6.3720165366027481E-2</v>
      </c>
      <c r="P16" s="51">
        <f t="shared" si="14"/>
        <v>6.3720165366027481E-2</v>
      </c>
      <c r="Q16" s="51">
        <f t="shared" si="14"/>
        <v>6.3720165366027481E-2</v>
      </c>
    </row>
    <row r="17" spans="2:17" x14ac:dyDescent="0.25">
      <c r="B17" s="10" t="s">
        <v>121</v>
      </c>
      <c r="C17" s="338">
        <f>'Historical P&amp;L'!C22</f>
        <v>86.37</v>
      </c>
      <c r="D17" s="338">
        <f>'Historical P&amp;L'!D22</f>
        <v>102.33</v>
      </c>
      <c r="E17" s="338">
        <f>'Historical P&amp;L'!E22</f>
        <v>168.28</v>
      </c>
      <c r="F17" s="338">
        <f>'Historical P&amp;L'!F22</f>
        <v>211.47</v>
      </c>
      <c r="G17" s="338">
        <f>'Historical P&amp;L'!G22</f>
        <v>275.44</v>
      </c>
      <c r="H17" s="344">
        <f>H16*H13</f>
        <v>245.18181509374691</v>
      </c>
      <c r="I17" s="13">
        <f t="shared" ref="I17:Q17" si="15">I16*I13</f>
        <v>263.57577449035801</v>
      </c>
      <c r="J17" s="13">
        <f t="shared" si="15"/>
        <v>296.19559082456328</v>
      </c>
      <c r="K17" s="13">
        <f t="shared" si="15"/>
        <v>329.9198514367157</v>
      </c>
      <c r="L17" s="13">
        <f t="shared" si="15"/>
        <v>364.47876832808623</v>
      </c>
      <c r="M17" s="13">
        <f t="shared" si="15"/>
        <v>399.60339661519828</v>
      </c>
      <c r="N17" s="13">
        <f t="shared" si="15"/>
        <v>435.03220133306985</v>
      </c>
      <c r="O17" s="13">
        <f t="shared" si="15"/>
        <v>470.51652742879713</v>
      </c>
      <c r="P17" s="13">
        <f t="shared" si="15"/>
        <v>505.82491355338072</v>
      </c>
      <c r="Q17" s="13">
        <f t="shared" si="15"/>
        <v>540.74626379846666</v>
      </c>
    </row>
    <row r="18" spans="2:17" x14ac:dyDescent="0.25">
      <c r="D18" s="29"/>
      <c r="E18" s="29"/>
      <c r="F18" s="29"/>
      <c r="G18" s="29"/>
      <c r="H18" s="29"/>
      <c r="I18" s="29"/>
      <c r="J18" s="29"/>
      <c r="K18" s="29"/>
      <c r="L18" s="29"/>
      <c r="M18" s="29"/>
      <c r="N18" s="29"/>
      <c r="O18" s="29"/>
      <c r="P18" s="29"/>
      <c r="Q18" s="29"/>
    </row>
    <row r="20" spans="2:17" x14ac:dyDescent="0.25">
      <c r="B20" s="67"/>
      <c r="C20" s="67"/>
      <c r="D20" s="67"/>
      <c r="E20" s="67"/>
      <c r="F20" s="67"/>
      <c r="G20" s="67"/>
      <c r="H20" s="67"/>
      <c r="I20" s="67"/>
      <c r="J20" s="67"/>
      <c r="K20" s="67"/>
      <c r="L20" s="67"/>
      <c r="M20" s="67"/>
      <c r="N20" s="67"/>
      <c r="O20" s="67"/>
      <c r="P20" s="67"/>
      <c r="Q20" s="67"/>
    </row>
  </sheetData>
  <mergeCells count="1">
    <mergeCell ref="B8:Q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1"/>
  <sheetViews>
    <sheetView showGridLines="0" workbookViewId="0">
      <pane ySplit="11" topLeftCell="A23" activePane="bottomLeft" state="frozen"/>
      <selection pane="bottomLeft" activeCell="H25" sqref="H25"/>
    </sheetView>
  </sheetViews>
  <sheetFormatPr defaultRowHeight="15" x14ac:dyDescent="0.25"/>
  <cols>
    <col min="1" max="1" width="1.85546875" customWidth="1"/>
    <col min="2" max="2" width="29.140625" bestFit="1" customWidth="1"/>
    <col min="3" max="7" width="8.5703125" customWidth="1"/>
    <col min="8" max="17" width="11.140625" bestFit="1"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345</v>
      </c>
      <c r="C8" s="405"/>
      <c r="D8" s="405"/>
      <c r="E8" s="405"/>
      <c r="F8" s="405"/>
      <c r="G8" s="405"/>
      <c r="H8" s="405"/>
      <c r="I8" s="405"/>
      <c r="J8" s="405"/>
      <c r="K8" s="405"/>
      <c r="L8" s="405"/>
      <c r="M8" s="405"/>
      <c r="N8" s="405"/>
      <c r="O8" s="405"/>
      <c r="P8" s="405"/>
      <c r="Q8" s="405"/>
    </row>
    <row r="9" spans="2:17" x14ac:dyDescent="0.25">
      <c r="B9" s="104" t="s">
        <v>206</v>
      </c>
    </row>
    <row r="10" spans="2:17" x14ac:dyDescent="0.25">
      <c r="B10" s="57" t="s">
        <v>0</v>
      </c>
      <c r="C10" s="57">
        <v>2021</v>
      </c>
      <c r="D10" s="57">
        <f>C10+1</f>
        <v>2022</v>
      </c>
      <c r="E10" s="57">
        <f t="shared" ref="E10:G10" si="0">D10+1</f>
        <v>2023</v>
      </c>
      <c r="F10" s="57">
        <f t="shared" si="0"/>
        <v>2024</v>
      </c>
      <c r="G10" s="57">
        <f t="shared" si="0"/>
        <v>2025</v>
      </c>
      <c r="H10" s="57">
        <f>G10+1</f>
        <v>2026</v>
      </c>
      <c r="I10" s="57">
        <f t="shared" ref="I10:Q10" si="1">H10+1</f>
        <v>2027</v>
      </c>
      <c r="J10" s="57">
        <f t="shared" si="1"/>
        <v>2028</v>
      </c>
      <c r="K10" s="57">
        <f t="shared" si="1"/>
        <v>2029</v>
      </c>
      <c r="L10" s="57">
        <f t="shared" si="1"/>
        <v>2030</v>
      </c>
      <c r="M10" s="57">
        <f t="shared" si="1"/>
        <v>2031</v>
      </c>
      <c r="N10" s="57">
        <f t="shared" si="1"/>
        <v>2032</v>
      </c>
      <c r="O10" s="57">
        <f t="shared" si="1"/>
        <v>2033</v>
      </c>
      <c r="P10" s="57">
        <f t="shared" si="1"/>
        <v>2034</v>
      </c>
      <c r="Q10" s="57">
        <f t="shared" si="1"/>
        <v>2035</v>
      </c>
    </row>
    <row r="11" spans="2:17" x14ac:dyDescent="0.25">
      <c r="B11" s="228"/>
      <c r="C11" s="229" t="s">
        <v>82</v>
      </c>
      <c r="D11" s="229" t="s">
        <v>82</v>
      </c>
      <c r="E11" s="229" t="s">
        <v>82</v>
      </c>
      <c r="F11" s="229" t="s">
        <v>82</v>
      </c>
      <c r="G11" s="229" t="s">
        <v>82</v>
      </c>
      <c r="H11" s="229" t="s">
        <v>83</v>
      </c>
      <c r="I11" s="229" t="s">
        <v>83</v>
      </c>
      <c r="J11" s="229" t="s">
        <v>83</v>
      </c>
      <c r="K11" s="229" t="s">
        <v>83</v>
      </c>
      <c r="L11" s="229" t="s">
        <v>83</v>
      </c>
      <c r="M11" s="229" t="s">
        <v>83</v>
      </c>
      <c r="N11" s="229" t="s">
        <v>83</v>
      </c>
      <c r="O11" s="229" t="s">
        <v>83</v>
      </c>
      <c r="P11" s="229" t="s">
        <v>83</v>
      </c>
      <c r="Q11" s="229" t="s">
        <v>83</v>
      </c>
    </row>
    <row r="12" spans="2:17" x14ac:dyDescent="0.25">
      <c r="B12" s="1" t="s">
        <v>28</v>
      </c>
    </row>
    <row r="13" spans="2:17" x14ac:dyDescent="0.25">
      <c r="B13" s="1" t="s">
        <v>29</v>
      </c>
    </row>
    <row r="14" spans="2:17" x14ac:dyDescent="0.25">
      <c r="B14" s="19" t="s">
        <v>36</v>
      </c>
      <c r="C14" s="291">
        <f>'Historical balance Sheet'!C20</f>
        <v>63.52</v>
      </c>
      <c r="D14" s="291">
        <f>'Historical balance Sheet'!D20</f>
        <v>28.29</v>
      </c>
      <c r="E14" s="291">
        <f>'Historical balance Sheet'!E20</f>
        <v>17.170000000000002</v>
      </c>
      <c r="F14" s="291">
        <f>'Historical balance Sheet'!F20</f>
        <v>22.92</v>
      </c>
      <c r="G14" s="291">
        <f>'Historical balance Sheet'!G20</f>
        <v>47.63</v>
      </c>
      <c r="H14" s="167">
        <f>H15*'Revenue Build_up'!H$18</f>
        <v>51.783168109144029</v>
      </c>
      <c r="I14" s="167">
        <f>I15*'Revenue Build_up'!I$18</f>
        <v>58.191789827849611</v>
      </c>
      <c r="J14" s="167">
        <f>J15*'Revenue Build_up'!J$18</f>
        <v>64.817395159038938</v>
      </c>
      <c r="K14" s="167">
        <f>K15*'Revenue Build_up'!K$18</f>
        <v>71.60698045577584</v>
      </c>
      <c r="L14" s="167">
        <f>L15*'Revenue Build_up'!L$18</f>
        <v>78.507707712973954</v>
      </c>
      <c r="M14" s="167">
        <f>M15*'Revenue Build_up'!M$18</f>
        <v>85.468194708256206</v>
      </c>
      <c r="N14" s="167">
        <f>N15*'Revenue Build_up'!N$18</f>
        <v>92.439589659129993</v>
      </c>
      <c r="O14" s="167">
        <f>O15*'Revenue Build_up'!O$18</f>
        <v>99.376418728065403</v>
      </c>
      <c r="P14" s="167">
        <f>P15*'Revenue Build_up'!P$18</f>
        <v>106.23720915478857</v>
      </c>
      <c r="Q14" s="167">
        <f>Q15*'Revenue Build_up'!Q$18</f>
        <v>112.98490179566969</v>
      </c>
    </row>
    <row r="15" spans="2:17" x14ac:dyDescent="0.25">
      <c r="B15" s="311" t="s">
        <v>86</v>
      </c>
      <c r="C15" s="312">
        <f>C14/'Revenue Build_up'!C$18</f>
        <v>1.4096447038458981E-2</v>
      </c>
      <c r="D15" s="312">
        <f>D14/'Revenue Build_up'!D$18</f>
        <v>4.6487475988043724E-3</v>
      </c>
      <c r="E15" s="312">
        <f>E14/'Revenue Build_up'!E$18</f>
        <v>2.5942120515276695E-3</v>
      </c>
      <c r="F15" s="312">
        <f>F14/'Revenue Build_up'!F$18</f>
        <v>3.5976643435675268E-3</v>
      </c>
      <c r="G15" s="313">
        <f>G14/'Revenue Build_up'!G$18</f>
        <v>6.5503925009489346E-3</v>
      </c>
      <c r="H15" s="314">
        <f>AVERAGE(C15:G15)</f>
        <v>6.2974927066614967E-3</v>
      </c>
      <c r="I15" s="314">
        <f>H15</f>
        <v>6.2974927066614967E-3</v>
      </c>
      <c r="J15" s="314">
        <f t="shared" ref="J15:Q15" si="2">I15</f>
        <v>6.2974927066614967E-3</v>
      </c>
      <c r="K15" s="314">
        <f t="shared" si="2"/>
        <v>6.2974927066614967E-3</v>
      </c>
      <c r="L15" s="314">
        <f t="shared" si="2"/>
        <v>6.2974927066614967E-3</v>
      </c>
      <c r="M15" s="314">
        <f t="shared" si="2"/>
        <v>6.2974927066614967E-3</v>
      </c>
      <c r="N15" s="314">
        <f t="shared" si="2"/>
        <v>6.2974927066614967E-3</v>
      </c>
      <c r="O15" s="314">
        <f t="shared" si="2"/>
        <v>6.2974927066614967E-3</v>
      </c>
      <c r="P15" s="314">
        <f t="shared" si="2"/>
        <v>6.2974927066614967E-3</v>
      </c>
      <c r="Q15" s="314">
        <f t="shared" si="2"/>
        <v>6.2974927066614967E-3</v>
      </c>
    </row>
    <row r="16" spans="2:17" x14ac:dyDescent="0.25">
      <c r="B16" s="19" t="s">
        <v>37</v>
      </c>
      <c r="C16" s="291">
        <f>'Historical balance Sheet'!C21</f>
        <v>320.07</v>
      </c>
      <c r="D16" s="291">
        <f>'Historical balance Sheet'!D21</f>
        <v>0</v>
      </c>
      <c r="E16" s="291">
        <f>'Historical balance Sheet'!E21</f>
        <v>0.01</v>
      </c>
      <c r="F16" s="291">
        <f>'Historical balance Sheet'!F21</f>
        <v>0.3</v>
      </c>
      <c r="G16" s="291">
        <f>'Historical balance Sheet'!G21</f>
        <v>0.06</v>
      </c>
      <c r="H16" s="167">
        <f>H17*'Revenue Build_up'!H$18</f>
        <v>0.11687168734271038</v>
      </c>
      <c r="I16" s="167">
        <f>I17*'Revenue Build_up'!I$18</f>
        <v>0.1313355848050598</v>
      </c>
      <c r="J16" s="167">
        <f>J17*'Revenue Build_up'!J$18</f>
        <v>0.14628920203239623</v>
      </c>
      <c r="K16" s="167">
        <f>K17*'Revenue Build_up'!K$18</f>
        <v>0.16161291278555848</v>
      </c>
      <c r="L16" s="167">
        <f>L17*'Revenue Build_up'!L$18</f>
        <v>0.17718746466969018</v>
      </c>
      <c r="M16" s="167">
        <f>M17*'Revenue Build_up'!M$18</f>
        <v>0.1928968909093331</v>
      </c>
      <c r="N16" s="167">
        <f>N17*'Revenue Build_up'!N$18</f>
        <v>0.20863093578900896</v>
      </c>
      <c r="O16" s="167">
        <f>O17*'Revenue Build_up'!O$18</f>
        <v>0.22428696742434037</v>
      </c>
      <c r="P16" s="167">
        <f>P17*'Revenue Build_up'!P$18</f>
        <v>0.23977138413646235</v>
      </c>
      <c r="Q16" s="167">
        <f>Q17*'Revenue Build_up'!Q$18</f>
        <v>0.25500054553013363</v>
      </c>
    </row>
    <row r="17" spans="2:17" x14ac:dyDescent="0.25">
      <c r="B17" s="311" t="s">
        <v>86</v>
      </c>
      <c r="C17" s="312">
        <f>C16/'Revenue Build_up'!C$18</f>
        <v>7.1030381039035986E-2</v>
      </c>
      <c r="D17" s="312">
        <f>D16/'Revenue Build_up'!D$18</f>
        <v>0</v>
      </c>
      <c r="E17" s="312">
        <f>E16/'Revenue Build_up'!E$18</f>
        <v>1.510898108053389E-6</v>
      </c>
      <c r="F17" s="312">
        <f>F16/'Revenue Build_up'!F$18</f>
        <v>4.7089847428894326E-5</v>
      </c>
      <c r="G17" s="313">
        <f>G16/'Revenue Build_up'!G$18</f>
        <v>8.2515966839583456E-6</v>
      </c>
      <c r="H17" s="314">
        <f>AVERAGE(D17:G17)</f>
        <v>1.4213085555226516E-5</v>
      </c>
      <c r="I17" s="314">
        <f>H17</f>
        <v>1.4213085555226516E-5</v>
      </c>
      <c r="J17" s="314">
        <f t="shared" ref="J17:Q17" si="3">I17</f>
        <v>1.4213085555226516E-5</v>
      </c>
      <c r="K17" s="314">
        <f t="shared" si="3"/>
        <v>1.4213085555226516E-5</v>
      </c>
      <c r="L17" s="314">
        <f t="shared" si="3"/>
        <v>1.4213085555226516E-5</v>
      </c>
      <c r="M17" s="314">
        <f t="shared" si="3"/>
        <v>1.4213085555226516E-5</v>
      </c>
      <c r="N17" s="314">
        <f t="shared" si="3"/>
        <v>1.4213085555226516E-5</v>
      </c>
      <c r="O17" s="314">
        <f t="shared" si="3"/>
        <v>1.4213085555226516E-5</v>
      </c>
      <c r="P17" s="314">
        <f t="shared" si="3"/>
        <v>1.4213085555226516E-5</v>
      </c>
      <c r="Q17" s="314">
        <f t="shared" si="3"/>
        <v>1.4213085555226516E-5</v>
      </c>
    </row>
    <row r="18" spans="2:17" x14ac:dyDescent="0.25">
      <c r="B18" t="s">
        <v>38</v>
      </c>
      <c r="C18" s="291">
        <f>'Historical balance Sheet'!C22</f>
        <v>0</v>
      </c>
      <c r="D18" s="291">
        <f>'Historical balance Sheet'!D22</f>
        <v>27.74</v>
      </c>
      <c r="E18" s="291">
        <f>'Historical balance Sheet'!E22</f>
        <v>52.78</v>
      </c>
      <c r="F18" s="291">
        <f>'Historical balance Sheet'!F22</f>
        <v>143.55000000000001</v>
      </c>
      <c r="G18" s="291">
        <f>'Historical balance Sheet'!G22</f>
        <v>217.99</v>
      </c>
      <c r="H18" s="167">
        <f>H19*'Revenue Build_up'!H$18</f>
        <v>106.97038783757185</v>
      </c>
      <c r="I18" s="167">
        <f>I19*'Revenue Build_up'!I$18</f>
        <v>120.20891255103311</v>
      </c>
      <c r="J18" s="167">
        <f>J19*'Revenue Build_up'!J$18</f>
        <v>133.89566826366504</v>
      </c>
      <c r="K18" s="167">
        <f>K19*'Revenue Build_up'!K$18</f>
        <v>147.92116339979543</v>
      </c>
      <c r="L18" s="167">
        <f>L19*'Revenue Build_up'!L$18</f>
        <v>162.17624855619081</v>
      </c>
      <c r="M18" s="167">
        <f>M19*'Revenue Build_up'!M$18</f>
        <v>176.55478159330406</v>
      </c>
      <c r="N18" s="167">
        <f>N19*'Revenue Build_up'!N$18</f>
        <v>190.9558475939796</v>
      </c>
      <c r="O18" s="167">
        <f>O19*'Revenue Build_up'!O$18</f>
        <v>205.28550958574814</v>
      </c>
      <c r="P18" s="167">
        <f>P19*'Revenue Build_up'!P$18</f>
        <v>219.45809576803859</v>
      </c>
      <c r="Q18" s="167">
        <f>Q19*'Revenue Build_up'!Q$18</f>
        <v>233.39705170990814</v>
      </c>
    </row>
    <row r="19" spans="2:17" x14ac:dyDescent="0.25">
      <c r="B19" s="311" t="s">
        <v>86</v>
      </c>
      <c r="C19" s="312">
        <f>C18/'Revenue Build_up'!C$18</f>
        <v>0</v>
      </c>
      <c r="D19" s="312">
        <f>D18/'Revenue Build_up'!D$18</f>
        <v>4.5583689781135842E-3</v>
      </c>
      <c r="E19" s="312">
        <f>E18/'Revenue Build_up'!E$18</f>
        <v>7.9745202143057872E-3</v>
      </c>
      <c r="F19" s="312">
        <f>F18/'Revenue Build_up'!F$18</f>
        <v>2.2532491994725939E-2</v>
      </c>
      <c r="G19" s="313">
        <f>G18/'Revenue Build_up'!G$18</f>
        <v>2.9979426018934666E-2</v>
      </c>
      <c r="H19" s="314">
        <f>AVERAGE(C19:G19)</f>
        <v>1.3008961441215994E-2</v>
      </c>
      <c r="I19" s="314">
        <f>H19</f>
        <v>1.3008961441215994E-2</v>
      </c>
      <c r="J19" s="314">
        <f t="shared" ref="J19:Q19" si="4">I19</f>
        <v>1.3008961441215994E-2</v>
      </c>
      <c r="K19" s="314">
        <f t="shared" si="4"/>
        <v>1.3008961441215994E-2</v>
      </c>
      <c r="L19" s="314">
        <f t="shared" si="4"/>
        <v>1.3008961441215994E-2</v>
      </c>
      <c r="M19" s="314">
        <f t="shared" si="4"/>
        <v>1.3008961441215994E-2</v>
      </c>
      <c r="N19" s="314">
        <f t="shared" si="4"/>
        <v>1.3008961441215994E-2</v>
      </c>
      <c r="O19" s="314">
        <f t="shared" si="4"/>
        <v>1.3008961441215994E-2</v>
      </c>
      <c r="P19" s="314">
        <f t="shared" si="4"/>
        <v>1.3008961441215994E-2</v>
      </c>
      <c r="Q19" s="314">
        <f t="shared" si="4"/>
        <v>1.3008961441215994E-2</v>
      </c>
    </row>
    <row r="20" spans="2:17" x14ac:dyDescent="0.25">
      <c r="B20" t="s">
        <v>39</v>
      </c>
      <c r="C20" s="291">
        <f>'Historical balance Sheet'!C23</f>
        <v>0</v>
      </c>
      <c r="D20" s="291">
        <f>'Historical balance Sheet'!D23</f>
        <v>155.19</v>
      </c>
      <c r="E20" s="291">
        <f>'Historical balance Sheet'!E23</f>
        <v>94.5</v>
      </c>
      <c r="F20" s="291">
        <f>'Historical balance Sheet'!F23</f>
        <v>110.89</v>
      </c>
      <c r="G20" s="291">
        <f>'Historical balance Sheet'!G23</f>
        <v>122.1</v>
      </c>
      <c r="H20" s="167">
        <f>H21*'Revenue Build_up'!H$18</f>
        <v>121.66081757487173</v>
      </c>
      <c r="I20" s="167">
        <f>I21*'Revenue Build_up'!I$18</f>
        <v>136.71741195284534</v>
      </c>
      <c r="J20" s="167">
        <f>J21*'Revenue Build_up'!J$18</f>
        <v>152.28379367406305</v>
      </c>
      <c r="K20" s="167">
        <f>K21*'Revenue Build_up'!K$18</f>
        <v>168.2354344939973</v>
      </c>
      <c r="L20" s="167">
        <f>L21*'Revenue Build_up'!L$18</f>
        <v>184.4481953316965</v>
      </c>
      <c r="M20" s="167">
        <f>M21*'Revenue Build_up'!M$18</f>
        <v>200.80135736265703</v>
      </c>
      <c r="N20" s="167">
        <f>N21*'Revenue Build_up'!N$18</f>
        <v>217.18014684832525</v>
      </c>
      <c r="O20" s="167">
        <f>O21*'Revenue Build_up'!O$18</f>
        <v>233.47772628813539</v>
      </c>
      <c r="P20" s="167">
        <f>P21*'Revenue Build_up'!P$18</f>
        <v>249.59665842387705</v>
      </c>
      <c r="Q20" s="167">
        <f>Q21*'Revenue Build_up'!Q$18</f>
        <v>265.44987547122452</v>
      </c>
    </row>
    <row r="21" spans="2:17" x14ac:dyDescent="0.25">
      <c r="B21" s="311" t="s">
        <v>86</v>
      </c>
      <c r="C21" s="312">
        <f>C20/'Revenue Build_up'!C$18</f>
        <v>0</v>
      </c>
      <c r="D21" s="312">
        <f>D20/'Revenue Build_up'!D$18</f>
        <v>2.5501560263642652E-2</v>
      </c>
      <c r="E21" s="312">
        <f>E20/'Revenue Build_up'!E$18</f>
        <v>1.4277987121104526E-2</v>
      </c>
      <c r="F21" s="312">
        <f>F20/'Revenue Build_up'!F$18</f>
        <v>1.7405977271300308E-2</v>
      </c>
      <c r="G21" s="313">
        <f>G20/'Revenue Build_up'!G$18</f>
        <v>1.6791999251855233E-2</v>
      </c>
      <c r="H21" s="314">
        <f>AVERAGE(C21:G21)</f>
        <v>1.4795504781580543E-2</v>
      </c>
      <c r="I21" s="314">
        <f>H21</f>
        <v>1.4795504781580543E-2</v>
      </c>
      <c r="J21" s="314">
        <f t="shared" ref="J21:Q21" si="5">I21</f>
        <v>1.4795504781580543E-2</v>
      </c>
      <c r="K21" s="314">
        <f t="shared" si="5"/>
        <v>1.4795504781580543E-2</v>
      </c>
      <c r="L21" s="314">
        <f t="shared" si="5"/>
        <v>1.4795504781580543E-2</v>
      </c>
      <c r="M21" s="314">
        <f t="shared" si="5"/>
        <v>1.4795504781580543E-2</v>
      </c>
      <c r="N21" s="314">
        <f t="shared" si="5"/>
        <v>1.4795504781580543E-2</v>
      </c>
      <c r="O21" s="314">
        <f t="shared" si="5"/>
        <v>1.4795504781580543E-2</v>
      </c>
      <c r="P21" s="314">
        <f t="shared" si="5"/>
        <v>1.4795504781580543E-2</v>
      </c>
      <c r="Q21" s="314">
        <f t="shared" si="5"/>
        <v>1.4795504781580543E-2</v>
      </c>
    </row>
    <row r="23" spans="2:17" x14ac:dyDescent="0.25">
      <c r="B23" s="1" t="s">
        <v>41</v>
      </c>
    </row>
    <row r="24" spans="2:17" x14ac:dyDescent="0.25">
      <c r="B24" s="19" t="s">
        <v>46</v>
      </c>
      <c r="C24" s="291">
        <f>'Historical balance Sheet'!C33</f>
        <v>0</v>
      </c>
      <c r="D24" s="291">
        <f>'Historical balance Sheet'!D33</f>
        <v>0</v>
      </c>
      <c r="E24" s="291">
        <f>'Historical balance Sheet'!E33</f>
        <v>32.03</v>
      </c>
      <c r="F24" s="291">
        <f>'Historical balance Sheet'!F33</f>
        <v>8.2799999999999994</v>
      </c>
      <c r="G24" s="291">
        <f>'Historical balance Sheet'!G33</f>
        <v>6.27</v>
      </c>
      <c r="H24" s="167">
        <f>H25*'Revenue Build_up'!H$18</f>
        <v>11.514218927808967</v>
      </c>
      <c r="I24" s="167">
        <f>I25*'Revenue Build_up'!I$18</f>
        <v>12.939204616964926</v>
      </c>
      <c r="J24" s="167">
        <f>J25*'Revenue Build_up'!J$18</f>
        <v>14.412437582390634</v>
      </c>
      <c r="K24" s="167">
        <f>K25*'Revenue Build_up'!K$18</f>
        <v>15.92213222623489</v>
      </c>
      <c r="L24" s="167">
        <f>L25*'Revenue Build_up'!L$18</f>
        <v>17.456539781852314</v>
      </c>
      <c r="M24" s="167">
        <f>M25*'Revenue Build_up'!M$18</f>
        <v>19.00423518239106</v>
      </c>
      <c r="N24" s="167">
        <f>N25*'Revenue Build_up'!N$18</f>
        <v>20.554356015620044</v>
      </c>
      <c r="O24" s="167">
        <f>O25*'Revenue Build_up'!O$18</f>
        <v>22.096790970471861</v>
      </c>
      <c r="P24" s="167">
        <f>P25*'Revenue Build_up'!P$18</f>
        <v>23.62231839329397</v>
      </c>
      <c r="Q24" s="167">
        <f>Q25*'Revenue Build_up'!Q$18</f>
        <v>25.122698017825886</v>
      </c>
    </row>
    <row r="25" spans="2:17" x14ac:dyDescent="0.25">
      <c r="B25" s="311" t="s">
        <v>86</v>
      </c>
      <c r="C25" s="312">
        <f>C24/'Revenue Build_up'!C$18</f>
        <v>0</v>
      </c>
      <c r="D25" s="312">
        <f>D24/'Revenue Build_up'!D$18</f>
        <v>0</v>
      </c>
      <c r="E25" s="312">
        <f>E24/'Revenue Build_up'!E$18</f>
        <v>4.8394066400950057E-3</v>
      </c>
      <c r="F25" s="312">
        <f>F24/'Revenue Build_up'!F$18</f>
        <v>1.2996797890374833E-3</v>
      </c>
      <c r="G25" s="313">
        <f>G24/'Revenue Build_up'!G$18</f>
        <v>8.6229185347364717E-4</v>
      </c>
      <c r="H25" s="314">
        <f>AVERAGE(C25:G25)</f>
        <v>1.4002756565212272E-3</v>
      </c>
      <c r="I25" s="314">
        <f>H25</f>
        <v>1.4002756565212272E-3</v>
      </c>
      <c r="J25" s="314">
        <f t="shared" ref="J25:Q25" si="6">I25</f>
        <v>1.4002756565212272E-3</v>
      </c>
      <c r="K25" s="314">
        <f t="shared" si="6"/>
        <v>1.4002756565212272E-3</v>
      </c>
      <c r="L25" s="314">
        <f t="shared" si="6"/>
        <v>1.4002756565212272E-3</v>
      </c>
      <c r="M25" s="314">
        <f t="shared" si="6"/>
        <v>1.4002756565212272E-3</v>
      </c>
      <c r="N25" s="314">
        <f t="shared" si="6"/>
        <v>1.4002756565212272E-3</v>
      </c>
      <c r="O25" s="314">
        <f t="shared" si="6"/>
        <v>1.4002756565212272E-3</v>
      </c>
      <c r="P25" s="314">
        <f t="shared" si="6"/>
        <v>1.4002756565212272E-3</v>
      </c>
      <c r="Q25" s="314">
        <f t="shared" si="6"/>
        <v>1.4002756565212272E-3</v>
      </c>
    </row>
    <row r="26" spans="2:17" x14ac:dyDescent="0.25">
      <c r="B26" s="19" t="s">
        <v>48</v>
      </c>
      <c r="C26" s="291">
        <f>'Historical balance Sheet'!C34</f>
        <v>187.48</v>
      </c>
      <c r="D26" s="291">
        <f>'Historical balance Sheet'!D34</f>
        <v>407.3</v>
      </c>
      <c r="E26" s="291">
        <f>'Historical balance Sheet'!E34</f>
        <v>160.74</v>
      </c>
      <c r="F26" s="291">
        <f>'Historical balance Sheet'!F34</f>
        <v>16.71</v>
      </c>
      <c r="G26" s="291">
        <f>'Historical balance Sheet'!G34</f>
        <v>16.32</v>
      </c>
      <c r="H26" s="167">
        <f>H27*'Revenue Build_up'!H$18</f>
        <v>226.43815192017524</v>
      </c>
      <c r="I26" s="167">
        <f>I27*'Revenue Build_up'!I$18</f>
        <v>254.46186138655182</v>
      </c>
      <c r="J26" s="167">
        <f>J27*'Revenue Build_up'!J$18</f>
        <v>283.43439978715321</v>
      </c>
      <c r="K26" s="167">
        <f>K27*'Revenue Build_up'!K$18</f>
        <v>313.12399204340636</v>
      </c>
      <c r="L26" s="167">
        <f>L27*'Revenue Build_up'!L$18</f>
        <v>343.29958739770444</v>
      </c>
      <c r="M26" s="167">
        <f>M27*'Revenue Build_up'!M$18</f>
        <v>373.73650095915582</v>
      </c>
      <c r="N26" s="167">
        <f>N27*'Revenue Build_up'!N$18</f>
        <v>404.22111297930667</v>
      </c>
      <c r="O26" s="167">
        <f>O27*'Revenue Build_up'!O$18</f>
        <v>434.55457483403842</v>
      </c>
      <c r="P26" s="167">
        <f>P27*'Revenue Build_up'!P$18</f>
        <v>464.55553386505795</v>
      </c>
      <c r="Q26" s="167">
        <f>Q27*'Revenue Build_up'!Q$18</f>
        <v>494.06193733782425</v>
      </c>
    </row>
    <row r="27" spans="2:17" x14ac:dyDescent="0.25">
      <c r="B27" s="311" t="s">
        <v>86</v>
      </c>
      <c r="C27" s="312">
        <f>C26/'Revenue Build_up'!C$18</f>
        <v>4.1605823217416391E-2</v>
      </c>
      <c r="D27" s="312">
        <f>D26/'Revenue Build_up'!D$18</f>
        <v>6.6929476740651153E-2</v>
      </c>
      <c r="E27" s="312">
        <f>E26/'Revenue Build_up'!E$18</f>
        <v>2.4286176188850178E-2</v>
      </c>
      <c r="F27" s="312">
        <f>F26/'Revenue Build_up'!F$18</f>
        <v>2.6229045017894144E-3</v>
      </c>
      <c r="G27" s="313">
        <f>G26/'Revenue Build_up'!G$18</f>
        <v>2.24443429803667E-3</v>
      </c>
      <c r="H27" s="314">
        <f>AVERAGE(C27:G27)</f>
        <v>2.7537762989348763E-2</v>
      </c>
      <c r="I27" s="314">
        <f>H27</f>
        <v>2.7537762989348763E-2</v>
      </c>
      <c r="J27" s="314">
        <f t="shared" ref="J27:Q27" si="7">I27</f>
        <v>2.7537762989348763E-2</v>
      </c>
      <c r="K27" s="314">
        <f t="shared" si="7"/>
        <v>2.7537762989348763E-2</v>
      </c>
      <c r="L27" s="314">
        <f t="shared" si="7"/>
        <v>2.7537762989348763E-2</v>
      </c>
      <c r="M27" s="314">
        <f t="shared" si="7"/>
        <v>2.7537762989348763E-2</v>
      </c>
      <c r="N27" s="314">
        <f t="shared" si="7"/>
        <v>2.7537762989348763E-2</v>
      </c>
      <c r="O27" s="314">
        <f t="shared" si="7"/>
        <v>2.7537762989348763E-2</v>
      </c>
      <c r="P27" s="314">
        <f t="shared" si="7"/>
        <v>2.7537762989348763E-2</v>
      </c>
      <c r="Q27" s="314">
        <f t="shared" si="7"/>
        <v>2.7537762989348763E-2</v>
      </c>
    </row>
    <row r="28" spans="2:17" x14ac:dyDescent="0.25">
      <c r="B28" t="s">
        <v>49</v>
      </c>
      <c r="C28" s="291">
        <f>'Historical balance Sheet'!C35</f>
        <v>0</v>
      </c>
      <c r="D28" s="291">
        <f>'Historical balance Sheet'!D35</f>
        <v>55.42</v>
      </c>
      <c r="E28" s="291">
        <f>'Historical balance Sheet'!E35</f>
        <v>55.48</v>
      </c>
      <c r="F28" s="291">
        <f>'Historical balance Sheet'!F35</f>
        <v>71.16</v>
      </c>
      <c r="G28" s="291">
        <f>'Historical balance Sheet'!G35</f>
        <v>13.89</v>
      </c>
      <c r="H28" s="167">
        <f>H29*'Revenue Build_up'!H$18</f>
        <v>50.273184938126661</v>
      </c>
      <c r="I28" s="167">
        <f>I29*'Revenue Build_up'!I$18</f>
        <v>56.494932981504661</v>
      </c>
      <c r="J28" s="167">
        <f>J29*'Revenue Build_up'!J$18</f>
        <v>62.927337453935948</v>
      </c>
      <c r="K28" s="167">
        <f>K29*'Revenue Build_up'!K$18</f>
        <v>69.518940280487726</v>
      </c>
      <c r="L28" s="167">
        <f>L29*'Revenue Build_up'!L$18</f>
        <v>76.218444198005514</v>
      </c>
      <c r="M28" s="167">
        <f>M29*'Revenue Build_up'!M$18</f>
        <v>82.975965275814175</v>
      </c>
      <c r="N28" s="167">
        <f>N29*'Revenue Build_up'!N$18</f>
        <v>89.744076236180703</v>
      </c>
      <c r="O28" s="167">
        <f>O29*'Revenue Build_up'!O$18</f>
        <v>96.478629246373643</v>
      </c>
      <c r="P28" s="167">
        <f>P29*'Revenue Build_up'!P$18</f>
        <v>103.13936088058738</v>
      </c>
      <c r="Q28" s="167">
        <f>Q29*'Revenue Build_up'!Q$18</f>
        <v>109.69029262979316</v>
      </c>
    </row>
    <row r="29" spans="2:17" x14ac:dyDescent="0.25">
      <c r="B29" s="311" t="s">
        <v>86</v>
      </c>
      <c r="C29" s="312">
        <f>C28/'Revenue Build_up'!C$18</f>
        <v>0</v>
      </c>
      <c r="D29" s="312">
        <f>D28/'Revenue Build_up'!D$18</f>
        <v>9.1068784703336285E-3</v>
      </c>
      <c r="E29" s="312">
        <f>E28/'Revenue Build_up'!E$18</f>
        <v>8.3824627034802032E-3</v>
      </c>
      <c r="F29" s="312">
        <f>F28/'Revenue Build_up'!F$18</f>
        <v>1.1169711810133735E-2</v>
      </c>
      <c r="G29" s="313">
        <f>G28/'Revenue Build_up'!G$18</f>
        <v>1.9102446323363573E-3</v>
      </c>
      <c r="H29" s="314">
        <f>AVERAGE(C29:G29)</f>
        <v>6.1138595232567853E-3</v>
      </c>
      <c r="I29" s="314">
        <f>H29</f>
        <v>6.1138595232567853E-3</v>
      </c>
      <c r="J29" s="314">
        <f t="shared" ref="J29:Q29" si="8">I29</f>
        <v>6.1138595232567853E-3</v>
      </c>
      <c r="K29" s="314">
        <f t="shared" si="8"/>
        <v>6.1138595232567853E-3</v>
      </c>
      <c r="L29" s="314">
        <f t="shared" si="8"/>
        <v>6.1138595232567853E-3</v>
      </c>
      <c r="M29" s="314">
        <f t="shared" si="8"/>
        <v>6.1138595232567853E-3</v>
      </c>
      <c r="N29" s="314">
        <f t="shared" si="8"/>
        <v>6.1138595232567853E-3</v>
      </c>
      <c r="O29" s="314">
        <f t="shared" si="8"/>
        <v>6.1138595232567853E-3</v>
      </c>
      <c r="P29" s="314">
        <f t="shared" si="8"/>
        <v>6.1138595232567853E-3</v>
      </c>
      <c r="Q29" s="314">
        <f t="shared" si="8"/>
        <v>6.1138595232567853E-3</v>
      </c>
    </row>
    <row r="30" spans="2:17" x14ac:dyDescent="0.25">
      <c r="B30" t="s">
        <v>50</v>
      </c>
      <c r="C30" s="291">
        <f>'Historical balance Sheet'!C36</f>
        <v>38.39</v>
      </c>
      <c r="D30" s="291">
        <f>'Historical balance Sheet'!D36</f>
        <v>36.909999999999997</v>
      </c>
      <c r="E30" s="291">
        <f>'Historical balance Sheet'!E36</f>
        <v>38.75</v>
      </c>
      <c r="F30" s="291">
        <f>'Historical balance Sheet'!F36</f>
        <v>332.84</v>
      </c>
      <c r="G30" s="291">
        <f>'Historical balance Sheet'!G36</f>
        <v>323.20999999999998</v>
      </c>
      <c r="H30" s="167">
        <f>H31*'Revenue Build_up'!H$18</f>
        <v>192.63461451218012</v>
      </c>
      <c r="I30" s="167">
        <f>I31*'Revenue Build_up'!I$18</f>
        <v>216.47483942339485</v>
      </c>
      <c r="J30" s="167">
        <f>J31*'Revenue Build_up'!J$18</f>
        <v>241.12224852345966</v>
      </c>
      <c r="K30" s="167">
        <f>K31*'Revenue Build_up'!K$18</f>
        <v>266.37966698765604</v>
      </c>
      <c r="L30" s="167">
        <f>L31*'Revenue Build_up'!L$18</f>
        <v>292.05053618287855</v>
      </c>
      <c r="M30" s="167">
        <f>M31*'Revenue Build_up'!M$18</f>
        <v>317.94371302225522</v>
      </c>
      <c r="N30" s="167">
        <f>N31*'Revenue Build_up'!N$18</f>
        <v>343.87746771534808</v>
      </c>
      <c r="O30" s="167">
        <f>O31*'Revenue Build_up'!O$18</f>
        <v>369.68263650716051</v>
      </c>
      <c r="P30" s="167">
        <f>P31*'Revenue Build_up'!P$18</f>
        <v>395.20493974505951</v>
      </c>
      <c r="Q30" s="167">
        <f>Q31*'Revenue Build_up'!Q$18</f>
        <v>420.30651653509136</v>
      </c>
    </row>
    <row r="31" spans="2:17" x14ac:dyDescent="0.25">
      <c r="B31" s="311" t="s">
        <v>86</v>
      </c>
      <c r="C31" s="312">
        <f>C30/'Revenue Build_up'!C$18</f>
        <v>8.5195623710081908E-3</v>
      </c>
      <c r="D31" s="312">
        <f>D30/'Revenue Build_up'!D$18</f>
        <v>6.0652270721763659E-3</v>
      </c>
      <c r="E31" s="312">
        <f>E30/'Revenue Build_up'!E$18</f>
        <v>5.8547301687068825E-3</v>
      </c>
      <c r="F31" s="312">
        <f>F30/'Revenue Build_up'!F$18</f>
        <v>5.2244616060777294E-2</v>
      </c>
      <c r="G31" s="313">
        <f>G30/'Revenue Build_up'!G$18</f>
        <v>4.4449976070369615E-2</v>
      </c>
      <c r="H31" s="314">
        <f>AVERAGE(C31:G31)</f>
        <v>2.342682234860767E-2</v>
      </c>
      <c r="I31" s="314">
        <f>H31</f>
        <v>2.342682234860767E-2</v>
      </c>
      <c r="J31" s="314">
        <f t="shared" ref="J31:Q31" si="9">I31</f>
        <v>2.342682234860767E-2</v>
      </c>
      <c r="K31" s="314">
        <f t="shared" si="9"/>
        <v>2.342682234860767E-2</v>
      </c>
      <c r="L31" s="314">
        <f t="shared" si="9"/>
        <v>2.342682234860767E-2</v>
      </c>
      <c r="M31" s="314">
        <f t="shared" si="9"/>
        <v>2.342682234860767E-2</v>
      </c>
      <c r="N31" s="314">
        <f t="shared" si="9"/>
        <v>2.342682234860767E-2</v>
      </c>
      <c r="O31" s="314">
        <f t="shared" si="9"/>
        <v>2.342682234860767E-2</v>
      </c>
      <c r="P31" s="314">
        <f t="shared" si="9"/>
        <v>2.342682234860767E-2</v>
      </c>
      <c r="Q31" s="314">
        <f t="shared" si="9"/>
        <v>2.342682234860767E-2</v>
      </c>
    </row>
    <row r="34" spans="2:17" x14ac:dyDescent="0.25">
      <c r="B34" s="1" t="s">
        <v>59</v>
      </c>
    </row>
    <row r="35" spans="2:17" x14ac:dyDescent="0.25">
      <c r="B35" s="1" t="s">
        <v>60</v>
      </c>
    </row>
    <row r="36" spans="2:17" x14ac:dyDescent="0.25">
      <c r="B36" t="s">
        <v>62</v>
      </c>
      <c r="C36" s="291">
        <f>'Historical balance Sheet'!C52</f>
        <v>1268.05</v>
      </c>
      <c r="D36" s="291">
        <f>'Historical balance Sheet'!D52</f>
        <v>929.85</v>
      </c>
      <c r="E36" s="291">
        <f>'Historical balance Sheet'!E52</f>
        <v>634.71</v>
      </c>
      <c r="F36" s="291">
        <f>'Historical balance Sheet'!F52</f>
        <v>1523.87</v>
      </c>
      <c r="G36" s="291">
        <f>'Historical balance Sheet'!G52</f>
        <v>1867.42</v>
      </c>
      <c r="H36" s="167">
        <f>H37*'Revenue Build_up'!H$18</f>
        <v>1687.5189674343583</v>
      </c>
      <c r="I36" s="167">
        <f>I37*'Revenue Build_up'!I$18</f>
        <v>1896.3642563636342</v>
      </c>
      <c r="J36" s="167">
        <f>J37*'Revenue Build_up'!J$18</f>
        <v>2112.2806453252019</v>
      </c>
      <c r="K36" s="167">
        <f>K37*'Revenue Build_up'!K$18</f>
        <v>2333.5408421734855</v>
      </c>
      <c r="L36" s="167">
        <f>L37*'Revenue Build_up'!L$18</f>
        <v>2558.4229527285706</v>
      </c>
      <c r="M36" s="167">
        <f>M37*'Revenue Build_up'!M$18</f>
        <v>2785.2525241128837</v>
      </c>
      <c r="N36" s="167">
        <f>N37*'Revenue Build_up'!N$18</f>
        <v>3012.4375658677595</v>
      </c>
      <c r="O36" s="167">
        <f>O37*'Revenue Build_up'!O$18</f>
        <v>3238.4961685976191</v>
      </c>
      <c r="P36" s="167">
        <f>P37*'Revenue Build_up'!P$18</f>
        <v>3462.0768107144731</v>
      </c>
      <c r="Q36" s="167">
        <f>Q37*'Revenue Build_up'!Q$18</f>
        <v>3681.971802343875</v>
      </c>
    </row>
    <row r="37" spans="2:17" x14ac:dyDescent="0.25">
      <c r="B37" s="311" t="s">
        <v>86</v>
      </c>
      <c r="C37" s="312">
        <f>C36/'Revenue Build_up'!C$18</f>
        <v>0.28140742548989151</v>
      </c>
      <c r="D37" s="312">
        <f>D36/'Revenue Build_up'!D$18</f>
        <v>0.15279738263514478</v>
      </c>
      <c r="E37" s="312">
        <f>E36/'Revenue Build_up'!E$18</f>
        <v>9.5898213816256669E-2</v>
      </c>
      <c r="F37" s="312">
        <f>F36/'Revenue Build_up'!F$18</f>
        <v>0.23919601933823065</v>
      </c>
      <c r="G37" s="313">
        <f>G36/'Revenue Build_up'!G$18</f>
        <v>0.25681994465929159</v>
      </c>
      <c r="H37" s="314">
        <f>AVERAGE(C37:G37)</f>
        <v>0.20522379718776301</v>
      </c>
      <c r="I37" s="314">
        <f>H37</f>
        <v>0.20522379718776301</v>
      </c>
      <c r="J37" s="314">
        <f t="shared" ref="J37:Q37" si="10">I37</f>
        <v>0.20522379718776301</v>
      </c>
      <c r="K37" s="314">
        <f t="shared" si="10"/>
        <v>0.20522379718776301</v>
      </c>
      <c r="L37" s="314">
        <f t="shared" si="10"/>
        <v>0.20522379718776301</v>
      </c>
      <c r="M37" s="314">
        <f t="shared" si="10"/>
        <v>0.20522379718776301</v>
      </c>
      <c r="N37" s="314">
        <f t="shared" si="10"/>
        <v>0.20522379718776301</v>
      </c>
      <c r="O37" s="314">
        <f t="shared" si="10"/>
        <v>0.20522379718776301</v>
      </c>
      <c r="P37" s="314">
        <f t="shared" si="10"/>
        <v>0.20522379718776301</v>
      </c>
      <c r="Q37" s="314">
        <f t="shared" si="10"/>
        <v>0.20522379718776301</v>
      </c>
    </row>
    <row r="38" spans="2:17" x14ac:dyDescent="0.25">
      <c r="B38" t="s">
        <v>63</v>
      </c>
      <c r="C38" s="291">
        <f>'Historical balance Sheet'!C53</f>
        <v>0</v>
      </c>
      <c r="D38" s="291">
        <f>'Historical balance Sheet'!D53</f>
        <v>14.91</v>
      </c>
      <c r="E38" s="291">
        <f>'Historical balance Sheet'!E53</f>
        <v>25.26</v>
      </c>
      <c r="F38" s="291">
        <f>'Historical balance Sheet'!F53</f>
        <v>49.31</v>
      </c>
      <c r="G38" s="291">
        <f>'Historical balance Sheet'!G53</f>
        <v>47.13</v>
      </c>
      <c r="H38" s="167">
        <f>H39*'Revenue Build_up'!H$18</f>
        <v>33.694236540488923</v>
      </c>
      <c r="I38" s="167">
        <f>I39*'Revenue Build_up'!I$18</f>
        <v>37.86419415361631</v>
      </c>
      <c r="J38" s="167">
        <f>J39*'Revenue Build_up'!J$18</f>
        <v>42.175338515863174</v>
      </c>
      <c r="K38" s="167">
        <f>K39*'Revenue Build_up'!K$18</f>
        <v>46.593181250357475</v>
      </c>
      <c r="L38" s="167">
        <f>L39*'Revenue Build_up'!L$18</f>
        <v>51.08334175995315</v>
      </c>
      <c r="M38" s="167">
        <f>M39*'Revenue Build_up'!M$18</f>
        <v>55.612386695205437</v>
      </c>
      <c r="N38" s="167">
        <f>N39*'Revenue Build_up'!N$18</f>
        <v>60.148529211569425</v>
      </c>
      <c r="O38" s="167">
        <f>O39*'Revenue Build_up'!O$18</f>
        <v>64.662180423426747</v>
      </c>
      <c r="P38" s="167">
        <f>P39*'Revenue Build_up'!P$18</f>
        <v>69.126354863381721</v>
      </c>
      <c r="Q38" s="167">
        <f>Q39*'Revenue Build_up'!Q$18</f>
        <v>73.5169389131092</v>
      </c>
    </row>
    <row r="39" spans="2:17" x14ac:dyDescent="0.25">
      <c r="B39" s="311" t="s">
        <v>86</v>
      </c>
      <c r="C39" s="312">
        <f>C38/'Revenue Build_up'!C$18</f>
        <v>0</v>
      </c>
      <c r="D39" s="312">
        <f>D38/'Revenue Build_up'!D$18</f>
        <v>2.4500822445448285E-3</v>
      </c>
      <c r="E39" s="312">
        <f>E38/'Revenue Build_up'!E$18</f>
        <v>3.816528620942861E-3</v>
      </c>
      <c r="F39" s="312">
        <f>F38/'Revenue Build_up'!F$18</f>
        <v>7.7400012557292648E-3</v>
      </c>
      <c r="G39" s="313">
        <f>G38/'Revenue Build_up'!G$18</f>
        <v>6.4816291952492812E-3</v>
      </c>
      <c r="H39" s="314">
        <f>AVERAGE(C39:G39)</f>
        <v>4.0976482632932472E-3</v>
      </c>
      <c r="I39" s="314">
        <f>H39</f>
        <v>4.0976482632932472E-3</v>
      </c>
      <c r="J39" s="314">
        <f t="shared" ref="J39:Q39" si="11">I39</f>
        <v>4.0976482632932472E-3</v>
      </c>
      <c r="K39" s="314">
        <f t="shared" si="11"/>
        <v>4.0976482632932472E-3</v>
      </c>
      <c r="L39" s="314">
        <f t="shared" si="11"/>
        <v>4.0976482632932472E-3</v>
      </c>
      <c r="M39" s="314">
        <f t="shared" si="11"/>
        <v>4.0976482632932472E-3</v>
      </c>
      <c r="N39" s="314">
        <f t="shared" si="11"/>
        <v>4.0976482632932472E-3</v>
      </c>
      <c r="O39" s="314">
        <f t="shared" si="11"/>
        <v>4.0976482632932472E-3</v>
      </c>
      <c r="P39" s="314">
        <f t="shared" si="11"/>
        <v>4.0976482632932472E-3</v>
      </c>
      <c r="Q39" s="314">
        <f t="shared" si="11"/>
        <v>4.0976482632932472E-3</v>
      </c>
    </row>
    <row r="40" spans="2:17" x14ac:dyDescent="0.25">
      <c r="B40" t="s">
        <v>64</v>
      </c>
      <c r="C40" s="291">
        <f>'Historical balance Sheet'!C54</f>
        <v>224.41</v>
      </c>
      <c r="D40" s="291">
        <f>'Historical balance Sheet'!D54</f>
        <v>223.58</v>
      </c>
      <c r="E40" s="291">
        <f>'Historical balance Sheet'!E54</f>
        <v>216.81</v>
      </c>
      <c r="F40" s="291">
        <f>'Historical balance Sheet'!F54</f>
        <v>175.29</v>
      </c>
      <c r="G40" s="291">
        <f>'Historical balance Sheet'!G54</f>
        <v>112.16</v>
      </c>
      <c r="H40" s="167">
        <f>H41*'Revenue Build_up'!H$18</f>
        <v>266.81165521117504</v>
      </c>
      <c r="I40" s="167">
        <f>I41*'Revenue Build_up'!I$18</f>
        <v>299.83194019617542</v>
      </c>
      <c r="J40" s="167">
        <f>J41*'Revenue Build_up'!J$18</f>
        <v>333.97022855784195</v>
      </c>
      <c r="K40" s="167">
        <f>K41*'Revenue Build_up'!K$18</f>
        <v>368.95342015016826</v>
      </c>
      <c r="L40" s="167">
        <f>L41*'Revenue Build_up'!L$18</f>
        <v>404.50926829320179</v>
      </c>
      <c r="M40" s="167">
        <f>M41*'Revenue Build_up'!M$18</f>
        <v>440.37302719595561</v>
      </c>
      <c r="N40" s="167">
        <f>N41*'Revenue Build_up'!N$18</f>
        <v>476.29298910429264</v>
      </c>
      <c r="O40" s="167">
        <f>O41*'Revenue Build_up'!O$18</f>
        <v>512.03485105253492</v>
      </c>
      <c r="P40" s="167">
        <f>P41*'Revenue Build_up'!P$18</f>
        <v>547.38492553914693</v>
      </c>
      <c r="Q40" s="167">
        <f>Q41*'Revenue Build_up'!Q$18</f>
        <v>582.15226612702122</v>
      </c>
    </row>
    <row r="41" spans="2:17" x14ac:dyDescent="0.25">
      <c r="B41" s="311" t="s">
        <v>86</v>
      </c>
      <c r="C41" s="312">
        <f>C40/'Revenue Build_up'!C$18</f>
        <v>4.9801380351079651E-2</v>
      </c>
      <c r="D41" s="312">
        <f>D40/'Revenue Build_up'!D$18</f>
        <v>3.6739730934629969E-2</v>
      </c>
      <c r="E41" s="312">
        <f>E40/'Revenue Build_up'!E$18</f>
        <v>3.2757781880705529E-2</v>
      </c>
      <c r="F41" s="312">
        <f>F40/'Revenue Build_up'!F$18</f>
        <v>2.7514597852702955E-2</v>
      </c>
      <c r="G41" s="313">
        <f>G40/'Revenue Build_up'!G$18</f>
        <v>1.5424984734546135E-2</v>
      </c>
      <c r="H41" s="314">
        <f>AVERAGE(C41:G41)</f>
        <v>3.2447695150732848E-2</v>
      </c>
      <c r="I41" s="314">
        <f>H41</f>
        <v>3.2447695150732848E-2</v>
      </c>
      <c r="J41" s="314">
        <f t="shared" ref="J41:Q41" si="12">I41</f>
        <v>3.2447695150732848E-2</v>
      </c>
      <c r="K41" s="314">
        <f t="shared" si="12"/>
        <v>3.2447695150732848E-2</v>
      </c>
      <c r="L41" s="314">
        <f t="shared" si="12"/>
        <v>3.2447695150732848E-2</v>
      </c>
      <c r="M41" s="314">
        <f t="shared" si="12"/>
        <v>3.2447695150732848E-2</v>
      </c>
      <c r="N41" s="314">
        <f t="shared" si="12"/>
        <v>3.2447695150732848E-2</v>
      </c>
      <c r="O41" s="314">
        <f t="shared" si="12"/>
        <v>3.2447695150732848E-2</v>
      </c>
      <c r="P41" s="314">
        <f t="shared" si="12"/>
        <v>3.2447695150732848E-2</v>
      </c>
      <c r="Q41" s="314">
        <f t="shared" si="12"/>
        <v>3.2447695150732848E-2</v>
      </c>
    </row>
    <row r="42" spans="2:17" x14ac:dyDescent="0.25">
      <c r="B42" t="s">
        <v>65</v>
      </c>
      <c r="C42" s="291">
        <f>'Historical balance Sheet'!C56</f>
        <v>0</v>
      </c>
      <c r="D42" s="291">
        <f>'Historical balance Sheet'!D56</f>
        <v>0</v>
      </c>
      <c r="E42" s="291">
        <f>'Historical balance Sheet'!E56</f>
        <v>0</v>
      </c>
      <c r="F42" s="291">
        <f>'Historical balance Sheet'!F56</f>
        <v>13.76</v>
      </c>
      <c r="G42" s="291">
        <f>'Historical balance Sheet'!G56</f>
        <v>15.19</v>
      </c>
      <c r="H42" s="167">
        <f>H43*'Revenue Build_up'!H$18</f>
        <v>8.7344544108611455</v>
      </c>
      <c r="I42" s="167">
        <f>I43*'Revenue Build_up'!I$18</f>
        <v>9.8154198342301378</v>
      </c>
      <c r="J42" s="167">
        <f>J43*'Revenue Build_up'!J$18</f>
        <v>10.932984668958987</v>
      </c>
      <c r="K42" s="167">
        <f>K43*'Revenue Build_up'!K$18</f>
        <v>12.078208598055161</v>
      </c>
      <c r="L42" s="167">
        <f>L43*'Revenue Build_up'!L$18</f>
        <v>13.24217924393653</v>
      </c>
      <c r="M42" s="167">
        <f>M43*'Revenue Build_up'!M$18</f>
        <v>14.416229781160208</v>
      </c>
      <c r="N42" s="167">
        <f>N43*'Revenue Build_up'!N$18</f>
        <v>15.59212020273838</v>
      </c>
      <c r="O42" s="167">
        <f>O43*'Revenue Build_up'!O$18</f>
        <v>16.762180271887637</v>
      </c>
      <c r="P42" s="167">
        <f>P43*'Revenue Build_up'!P$18</f>
        <v>17.919414628008546</v>
      </c>
      <c r="Q42" s="167">
        <f>Q43*'Revenue Build_up'!Q$18</f>
        <v>19.057572371197537</v>
      </c>
    </row>
    <row r="43" spans="2:17" x14ac:dyDescent="0.25">
      <c r="B43" s="311" t="s">
        <v>86</v>
      </c>
      <c r="C43" s="312">
        <f>C42/'Revenue Build_up'!C$18</f>
        <v>0</v>
      </c>
      <c r="D43" s="312">
        <f>D42/'Revenue Build_up'!D$18</f>
        <v>0</v>
      </c>
      <c r="E43" s="312">
        <f>E42/'Revenue Build_up'!E$18</f>
        <v>0</v>
      </c>
      <c r="F43" s="312">
        <f>F42/'Revenue Build_up'!F$18</f>
        <v>2.1598543354052866E-3</v>
      </c>
      <c r="G43" s="313">
        <f>G42/'Revenue Build_up'!G$18</f>
        <v>2.0890292271554547E-3</v>
      </c>
      <c r="H43" s="314">
        <f>AVERAGE(D43:G43)</f>
        <v>1.0622208906401853E-3</v>
      </c>
      <c r="I43" s="314">
        <f>H43</f>
        <v>1.0622208906401853E-3</v>
      </c>
      <c r="J43" s="314">
        <f t="shared" ref="J43:Q43" si="13">I43</f>
        <v>1.0622208906401853E-3</v>
      </c>
      <c r="K43" s="314">
        <f t="shared" si="13"/>
        <v>1.0622208906401853E-3</v>
      </c>
      <c r="L43" s="314">
        <f t="shared" si="13"/>
        <v>1.0622208906401853E-3</v>
      </c>
      <c r="M43" s="314">
        <f t="shared" si="13"/>
        <v>1.0622208906401853E-3</v>
      </c>
      <c r="N43" s="314">
        <f t="shared" si="13"/>
        <v>1.0622208906401853E-3</v>
      </c>
      <c r="O43" s="314">
        <f t="shared" si="13"/>
        <v>1.0622208906401853E-3</v>
      </c>
      <c r="P43" s="314">
        <f t="shared" si="13"/>
        <v>1.0622208906401853E-3</v>
      </c>
      <c r="Q43" s="314">
        <f t="shared" si="13"/>
        <v>1.0622208906401853E-3</v>
      </c>
    </row>
    <row r="44" spans="2:17" x14ac:dyDescent="0.25">
      <c r="B44" t="s">
        <v>414</v>
      </c>
      <c r="C44" s="291">
        <f>'Historical balance Sheet'!C55</f>
        <v>233.94</v>
      </c>
      <c r="D44" s="291">
        <f>'Historical balance Sheet'!D55</f>
        <v>0</v>
      </c>
      <c r="E44" s="291">
        <f>'Historical balance Sheet'!E55</f>
        <v>0</v>
      </c>
      <c r="F44" s="291">
        <f>'Historical balance Sheet'!F55</f>
        <v>0</v>
      </c>
      <c r="G44" s="291">
        <f>'Historical balance Sheet'!G55</f>
        <v>0</v>
      </c>
      <c r="H44" s="167">
        <f>H45*'Revenue Build_up'!H$18</f>
        <v>85.379695145643481</v>
      </c>
      <c r="I44" s="167">
        <f>I45*'Revenue Build_up'!I$18</f>
        <v>95.946182068451364</v>
      </c>
      <c r="J44" s="167">
        <f>J45*'Revenue Build_up'!J$18</f>
        <v>106.87042992713739</v>
      </c>
      <c r="K44" s="167">
        <f>K45*'Revenue Build_up'!K$18</f>
        <v>118.06504671031517</v>
      </c>
      <c r="L44" s="167">
        <f>L45*'Revenue Build_up'!L$18</f>
        <v>129.44291351562498</v>
      </c>
      <c r="M44" s="167">
        <f>M45*'Revenue Build_up'!M$18</f>
        <v>140.9193117242057</v>
      </c>
      <c r="N44" s="167">
        <f>N45*'Revenue Build_up'!N$18</f>
        <v>152.41369488730106</v>
      </c>
      <c r="O44" s="167">
        <f>O45*'Revenue Build_up'!O$18</f>
        <v>163.85108608620993</v>
      </c>
      <c r="P44" s="167">
        <f>P45*'Revenue Build_up'!P$18</f>
        <v>175.16310534808929</v>
      </c>
      <c r="Q44" s="167">
        <f>Q45*'Revenue Build_up'!Q$18</f>
        <v>186.28864983777069</v>
      </c>
    </row>
    <row r="45" spans="2:17" x14ac:dyDescent="0.25">
      <c r="B45" s="311" t="s">
        <v>86</v>
      </c>
      <c r="C45" s="312">
        <f>C44/'Revenue Build_up'!C$18</f>
        <v>5.1916291249639382E-2</v>
      </c>
      <c r="D45" s="312">
        <f>D44/'Revenue Build_up'!D$18</f>
        <v>0</v>
      </c>
      <c r="E45" s="312">
        <f>E44/'Revenue Build_up'!E$18</f>
        <v>0</v>
      </c>
      <c r="F45" s="312">
        <f>F44/'Revenue Build_up'!F$18</f>
        <v>0</v>
      </c>
      <c r="G45" s="313">
        <f>G44/'Revenue Build_up'!G$18</f>
        <v>0</v>
      </c>
      <c r="H45" s="314">
        <f>AVERAGE(C45:G45)</f>
        <v>1.0383258249927876E-2</v>
      </c>
      <c r="I45" s="314">
        <f>H45</f>
        <v>1.0383258249927876E-2</v>
      </c>
      <c r="J45" s="314">
        <f t="shared" ref="J45:Q45" si="14">I45</f>
        <v>1.0383258249927876E-2</v>
      </c>
      <c r="K45" s="314">
        <f t="shared" si="14"/>
        <v>1.0383258249927876E-2</v>
      </c>
      <c r="L45" s="314">
        <f t="shared" si="14"/>
        <v>1.0383258249927876E-2</v>
      </c>
      <c r="M45" s="314">
        <f t="shared" si="14"/>
        <v>1.0383258249927876E-2</v>
      </c>
      <c r="N45" s="314">
        <f t="shared" si="14"/>
        <v>1.0383258249927876E-2</v>
      </c>
      <c r="O45" s="314">
        <f t="shared" si="14"/>
        <v>1.0383258249927876E-2</v>
      </c>
      <c r="P45" s="314">
        <f t="shared" si="14"/>
        <v>1.0383258249927876E-2</v>
      </c>
      <c r="Q45" s="314">
        <f t="shared" si="14"/>
        <v>1.0383258249927876E-2</v>
      </c>
    </row>
    <row r="47" spans="2:17" x14ac:dyDescent="0.25">
      <c r="B47" s="1" t="s">
        <v>67</v>
      </c>
    </row>
    <row r="48" spans="2:17" x14ac:dyDescent="0.25">
      <c r="B48" t="s">
        <v>62</v>
      </c>
      <c r="C48" s="291">
        <f>'Historical balance Sheet'!C61</f>
        <v>1224.07</v>
      </c>
      <c r="D48" s="291">
        <f>'Historical balance Sheet'!D61</f>
        <v>1638.12</v>
      </c>
      <c r="E48" s="291">
        <f>'Historical balance Sheet'!E61</f>
        <v>2239.3200000000002</v>
      </c>
      <c r="F48" s="291">
        <f>'Historical balance Sheet'!F61</f>
        <v>2040.42</v>
      </c>
      <c r="G48" s="291">
        <f>'Historical balance Sheet'!G61</f>
        <v>1922.13</v>
      </c>
      <c r="H48" s="167">
        <f>H49*'Revenue Build_up'!H$18</f>
        <v>2407.2978113791974</v>
      </c>
      <c r="I48" s="167">
        <f>I49*'Revenue Build_up'!I$18</f>
        <v>2705.2220520297592</v>
      </c>
      <c r="J48" s="167">
        <f>J49*'Revenue Build_up'!J$18</f>
        <v>3013.2334347867359</v>
      </c>
      <c r="K48" s="167">
        <f>K49*'Revenue Build_up'!K$18</f>
        <v>3328.8679241744362</v>
      </c>
      <c r="L48" s="167">
        <f>L49*'Revenue Build_up'!L$18</f>
        <v>3649.6691850815373</v>
      </c>
      <c r="M48" s="167">
        <f>M49*'Revenue Build_up'!M$18</f>
        <v>3973.2485588765039</v>
      </c>
      <c r="N48" s="167">
        <f>N49*'Revenue Build_up'!N$18</f>
        <v>4297.3350221096216</v>
      </c>
      <c r="O48" s="167">
        <f>O49*'Revenue Build_up'!O$18</f>
        <v>4619.8145853600408</v>
      </c>
      <c r="P48" s="167">
        <f>P49*'Revenue Build_up'!P$18</f>
        <v>4938.759261432604</v>
      </c>
      <c r="Q48" s="167">
        <f>Q49*'Revenue Build_up'!Q$18</f>
        <v>5252.4462435039904</v>
      </c>
    </row>
    <row r="49" spans="2:17" x14ac:dyDescent="0.25">
      <c r="B49" s="311" t="s">
        <v>86</v>
      </c>
      <c r="C49" s="312">
        <f>C48/'Revenue Build_up'!C$18</f>
        <v>0.27164732251836399</v>
      </c>
      <c r="D49" s="312">
        <f>D48/'Revenue Build_up'!D$18</f>
        <v>0.26918368386544428</v>
      </c>
      <c r="E49" s="312">
        <f>E48/'Revenue Build_up'!E$18</f>
        <v>0.33833843513261158</v>
      </c>
      <c r="F49" s="312">
        <f>F48/'Revenue Build_up'!F$18</f>
        <v>0.32027688830288192</v>
      </c>
      <c r="G49" s="313">
        <f>G48/'Revenue Build_up'!G$18</f>
        <v>0.26434402556894759</v>
      </c>
      <c r="H49" s="314">
        <f>AVERAGE(C49:G49)</f>
        <v>0.29275807107764984</v>
      </c>
      <c r="I49" s="314">
        <f>H49</f>
        <v>0.29275807107764984</v>
      </c>
      <c r="J49" s="314">
        <f t="shared" ref="J49:Q49" si="15">I49</f>
        <v>0.29275807107764984</v>
      </c>
      <c r="K49" s="314">
        <f t="shared" si="15"/>
        <v>0.29275807107764984</v>
      </c>
      <c r="L49" s="314">
        <f t="shared" si="15"/>
        <v>0.29275807107764984</v>
      </c>
      <c r="M49" s="314">
        <f t="shared" si="15"/>
        <v>0.29275807107764984</v>
      </c>
      <c r="N49" s="314">
        <f t="shared" si="15"/>
        <v>0.29275807107764984</v>
      </c>
      <c r="O49" s="314">
        <f t="shared" si="15"/>
        <v>0.29275807107764984</v>
      </c>
      <c r="P49" s="314">
        <f t="shared" si="15"/>
        <v>0.29275807107764984</v>
      </c>
      <c r="Q49" s="314">
        <f t="shared" si="15"/>
        <v>0.29275807107764984</v>
      </c>
    </row>
    <row r="50" spans="2:17" x14ac:dyDescent="0.25">
      <c r="B50" t="s">
        <v>63</v>
      </c>
      <c r="C50" s="291">
        <f>'Historical balance Sheet'!C62</f>
        <v>0</v>
      </c>
      <c r="D50" s="291">
        <f>'Historical balance Sheet'!D62</f>
        <v>4.07</v>
      </c>
      <c r="E50" s="291">
        <f>'Historical balance Sheet'!E62</f>
        <v>8.02</v>
      </c>
      <c r="F50" s="291">
        <f>'Historical balance Sheet'!F62</f>
        <v>9.07</v>
      </c>
      <c r="G50" s="291">
        <f>'Historical balance Sheet'!G62</f>
        <v>11.11</v>
      </c>
      <c r="H50" s="167">
        <f>H51*'Revenue Build_up'!H$18</f>
        <v>7.9467759322900271</v>
      </c>
      <c r="I50" s="167">
        <f>I51*'Revenue Build_up'!I$18</f>
        <v>8.9302592279821589</v>
      </c>
      <c r="J50" s="167">
        <f>J51*'Revenue Build_up'!J$18</f>
        <v>9.9470413775750952</v>
      </c>
      <c r="K50" s="167">
        <f>K51*'Revenue Build_up'!K$18</f>
        <v>10.988988307369286</v>
      </c>
      <c r="L50" s="167">
        <f>L51*'Revenue Build_up'!L$18</f>
        <v>12.047991363482344</v>
      </c>
      <c r="M50" s="167">
        <f>M51*'Revenue Build_up'!M$18</f>
        <v>13.116165300127971</v>
      </c>
      <c r="N50" s="167">
        <f>N51*'Revenue Build_up'!N$18</f>
        <v>14.186013199223765</v>
      </c>
      <c r="O50" s="167">
        <f>O51*'Revenue Build_up'!O$18</f>
        <v>15.250556530663765</v>
      </c>
      <c r="P50" s="167">
        <f>P51*'Revenue Build_up'!P$18</f>
        <v>16.303430779776036</v>
      </c>
      <c r="Q50" s="167">
        <f>Q51*'Revenue Build_up'!Q$18</f>
        <v>17.338948756660418</v>
      </c>
    </row>
    <row r="51" spans="2:17" x14ac:dyDescent="0.25">
      <c r="B51" s="311" t="s">
        <v>86</v>
      </c>
      <c r="C51" s="312">
        <f>C50/'Revenue Build_up'!C$18</f>
        <v>0</v>
      </c>
      <c r="D51" s="312">
        <f>D50/'Revenue Build_up'!D$18</f>
        <v>6.6880179311183457E-4</v>
      </c>
      <c r="E51" s="312">
        <f>E50/'Revenue Build_up'!E$18</f>
        <v>1.211740282658818E-3</v>
      </c>
      <c r="F51" s="312">
        <f>F50/'Revenue Build_up'!F$18</f>
        <v>1.4236830539335718E-3</v>
      </c>
      <c r="G51" s="313">
        <f>G50/'Revenue Build_up'!G$18</f>
        <v>1.5279206526462869E-3</v>
      </c>
      <c r="H51" s="314">
        <f>AVERAGE(C51:G51)</f>
        <v>9.6642915647010227E-4</v>
      </c>
      <c r="I51" s="314">
        <f>H51</f>
        <v>9.6642915647010227E-4</v>
      </c>
      <c r="J51" s="314">
        <f t="shared" ref="J51:Q51" si="16">I51</f>
        <v>9.6642915647010227E-4</v>
      </c>
      <c r="K51" s="314">
        <f t="shared" si="16"/>
        <v>9.6642915647010227E-4</v>
      </c>
      <c r="L51" s="314">
        <f t="shared" si="16"/>
        <v>9.6642915647010227E-4</v>
      </c>
      <c r="M51" s="314">
        <f t="shared" si="16"/>
        <v>9.6642915647010227E-4</v>
      </c>
      <c r="N51" s="314">
        <f t="shared" si="16"/>
        <v>9.6642915647010227E-4</v>
      </c>
      <c r="O51" s="314">
        <f t="shared" si="16"/>
        <v>9.6642915647010227E-4</v>
      </c>
      <c r="P51" s="314">
        <f t="shared" si="16"/>
        <v>9.6642915647010227E-4</v>
      </c>
      <c r="Q51" s="314">
        <f t="shared" si="16"/>
        <v>9.6642915647010227E-4</v>
      </c>
    </row>
    <row r="52" spans="2:17" x14ac:dyDescent="0.25">
      <c r="B52" t="s">
        <v>69</v>
      </c>
      <c r="C52" s="291">
        <f>'Historical balance Sheet'!C66</f>
        <v>0</v>
      </c>
      <c r="D52" s="291">
        <f>'Historical balance Sheet'!D66</f>
        <v>2.23</v>
      </c>
      <c r="E52" s="291">
        <f>'Historical balance Sheet'!E66</f>
        <v>191.26</v>
      </c>
      <c r="F52" s="291">
        <f>'Historical balance Sheet'!F66</f>
        <v>136.56</v>
      </c>
      <c r="G52" s="291">
        <f>'Historical balance Sheet'!G66</f>
        <v>202.26</v>
      </c>
      <c r="H52" s="167">
        <f>H53*'Revenue Build_up'!H$18</f>
        <v>129.12350394469925</v>
      </c>
      <c r="I52" s="167">
        <f>I53*'Revenue Build_up'!I$18</f>
        <v>145.10367128461994</v>
      </c>
      <c r="J52" s="167">
        <f>J53*'Revenue Build_up'!J$18</f>
        <v>161.62489637294695</v>
      </c>
      <c r="K52" s="167">
        <f>K53*'Revenue Build_up'!K$18</f>
        <v>178.55501239053513</v>
      </c>
      <c r="L52" s="167">
        <f>L53*'Revenue Build_up'!L$18</f>
        <v>195.76226555314668</v>
      </c>
      <c r="M52" s="167">
        <f>M53*'Revenue Build_up'!M$18</f>
        <v>213.11853213185466</v>
      </c>
      <c r="N52" s="167">
        <f>N53*'Revenue Build_up'!N$18</f>
        <v>230.50199815583193</v>
      </c>
      <c r="O52" s="167">
        <f>O53*'Revenue Build_up'!O$18</f>
        <v>247.79927270184834</v>
      </c>
      <c r="P52" s="167">
        <f>P53*'Revenue Build_up'!P$18</f>
        <v>264.90694170080849</v>
      </c>
      <c r="Q52" s="167">
        <f>Q53*'Revenue Build_up'!Q$18</f>
        <v>281.73259662203719</v>
      </c>
    </row>
    <row r="53" spans="2:17" x14ac:dyDescent="0.25">
      <c r="B53" s="311" t="s">
        <v>86</v>
      </c>
      <c r="C53" s="312">
        <f>C52/'Revenue Build_up'!C$18</f>
        <v>0</v>
      </c>
      <c r="D53" s="312">
        <f>D52/'Revenue Build_up'!D$18</f>
        <v>3.6644422570992406E-4</v>
      </c>
      <c r="E53" s="312">
        <f>E52/'Revenue Build_up'!E$18</f>
        <v>2.8897437214629118E-2</v>
      </c>
      <c r="F53" s="312">
        <f>F52/'Revenue Build_up'!F$18</f>
        <v>2.1435298549632699E-2</v>
      </c>
      <c r="G53" s="313">
        <f>G52/'Revenue Build_up'!G$18</f>
        <v>2.7816132421623584E-2</v>
      </c>
      <c r="H53" s="314">
        <f>AVERAGE(C53:G53)</f>
        <v>1.5703062482319063E-2</v>
      </c>
      <c r="I53" s="314">
        <f>H53</f>
        <v>1.5703062482319063E-2</v>
      </c>
      <c r="J53" s="314">
        <f t="shared" ref="J53:Q53" si="17">I53</f>
        <v>1.5703062482319063E-2</v>
      </c>
      <c r="K53" s="314">
        <f t="shared" si="17"/>
        <v>1.5703062482319063E-2</v>
      </c>
      <c r="L53" s="314">
        <f t="shared" si="17"/>
        <v>1.5703062482319063E-2</v>
      </c>
      <c r="M53" s="314">
        <f t="shared" si="17"/>
        <v>1.5703062482319063E-2</v>
      </c>
      <c r="N53" s="314">
        <f t="shared" si="17"/>
        <v>1.5703062482319063E-2</v>
      </c>
      <c r="O53" s="314">
        <f t="shared" si="17"/>
        <v>1.5703062482319063E-2</v>
      </c>
      <c r="P53" s="314">
        <f t="shared" si="17"/>
        <v>1.5703062482319063E-2</v>
      </c>
      <c r="Q53" s="314">
        <f t="shared" si="17"/>
        <v>1.5703062482319063E-2</v>
      </c>
    </row>
    <row r="54" spans="2:17" x14ac:dyDescent="0.25">
      <c r="B54" t="s">
        <v>70</v>
      </c>
      <c r="C54" s="291">
        <f>'Historical balance Sheet'!C67</f>
        <v>559.62</v>
      </c>
      <c r="D54" s="291">
        <f>'Historical balance Sheet'!D67</f>
        <v>144.69999999999999</v>
      </c>
      <c r="E54" s="291">
        <f>'Historical balance Sheet'!E67</f>
        <v>99.26</v>
      </c>
      <c r="F54" s="291">
        <f>'Historical balance Sheet'!F67</f>
        <v>124.97</v>
      </c>
      <c r="G54" s="291">
        <f>'Historical balance Sheet'!G67</f>
        <v>77.510000000000005</v>
      </c>
      <c r="H54" s="167">
        <f>H55*'Revenue Build_up'!H$18</f>
        <v>317.7995588406651</v>
      </c>
      <c r="I54" s="167">
        <f>I55*'Revenue Build_up'!I$18</f>
        <v>357.13004458245388</v>
      </c>
      <c r="J54" s="167">
        <f>J55*'Revenue Build_up'!J$18</f>
        <v>397.79218496881066</v>
      </c>
      <c r="K54" s="167">
        <f>K55*'Revenue Build_up'!K$18</f>
        <v>439.46069021488182</v>
      </c>
      <c r="L54" s="167">
        <f>L55*'Revenue Build_up'!L$18</f>
        <v>481.81128709985802</v>
      </c>
      <c r="M54" s="167">
        <f>M55*'Revenue Build_up'!M$18</f>
        <v>524.52863671729631</v>
      </c>
      <c r="N54" s="167">
        <f>N55*'Revenue Build_up'!N$18</f>
        <v>567.31292977603846</v>
      </c>
      <c r="O54" s="167">
        <f>O55*'Revenue Build_up'!O$18</f>
        <v>609.88508784126691</v>
      </c>
      <c r="P54" s="167">
        <f>P55*'Revenue Build_up'!P$18</f>
        <v>651.99058757267221</v>
      </c>
      <c r="Q54" s="167">
        <f>Q55*'Revenue Build_up'!Q$18</f>
        <v>693.40199252851835</v>
      </c>
    </row>
    <row r="55" spans="2:17" x14ac:dyDescent="0.25">
      <c r="B55" s="311" t="s">
        <v>86</v>
      </c>
      <c r="C55" s="312">
        <f>C54/'Revenue Build_up'!C$18</f>
        <v>0.1241916513171035</v>
      </c>
      <c r="D55" s="312">
        <f>D54/'Revenue Build_up'!D$18</f>
        <v>2.3777793479921976E-2</v>
      </c>
      <c r="E55" s="312">
        <f>E54/'Revenue Build_up'!E$18</f>
        <v>1.4997174620537941E-2</v>
      </c>
      <c r="F55" s="312">
        <f>F54/'Revenue Build_up'!F$18</f>
        <v>1.9616060777296416E-2</v>
      </c>
      <c r="G55" s="313">
        <f>G54/'Revenue Build_up'!G$18</f>
        <v>1.0659687649560191E-2</v>
      </c>
      <c r="H55" s="314">
        <f>AVERAGE(C55:G55)</f>
        <v>3.8648473568883998E-2</v>
      </c>
      <c r="I55" s="314">
        <f>H55</f>
        <v>3.8648473568883998E-2</v>
      </c>
      <c r="J55" s="314">
        <f t="shared" ref="J55:Q55" si="18">I55</f>
        <v>3.8648473568883998E-2</v>
      </c>
      <c r="K55" s="314">
        <f t="shared" si="18"/>
        <v>3.8648473568883998E-2</v>
      </c>
      <c r="L55" s="314">
        <f t="shared" si="18"/>
        <v>3.8648473568883998E-2</v>
      </c>
      <c r="M55" s="314">
        <f t="shared" si="18"/>
        <v>3.8648473568883998E-2</v>
      </c>
      <c r="N55" s="314">
        <f t="shared" si="18"/>
        <v>3.8648473568883998E-2</v>
      </c>
      <c r="O55" s="314">
        <f t="shared" si="18"/>
        <v>3.8648473568883998E-2</v>
      </c>
      <c r="P55" s="314">
        <f t="shared" si="18"/>
        <v>3.8648473568883998E-2</v>
      </c>
      <c r="Q55" s="314">
        <f t="shared" si="18"/>
        <v>3.8648473568883998E-2</v>
      </c>
    </row>
    <row r="56" spans="2:17" x14ac:dyDescent="0.25">
      <c r="B56" t="s">
        <v>65</v>
      </c>
      <c r="C56" s="291">
        <f>'Historical balance Sheet'!C68</f>
        <v>40.119999999999997</v>
      </c>
      <c r="D56" s="291">
        <f>'Historical balance Sheet'!D68</f>
        <v>31.68</v>
      </c>
      <c r="E56" s="291">
        <f>'Historical balance Sheet'!E68</f>
        <v>29.86</v>
      </c>
      <c r="F56" s="291">
        <f>'Historical balance Sheet'!F68</f>
        <v>26.51</v>
      </c>
      <c r="G56" s="291">
        <f>'Historical balance Sheet'!G68</f>
        <v>15.91</v>
      </c>
      <c r="H56" s="167">
        <f>H57*'Revenue Build_up'!H$18</f>
        <v>41.064873514255211</v>
      </c>
      <c r="I56" s="167">
        <f>I57*'Revenue Build_up'!I$18</f>
        <v>46.147012168357413</v>
      </c>
      <c r="J56" s="167">
        <f>J57*'Revenue Build_up'!J$18</f>
        <v>51.401222268195248</v>
      </c>
      <c r="K56" s="167">
        <f>K57*'Revenue Build_up'!K$18</f>
        <v>56.785471081189641</v>
      </c>
      <c r="L56" s="167">
        <f>L57*'Revenue Build_up'!L$18</f>
        <v>62.257857231375269</v>
      </c>
      <c r="M56" s="167">
        <f>M57*'Revenue Build_up'!M$18</f>
        <v>67.777633801561805</v>
      </c>
      <c r="N56" s="167">
        <f>N57*'Revenue Build_up'!N$18</f>
        <v>73.306060553516318</v>
      </c>
      <c r="O56" s="167">
        <f>O57*'Revenue Build_up'!O$18</f>
        <v>78.807076012930423</v>
      </c>
      <c r="P56" s="167">
        <f>P57*'Revenue Build_up'!P$18</f>
        <v>84.247791623210944</v>
      </c>
      <c r="Q56" s="167">
        <f>Q57*'Revenue Build_up'!Q$18</f>
        <v>89.59881889575675</v>
      </c>
    </row>
    <row r="57" spans="2:17" x14ac:dyDescent="0.25">
      <c r="B57" s="311" t="s">
        <v>86</v>
      </c>
      <c r="C57" s="312">
        <f>C56/'Revenue Build_up'!C$18</f>
        <v>8.903486385122391E-3</v>
      </c>
      <c r="D57" s="312">
        <f>D56/'Revenue Build_up'!D$18</f>
        <v>5.2058085517894146E-3</v>
      </c>
      <c r="E57" s="312">
        <f>E56/'Revenue Build_up'!E$18</f>
        <v>4.5115417506474201E-3</v>
      </c>
      <c r="F57" s="312">
        <f>F56/'Revenue Build_up'!F$18</f>
        <v>4.1611728511332961E-3</v>
      </c>
      <c r="G57" s="313">
        <f>G56/'Revenue Build_up'!G$18</f>
        <v>2.1880483873629548E-3</v>
      </c>
      <c r="H57" s="314">
        <f>AVERAGE(C57:G57)</f>
        <v>4.9940115852110962E-3</v>
      </c>
      <c r="I57" s="314">
        <f>H57</f>
        <v>4.9940115852110962E-3</v>
      </c>
      <c r="J57" s="314">
        <f t="shared" ref="J57:Q57" si="19">I57</f>
        <v>4.9940115852110962E-3</v>
      </c>
      <c r="K57" s="314">
        <f t="shared" si="19"/>
        <v>4.9940115852110962E-3</v>
      </c>
      <c r="L57" s="314">
        <f t="shared" si="19"/>
        <v>4.9940115852110962E-3</v>
      </c>
      <c r="M57" s="314">
        <f t="shared" si="19"/>
        <v>4.9940115852110962E-3</v>
      </c>
      <c r="N57" s="314">
        <f t="shared" si="19"/>
        <v>4.9940115852110962E-3</v>
      </c>
      <c r="O57" s="314">
        <f t="shared" si="19"/>
        <v>4.9940115852110962E-3</v>
      </c>
      <c r="P57" s="314">
        <f t="shared" si="19"/>
        <v>4.9940115852110962E-3</v>
      </c>
      <c r="Q57" s="314">
        <f t="shared" si="19"/>
        <v>4.9940115852110962E-3</v>
      </c>
    </row>
    <row r="61" spans="2:17" x14ac:dyDescent="0.25">
      <c r="B61" s="67"/>
      <c r="C61" s="67"/>
      <c r="D61" s="67"/>
      <c r="E61" s="67"/>
      <c r="F61" s="67"/>
      <c r="G61" s="67"/>
      <c r="H61" s="67"/>
      <c r="I61" s="67"/>
      <c r="J61" s="67"/>
      <c r="K61" s="67"/>
      <c r="L61" s="67"/>
      <c r="M61" s="67"/>
      <c r="N61" s="67"/>
      <c r="O61" s="67"/>
      <c r="P61" s="67"/>
      <c r="Q61" s="67"/>
    </row>
  </sheetData>
  <mergeCells count="1">
    <mergeCell ref="B8:Q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3"/>
  <sheetViews>
    <sheetView showGridLines="0" zoomScale="80" zoomScaleNormal="80" workbookViewId="0">
      <pane ySplit="11" topLeftCell="A12" activePane="bottomLeft" state="frozen"/>
      <selection pane="bottomLeft" activeCell="B16" sqref="B16"/>
    </sheetView>
  </sheetViews>
  <sheetFormatPr defaultRowHeight="15" x14ac:dyDescent="0.25"/>
  <cols>
    <col min="1" max="1" width="1.85546875" customWidth="1"/>
    <col min="2" max="2" width="44.28515625" bestFit="1" customWidth="1"/>
    <col min="3" max="7" width="9.140625" customWidth="1"/>
    <col min="8" max="17" width="11.140625" bestFit="1"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296</v>
      </c>
      <c r="C8" s="405"/>
      <c r="D8" s="405"/>
      <c r="E8" s="405"/>
      <c r="F8" s="405"/>
      <c r="G8" s="405"/>
      <c r="H8" s="405"/>
      <c r="I8" s="405"/>
      <c r="J8" s="405"/>
      <c r="K8" s="405"/>
      <c r="L8" s="405"/>
      <c r="M8" s="405"/>
      <c r="N8" s="405"/>
      <c r="O8" s="405"/>
      <c r="P8" s="405"/>
      <c r="Q8" s="405"/>
    </row>
    <row r="9" spans="2:17" x14ac:dyDescent="0.25">
      <c r="B9" s="104" t="s">
        <v>206</v>
      </c>
    </row>
    <row r="10" spans="2:17" x14ac:dyDescent="0.25">
      <c r="B10" s="57" t="s">
        <v>0</v>
      </c>
      <c r="C10" s="57">
        <v>2021</v>
      </c>
      <c r="D10" s="57">
        <f>C10+1</f>
        <v>2022</v>
      </c>
      <c r="E10" s="57">
        <f t="shared" ref="E10:G10" si="0">D10+1</f>
        <v>2023</v>
      </c>
      <c r="F10" s="57">
        <f t="shared" si="0"/>
        <v>2024</v>
      </c>
      <c r="G10" s="57">
        <f t="shared" si="0"/>
        <v>2025</v>
      </c>
      <c r="H10" s="57">
        <f>G10+1</f>
        <v>2026</v>
      </c>
      <c r="I10" s="57">
        <f t="shared" ref="I10:Q10" si="1">H10+1</f>
        <v>2027</v>
      </c>
      <c r="J10" s="57">
        <f t="shared" si="1"/>
        <v>2028</v>
      </c>
      <c r="K10" s="57">
        <f t="shared" si="1"/>
        <v>2029</v>
      </c>
      <c r="L10" s="57">
        <f t="shared" si="1"/>
        <v>2030</v>
      </c>
      <c r="M10" s="57">
        <f t="shared" si="1"/>
        <v>2031</v>
      </c>
      <c r="N10" s="57">
        <f t="shared" si="1"/>
        <v>2032</v>
      </c>
      <c r="O10" s="57">
        <f t="shared" si="1"/>
        <v>2033</v>
      </c>
      <c r="P10" s="57">
        <f t="shared" si="1"/>
        <v>2034</v>
      </c>
      <c r="Q10" s="57">
        <f t="shared" si="1"/>
        <v>2035</v>
      </c>
    </row>
    <row r="11" spans="2:17" x14ac:dyDescent="0.25">
      <c r="B11" s="228"/>
      <c r="C11" s="229" t="s">
        <v>82</v>
      </c>
      <c r="D11" s="229" t="s">
        <v>82</v>
      </c>
      <c r="E11" s="229" t="s">
        <v>82</v>
      </c>
      <c r="F11" s="229" t="s">
        <v>82</v>
      </c>
      <c r="G11" s="229" t="s">
        <v>82</v>
      </c>
      <c r="H11" s="229" t="s">
        <v>83</v>
      </c>
      <c r="I11" s="229" t="s">
        <v>83</v>
      </c>
      <c r="J11" s="229" t="s">
        <v>83</v>
      </c>
      <c r="K11" s="229" t="s">
        <v>83</v>
      </c>
      <c r="L11" s="229" t="s">
        <v>83</v>
      </c>
      <c r="M11" s="229" t="s">
        <v>83</v>
      </c>
      <c r="N11" s="229" t="s">
        <v>83</v>
      </c>
      <c r="O11" s="229" t="s">
        <v>83</v>
      </c>
      <c r="P11" s="229" t="s">
        <v>83</v>
      </c>
      <c r="Q11" s="229" t="s">
        <v>83</v>
      </c>
    </row>
    <row r="12" spans="2:17" ht="5.0999999999999996" customHeight="1" x14ac:dyDescent="0.25"/>
    <row r="13" spans="2:17" x14ac:dyDescent="0.25">
      <c r="B13" s="1" t="s">
        <v>84</v>
      </c>
      <c r="C13" s="283">
        <f>'Historical P&amp;L'!C14</f>
        <v>4506.0999999999995</v>
      </c>
      <c r="D13" s="283">
        <f>'Historical P&amp;L'!D14</f>
        <v>6085.51</v>
      </c>
      <c r="E13" s="283">
        <f>'Historical P&amp;L'!E14</f>
        <v>6618.58</v>
      </c>
      <c r="F13" s="283">
        <f>'Historical P&amp;L'!F14</f>
        <v>6370.8</v>
      </c>
      <c r="G13" s="283">
        <f>'Historical P&amp;L'!G14</f>
        <v>7271.32</v>
      </c>
      <c r="H13" s="283">
        <f>'Revenue Build_up'!H18</f>
        <v>8222.8230378683438</v>
      </c>
      <c r="I13" s="283">
        <f>'Revenue Build_up'!I18</f>
        <v>9240.469586617266</v>
      </c>
      <c r="J13" s="283">
        <f>'Revenue Build_up'!J18</f>
        <v>10292.571691345511</v>
      </c>
      <c r="K13" s="283">
        <f>'Revenue Build_up'!K18</f>
        <v>11370.712725086585</v>
      </c>
      <c r="L13" s="283">
        <f>'Revenue Build_up'!L18</f>
        <v>12466.50236369919</v>
      </c>
      <c r="M13" s="283">
        <f>'Revenue Build_up'!M18</f>
        <v>13571.781451663743</v>
      </c>
      <c r="N13" s="283">
        <f>'Revenue Build_up'!N18</f>
        <v>14678.792650501566</v>
      </c>
      <c r="O13" s="283">
        <f>'Revenue Build_up'!O18</f>
        <v>15780.315016950299</v>
      </c>
      <c r="P13" s="283">
        <f>'Revenue Build_up'!P18</f>
        <v>16869.762952231878</v>
      </c>
      <c r="Q13" s="283">
        <f>'Revenue Build_up'!Q18</f>
        <v>17941.25171056635</v>
      </c>
    </row>
    <row r="14" spans="2:17" x14ac:dyDescent="0.25">
      <c r="B14" t="s">
        <v>89</v>
      </c>
      <c r="C14" s="331">
        <f>-SUM('Historical P&amp;L'!C18:C20)</f>
        <v>-2128.56</v>
      </c>
      <c r="D14" s="331">
        <f>-SUM('Historical P&amp;L'!D18:D20)</f>
        <v>-2854.45</v>
      </c>
      <c r="E14" s="331">
        <f>-SUM('Historical P&amp;L'!E18:E20)</f>
        <v>-3841.67</v>
      </c>
      <c r="F14" s="331">
        <f>-SUM('Historical P&amp;L'!F18:F20)</f>
        <v>-3881.8799999999997</v>
      </c>
      <c r="G14" s="331">
        <f>-SUM('Historical P&amp;L'!G18:G20)</f>
        <v>-4655.119999999999</v>
      </c>
      <c r="H14" s="331">
        <f>-'Cost Build_up'!H25</f>
        <v>-4557.7359814123201</v>
      </c>
      <c r="I14" s="331">
        <f>-'Cost Build_up'!I25</f>
        <v>-5121.7958268246584</v>
      </c>
      <c r="J14" s="331">
        <f>-'Cost Build_up'!J25</f>
        <v>-5704.9536543440317</v>
      </c>
      <c r="K14" s="331">
        <f>-'Cost Build_up'!K25</f>
        <v>-6302.5443065919271</v>
      </c>
      <c r="L14" s="331">
        <f>-'Cost Build_up'!L25</f>
        <v>-6909.9172052866052</v>
      </c>
      <c r="M14" s="331">
        <f>-'Cost Build_up'!M25</f>
        <v>-7522.5499039983788</v>
      </c>
      <c r="N14" s="331">
        <f>-'Cost Build_up'!N25</f>
        <v>-8136.1426749401589</v>
      </c>
      <c r="O14" s="331">
        <f>-'Cost Build_up'!O25</f>
        <v>-8746.6931027887586</v>
      </c>
      <c r="P14" s="331">
        <f>-'Cost Build_up'!P25</f>
        <v>-9350.550930160347</v>
      </c>
      <c r="Q14" s="331">
        <f>-'Cost Build_up'!Q25</f>
        <v>-9944.4543675868463</v>
      </c>
    </row>
    <row r="15" spans="2:17" x14ac:dyDescent="0.25">
      <c r="B15" s="9" t="s">
        <v>122</v>
      </c>
      <c r="C15" s="59">
        <f>SUM(C13:C14)</f>
        <v>2377.5399999999995</v>
      </c>
      <c r="D15" s="59">
        <f t="shared" ref="D15:Q15" si="2">SUM(D13:D14)</f>
        <v>3231.0600000000004</v>
      </c>
      <c r="E15" s="59">
        <f t="shared" si="2"/>
        <v>2776.91</v>
      </c>
      <c r="F15" s="59">
        <f t="shared" si="2"/>
        <v>2488.9200000000005</v>
      </c>
      <c r="G15" s="59">
        <f t="shared" si="2"/>
        <v>2616.2000000000007</v>
      </c>
      <c r="H15" s="59">
        <f t="shared" si="2"/>
        <v>3665.0870564560237</v>
      </c>
      <c r="I15" s="59">
        <f t="shared" si="2"/>
        <v>4118.6737597926076</v>
      </c>
      <c r="J15" s="59">
        <f t="shared" si="2"/>
        <v>4587.618037001479</v>
      </c>
      <c r="K15" s="59">
        <f t="shared" si="2"/>
        <v>5068.168418494658</v>
      </c>
      <c r="L15" s="59">
        <f t="shared" si="2"/>
        <v>5556.5851584125849</v>
      </c>
      <c r="M15" s="59">
        <f t="shared" si="2"/>
        <v>6049.2315476653639</v>
      </c>
      <c r="N15" s="59">
        <f t="shared" si="2"/>
        <v>6542.6499755614068</v>
      </c>
      <c r="O15" s="59">
        <f t="shared" si="2"/>
        <v>7033.6219141615402</v>
      </c>
      <c r="P15" s="59">
        <f t="shared" si="2"/>
        <v>7519.2120220715315</v>
      </c>
      <c r="Q15" s="59">
        <f t="shared" si="2"/>
        <v>7996.7973429795038</v>
      </c>
    </row>
    <row r="16" spans="2:17" x14ac:dyDescent="0.25">
      <c r="B16" s="48" t="s">
        <v>123</v>
      </c>
      <c r="C16" s="49">
        <f>C15/C13</f>
        <v>0.52762699451854145</v>
      </c>
      <c r="D16" s="49">
        <f t="shared" ref="D16:Q16" si="3">D15/D13</f>
        <v>0.53094317485305265</v>
      </c>
      <c r="E16" s="49">
        <f t="shared" si="3"/>
        <v>0.41956280652345368</v>
      </c>
      <c r="F16" s="49">
        <f t="shared" si="3"/>
        <v>0.390676210209079</v>
      </c>
      <c r="G16" s="49">
        <f t="shared" si="3"/>
        <v>0.35979712074286385</v>
      </c>
      <c r="H16" s="49">
        <f t="shared" si="3"/>
        <v>0.44572126136939805</v>
      </c>
      <c r="I16" s="49">
        <f t="shared" si="3"/>
        <v>0.44572126136939799</v>
      </c>
      <c r="J16" s="49">
        <f t="shared" si="3"/>
        <v>0.44572126136939799</v>
      </c>
      <c r="K16" s="49">
        <f t="shared" si="3"/>
        <v>0.44572126136939805</v>
      </c>
      <c r="L16" s="49">
        <f t="shared" si="3"/>
        <v>0.44572126136939799</v>
      </c>
      <c r="M16" s="49">
        <f t="shared" si="3"/>
        <v>0.4457212613693981</v>
      </c>
      <c r="N16" s="49">
        <f t="shared" si="3"/>
        <v>0.44572126136939799</v>
      </c>
      <c r="O16" s="49">
        <f t="shared" si="3"/>
        <v>0.44572126136939799</v>
      </c>
      <c r="P16" s="49">
        <f t="shared" si="3"/>
        <v>0.44572126136939794</v>
      </c>
      <c r="Q16" s="49">
        <f t="shared" si="3"/>
        <v>0.44572126136939805</v>
      </c>
    </row>
    <row r="17" spans="2:17" ht="5.0999999999999996" customHeight="1" x14ac:dyDescent="0.25"/>
    <row r="18" spans="2:17" x14ac:dyDescent="0.25">
      <c r="B18" t="s">
        <v>124</v>
      </c>
      <c r="C18" s="330">
        <f>-'Cost Build_up'!C30</f>
        <v>-371.38</v>
      </c>
      <c r="D18" s="330">
        <f>-'Cost Build_up'!D30</f>
        <v>-356.96</v>
      </c>
      <c r="E18" s="330">
        <f>-'Cost Build_up'!E30</f>
        <v>-385.33</v>
      </c>
      <c r="F18" s="330">
        <f>-'Cost Build_up'!F30</f>
        <v>-403.74</v>
      </c>
      <c r="G18" s="330">
        <f>-'Cost Build_up'!G30</f>
        <v>-422.42</v>
      </c>
      <c r="H18" s="330">
        <f>-'Cost Build_up'!H30</f>
        <v>-527.51297841809446</v>
      </c>
      <c r="I18" s="330">
        <f>-'Cost Build_up'!I30</f>
        <v>-592.79734115279371</v>
      </c>
      <c r="J18" s="330">
        <f>-'Cost Build_up'!J30</f>
        <v>-660.29210691744993</v>
      </c>
      <c r="K18" s="330">
        <f>-'Cost Build_up'!K30</f>
        <v>-729.45732976662782</v>
      </c>
      <c r="L18" s="330">
        <f>-'Cost Build_up'!L30</f>
        <v>-799.75475114152243</v>
      </c>
      <c r="M18" s="330">
        <f>-'Cost Build_up'!M30</f>
        <v>-870.6609424812018</v>
      </c>
      <c r="N18" s="330">
        <f>-'Cost Build_up'!N30</f>
        <v>-941.67825271052538</v>
      </c>
      <c r="O18" s="330">
        <f>-'Cost Build_up'!O30</f>
        <v>-1012.3434417391043</v>
      </c>
      <c r="P18" s="330">
        <f>-'Cost Build_up'!P30</f>
        <v>-1082.2340282840401</v>
      </c>
      <c r="Q18" s="330">
        <f>-'Cost Build_up'!Q30</f>
        <v>-1150.9724923915019</v>
      </c>
    </row>
    <row r="19" spans="2:17" x14ac:dyDescent="0.25">
      <c r="B19" t="s">
        <v>125</v>
      </c>
      <c r="C19" s="330">
        <f>-'Cost Build_up'!C33</f>
        <v>-1024.6300000000001</v>
      </c>
      <c r="D19" s="330">
        <f>-'Cost Build_up'!D33</f>
        <v>-1153.99</v>
      </c>
      <c r="E19" s="330">
        <f>-'Cost Build_up'!E33</f>
        <v>-1302.6099999999999</v>
      </c>
      <c r="F19" s="330">
        <f>-'Cost Build_up'!F33</f>
        <v>-1111.03</v>
      </c>
      <c r="G19" s="330">
        <f>-'Cost Build_up'!G33</f>
        <v>-1193.33</v>
      </c>
      <c r="H19" s="330">
        <f>-'Cost Build_up'!H33</f>
        <v>-1566.1785654516643</v>
      </c>
      <c r="I19" s="330">
        <f>-'Cost Build_up'!I33</f>
        <v>-1760.006914245803</v>
      </c>
      <c r="J19" s="330">
        <f>-'Cost Build_up'!J33</f>
        <v>-1960.3979183454271</v>
      </c>
      <c r="K19" s="330">
        <f>-'Cost Build_up'!K33</f>
        <v>-2165.7484858820121</v>
      </c>
      <c r="L19" s="330">
        <f>-'Cost Build_up'!L33</f>
        <v>-2374.4605348140526</v>
      </c>
      <c r="M19" s="330">
        <f>-'Cost Build_up'!M33</f>
        <v>-2584.9800131537936</v>
      </c>
      <c r="N19" s="330">
        <f>-'Cost Build_up'!N33</f>
        <v>-2795.8294019038894</v>
      </c>
      <c r="O19" s="330">
        <f>-'Cost Build_up'!O33</f>
        <v>-3005.6333477936005</v>
      </c>
      <c r="P19" s="330">
        <f>-'Cost Build_up'!P33</f>
        <v>-3213.1375098746453</v>
      </c>
      <c r="Q19" s="330">
        <f>-'Cost Build_up'!Q33</f>
        <v>-3417.2210367482708</v>
      </c>
    </row>
    <row r="21" spans="2:17" x14ac:dyDescent="0.25">
      <c r="B21" s="9" t="s">
        <v>126</v>
      </c>
      <c r="C21" s="59">
        <f>SUM(C15,C18,C19)</f>
        <v>981.52999999999929</v>
      </c>
      <c r="D21" s="59">
        <f t="shared" ref="D21:Q21" si="4">SUM(D15,D18,D19)</f>
        <v>1720.1100000000004</v>
      </c>
      <c r="E21" s="59">
        <f t="shared" si="4"/>
        <v>1088.97</v>
      </c>
      <c r="F21" s="59">
        <f t="shared" si="4"/>
        <v>974.15000000000032</v>
      </c>
      <c r="G21" s="59">
        <f t="shared" si="4"/>
        <v>1000.4500000000007</v>
      </c>
      <c r="H21" s="59">
        <f t="shared" si="4"/>
        <v>1571.3955125862649</v>
      </c>
      <c r="I21" s="59">
        <f t="shared" si="4"/>
        <v>1765.8695043940108</v>
      </c>
      <c r="J21" s="59">
        <f t="shared" si="4"/>
        <v>1966.928011738602</v>
      </c>
      <c r="K21" s="59">
        <f t="shared" si="4"/>
        <v>2172.9626028460184</v>
      </c>
      <c r="L21" s="59">
        <f t="shared" si="4"/>
        <v>2382.3698724570099</v>
      </c>
      <c r="M21" s="59">
        <f t="shared" si="4"/>
        <v>2593.590592030369</v>
      </c>
      <c r="N21" s="59">
        <f t="shared" si="4"/>
        <v>2805.1423209469922</v>
      </c>
      <c r="O21" s="59">
        <f t="shared" si="4"/>
        <v>3015.6451246288352</v>
      </c>
      <c r="P21" s="59">
        <f t="shared" si="4"/>
        <v>3223.8404839128466</v>
      </c>
      <c r="Q21" s="59">
        <f t="shared" si="4"/>
        <v>3428.6038138397312</v>
      </c>
    </row>
    <row r="22" spans="2:17" x14ac:dyDescent="0.25">
      <c r="B22" s="48" t="s">
        <v>127</v>
      </c>
      <c r="C22" s="49">
        <f>C21/C13</f>
        <v>0.21782250726792557</v>
      </c>
      <c r="D22" s="49">
        <f t="shared" ref="D22:Q22" si="5">D21/D13</f>
        <v>0.28265667133896755</v>
      </c>
      <c r="E22" s="49">
        <f t="shared" si="5"/>
        <v>0.16453227127268991</v>
      </c>
      <c r="F22" s="49">
        <f t="shared" si="5"/>
        <v>0.15290858290952475</v>
      </c>
      <c r="G22" s="49">
        <f t="shared" si="5"/>
        <v>0.13758849837443557</v>
      </c>
      <c r="H22" s="49">
        <f t="shared" si="5"/>
        <v>0.19110170623270861</v>
      </c>
      <c r="I22" s="49">
        <f t="shared" si="5"/>
        <v>0.19110170623270858</v>
      </c>
      <c r="J22" s="49">
        <f t="shared" si="5"/>
        <v>0.19110170623270856</v>
      </c>
      <c r="K22" s="49">
        <f t="shared" si="5"/>
        <v>0.19110170623270864</v>
      </c>
      <c r="L22" s="49">
        <f t="shared" si="5"/>
        <v>0.19110170623270858</v>
      </c>
      <c r="M22" s="49">
        <f t="shared" si="5"/>
        <v>0.19110170623270867</v>
      </c>
      <c r="N22" s="49">
        <f t="shared" si="5"/>
        <v>0.19110170623270858</v>
      </c>
      <c r="O22" s="49">
        <f t="shared" si="5"/>
        <v>0.19110170623270856</v>
      </c>
      <c r="P22" s="49">
        <f t="shared" si="5"/>
        <v>0.19110170623270856</v>
      </c>
      <c r="Q22" s="49">
        <f t="shared" si="5"/>
        <v>0.19110170623270858</v>
      </c>
    </row>
    <row r="23" spans="2:17" ht="5.0999999999999996" customHeight="1" x14ac:dyDescent="0.25"/>
    <row r="24" spans="2:17" x14ac:dyDescent="0.25">
      <c r="B24" t="s">
        <v>97</v>
      </c>
      <c r="C24" s="330">
        <f>-'Historical P&amp;L'!C23</f>
        <v>-231.31</v>
      </c>
      <c r="D24" s="330">
        <f>-'Historical P&amp;L'!D23</f>
        <v>-246.4</v>
      </c>
      <c r="E24" s="330">
        <f>-'Historical P&amp;L'!E23</f>
        <v>-310.45</v>
      </c>
      <c r="F24" s="330">
        <f>-'Historical P&amp;L'!F23</f>
        <v>-378.12</v>
      </c>
      <c r="G24" s="330">
        <f>-'Historical P&amp;L'!G23</f>
        <v>-434.27</v>
      </c>
      <c r="H24" s="330">
        <f>'Dep and Capex Schedules'!H14</f>
        <v>-469.52217767850595</v>
      </c>
      <c r="I24" s="330">
        <f>'Dep and Capex Schedules'!I14</f>
        <v>-504.86252986527199</v>
      </c>
      <c r="J24" s="330">
        <f>'Dep and Capex Schedules'!J14</f>
        <v>-548.71175491089889</v>
      </c>
      <c r="K24" s="330">
        <f>'Dep and Capex Schedules'!K14</f>
        <v>-601.45653887063645</v>
      </c>
      <c r="L24" s="330">
        <f>'Dep and Capex Schedules'!L14</f>
        <v>-663.41881364518963</v>
      </c>
      <c r="M24" s="330">
        <f>'Dep and Capex Schedules'!M14</f>
        <v>-734.84978138035308</v>
      </c>
      <c r="N24" s="330">
        <f>'Dep and Capex Schedules'!N14</f>
        <v>-815.92622549234909</v>
      </c>
      <c r="O24" s="330">
        <f>'Dep and Capex Schedules'!O14</f>
        <v>-906.74901396137614</v>
      </c>
      <c r="P24" s="330">
        <f>'Dep and Capex Schedules'!P14</f>
        <v>-1007.343616193539</v>
      </c>
      <c r="Q24" s="330">
        <f>'Dep and Capex Schedules'!Q14</f>
        <v>-1117.6623942387303</v>
      </c>
    </row>
    <row r="25" spans="2:17" ht="5.0999999999999996" customHeight="1" x14ac:dyDescent="0.25"/>
    <row r="26" spans="2:17" x14ac:dyDescent="0.25">
      <c r="B26" s="9" t="s">
        <v>128</v>
      </c>
      <c r="C26" s="59">
        <f>C21+C24</f>
        <v>750.21999999999935</v>
      </c>
      <c r="D26" s="59">
        <f t="shared" ref="D26:Q26" si="6">D21+D24</f>
        <v>1473.7100000000003</v>
      </c>
      <c r="E26" s="59">
        <f t="shared" si="6"/>
        <v>778.52</v>
      </c>
      <c r="F26" s="59">
        <f t="shared" si="6"/>
        <v>596.03000000000031</v>
      </c>
      <c r="G26" s="59">
        <f t="shared" si="6"/>
        <v>566.18000000000075</v>
      </c>
      <c r="H26" s="59">
        <f t="shared" si="6"/>
        <v>1101.8733349077588</v>
      </c>
      <c r="I26" s="59">
        <f t="shared" si="6"/>
        <v>1261.0069745287387</v>
      </c>
      <c r="J26" s="59">
        <f t="shared" si="6"/>
        <v>1418.2162568277031</v>
      </c>
      <c r="K26" s="59">
        <f t="shared" si="6"/>
        <v>1571.5060639753819</v>
      </c>
      <c r="L26" s="59">
        <f t="shared" si="6"/>
        <v>1718.9510588118203</v>
      </c>
      <c r="M26" s="59">
        <f t="shared" si="6"/>
        <v>1858.7408106500159</v>
      </c>
      <c r="N26" s="59">
        <f t="shared" si="6"/>
        <v>1989.216095454643</v>
      </c>
      <c r="O26" s="59">
        <f t="shared" si="6"/>
        <v>2108.8961106674592</v>
      </c>
      <c r="P26" s="59">
        <f t="shared" si="6"/>
        <v>2216.4968677193074</v>
      </c>
      <c r="Q26" s="59">
        <f t="shared" si="6"/>
        <v>2310.9414196010011</v>
      </c>
    </row>
    <row r="27" spans="2:17" x14ac:dyDescent="0.25">
      <c r="B27" s="48" t="s">
        <v>129</v>
      </c>
      <c r="C27" s="49">
        <f>C26/C13</f>
        <v>0.16648986928829795</v>
      </c>
      <c r="D27" s="49">
        <f t="shared" ref="D27:Q27" si="7">D26/D13</f>
        <v>0.24216704926949428</v>
      </c>
      <c r="E27" s="49">
        <f t="shared" si="7"/>
        <v>0.11762643950817245</v>
      </c>
      <c r="F27" s="49">
        <f t="shared" si="7"/>
        <v>9.3556539210146339E-2</v>
      </c>
      <c r="G27" s="49">
        <f t="shared" si="7"/>
        <v>7.7864816842059051E-2</v>
      </c>
      <c r="H27" s="49">
        <f t="shared" si="7"/>
        <v>0.13400183000817742</v>
      </c>
      <c r="I27" s="49">
        <f t="shared" si="7"/>
        <v>0.13646568096009132</v>
      </c>
      <c r="J27" s="49">
        <f t="shared" si="7"/>
        <v>0.13779027237869107</v>
      </c>
      <c r="K27" s="49">
        <f t="shared" si="7"/>
        <v>0.13820646972359557</v>
      </c>
      <c r="L27" s="49">
        <f t="shared" si="7"/>
        <v>0.13788559201794875</v>
      </c>
      <c r="M27" s="49">
        <f t="shared" si="7"/>
        <v>0.13695628810926336</v>
      </c>
      <c r="N27" s="49">
        <f t="shared" si="7"/>
        <v>0.13551632908900532</v>
      </c>
      <c r="O27" s="49">
        <f t="shared" si="7"/>
        <v>0.13364093862525592</v>
      </c>
      <c r="P27" s="49">
        <f t="shared" si="7"/>
        <v>0.13138873818176938</v>
      </c>
      <c r="Q27" s="49">
        <f t="shared" si="7"/>
        <v>0.12880603075425287</v>
      </c>
    </row>
    <row r="28" spans="2:17" ht="5.0999999999999996" customHeight="1" x14ac:dyDescent="0.25"/>
    <row r="29" spans="2:17" x14ac:dyDescent="0.25">
      <c r="B29" t="s">
        <v>130</v>
      </c>
      <c r="C29" s="330">
        <f>-'Debt Schedules'!C17</f>
        <v>-86.37</v>
      </c>
      <c r="D29" s="330">
        <f>-'Debt Schedules'!D17</f>
        <v>-102.33</v>
      </c>
      <c r="E29" s="330">
        <f>-'Debt Schedules'!E17</f>
        <v>-168.28</v>
      </c>
      <c r="F29" s="330">
        <f>-'Debt Schedules'!F17</f>
        <v>-211.47</v>
      </c>
      <c r="G29" s="330">
        <f>-'Debt Schedules'!G17</f>
        <v>-275.44</v>
      </c>
      <c r="H29" s="330">
        <f>-'Debt Schedules'!H17</f>
        <v>-245.18181509374691</v>
      </c>
      <c r="I29" s="330">
        <f>-'Debt Schedules'!I17</f>
        <v>-263.57577449035801</v>
      </c>
      <c r="J29" s="330">
        <f>-'Debt Schedules'!J17</f>
        <v>-296.19559082456328</v>
      </c>
      <c r="K29" s="330">
        <f>-'Debt Schedules'!K17</f>
        <v>-329.9198514367157</v>
      </c>
      <c r="L29" s="330">
        <f>-'Debt Schedules'!L17</f>
        <v>-364.47876832808623</v>
      </c>
      <c r="M29" s="330">
        <f>-'Debt Schedules'!M17</f>
        <v>-399.60339661519828</v>
      </c>
      <c r="N29" s="330">
        <f>-'Debt Schedules'!N17</f>
        <v>-435.03220133306985</v>
      </c>
      <c r="O29" s="330">
        <f>-'Debt Schedules'!O17</f>
        <v>-470.51652742879713</v>
      </c>
      <c r="P29" s="330">
        <f>-'Debt Schedules'!P17</f>
        <v>-505.82491355338072</v>
      </c>
      <c r="Q29" s="330">
        <f>-'Debt Schedules'!Q17</f>
        <v>-540.74626379846666</v>
      </c>
    </row>
    <row r="30" spans="2:17" x14ac:dyDescent="0.25">
      <c r="B30" t="s">
        <v>5</v>
      </c>
      <c r="C30" s="292">
        <f>'Revenue Build_up'!C21</f>
        <v>0.7</v>
      </c>
      <c r="D30" s="292">
        <f>'Revenue Build_up'!D21</f>
        <v>0.77</v>
      </c>
      <c r="E30" s="292">
        <f>'Revenue Build_up'!E21</f>
        <v>0.86</v>
      </c>
      <c r="F30" s="292">
        <f>'Revenue Build_up'!F21</f>
        <v>10.86</v>
      </c>
      <c r="G30" s="292">
        <f>'Revenue Build_up'!G21</f>
        <v>14.12</v>
      </c>
      <c r="H30" s="292">
        <f>'Revenue Build_up'!H21</f>
        <v>6.6742031730850062</v>
      </c>
      <c r="I30" s="292">
        <f>'Revenue Build_up'!I21</f>
        <v>7.5001944164159333</v>
      </c>
      <c r="J30" s="292">
        <f>'Revenue Build_up'!J21</f>
        <v>8.354152135492301</v>
      </c>
      <c r="K30" s="292">
        <f>'Revenue Build_up'!K21</f>
        <v>9.2292448226740049</v>
      </c>
      <c r="L30" s="292">
        <f>'Revenue Build_up'!L21</f>
        <v>10.118662319485155</v>
      </c>
      <c r="M30" s="292">
        <f>'Revenue Build_up'!M21</f>
        <v>11.015782099646431</v>
      </c>
      <c r="N30" s="292">
        <f>'Revenue Build_up'!N21</f>
        <v>11.91430777895369</v>
      </c>
      <c r="O30" s="292">
        <f>'Revenue Build_up'!O21</f>
        <v>12.808378348090258</v>
      </c>
      <c r="P30" s="292">
        <f>'Revenue Build_up'!P21</f>
        <v>13.692648486591523</v>
      </c>
      <c r="Q30" s="292">
        <f>'Revenue Build_up'!Q21</f>
        <v>14.562341734016039</v>
      </c>
    </row>
    <row r="31" spans="2:17" ht="5.0999999999999996" customHeight="1" x14ac:dyDescent="0.25"/>
    <row r="32" spans="2:17" x14ac:dyDescent="0.25">
      <c r="B32" s="9" t="s">
        <v>131</v>
      </c>
      <c r="C32" s="59">
        <f>SUM(C26,C29,C30)</f>
        <v>664.54999999999939</v>
      </c>
      <c r="D32" s="59">
        <f t="shared" ref="D32:Q32" si="8">SUM(D26,D29,D30)</f>
        <v>1372.1500000000003</v>
      </c>
      <c r="E32" s="59">
        <f t="shared" si="8"/>
        <v>611.1</v>
      </c>
      <c r="F32" s="59">
        <f t="shared" si="8"/>
        <v>395.4200000000003</v>
      </c>
      <c r="G32" s="59">
        <f t="shared" si="8"/>
        <v>304.86000000000075</v>
      </c>
      <c r="H32" s="59">
        <f t="shared" si="8"/>
        <v>863.365722987097</v>
      </c>
      <c r="I32" s="59">
        <f t="shared" si="8"/>
        <v>1004.9313944547966</v>
      </c>
      <c r="J32" s="59">
        <f t="shared" si="8"/>
        <v>1130.3748181386322</v>
      </c>
      <c r="K32" s="59">
        <f t="shared" si="8"/>
        <v>1250.8154573613401</v>
      </c>
      <c r="L32" s="59">
        <f t="shared" si="8"/>
        <v>1364.5909528032191</v>
      </c>
      <c r="M32" s="59">
        <f t="shared" si="8"/>
        <v>1470.153196134464</v>
      </c>
      <c r="N32" s="59">
        <f t="shared" si="8"/>
        <v>1566.0982019005269</v>
      </c>
      <c r="O32" s="59">
        <f t="shared" si="8"/>
        <v>1651.1879615867522</v>
      </c>
      <c r="P32" s="59">
        <f t="shared" si="8"/>
        <v>1724.3646026525182</v>
      </c>
      <c r="Q32" s="59">
        <f t="shared" si="8"/>
        <v>1784.7574975365503</v>
      </c>
    </row>
    <row r="33" spans="1:18" ht="5.0999999999999996" customHeight="1" x14ac:dyDescent="0.25"/>
    <row r="34" spans="1:18" x14ac:dyDescent="0.25">
      <c r="B34" t="s">
        <v>132</v>
      </c>
      <c r="C34" s="345">
        <f>'Historical P&amp;L'!C28</f>
        <v>0</v>
      </c>
      <c r="D34" s="345">
        <f>'Historical P&amp;L'!D28</f>
        <v>0</v>
      </c>
      <c r="E34" s="345">
        <f>'Historical P&amp;L'!E28</f>
        <v>0</v>
      </c>
      <c r="F34" s="345">
        <f>'Historical P&amp;L'!F28</f>
        <v>0</v>
      </c>
      <c r="G34" s="345">
        <f>'Historical P&amp;L'!G28</f>
        <v>2.37</v>
      </c>
      <c r="H34" s="345">
        <f>'Historical P&amp;L'!H28</f>
        <v>0</v>
      </c>
      <c r="I34" s="345">
        <f>'Historical P&amp;L'!I28</f>
        <v>0</v>
      </c>
      <c r="J34" s="345">
        <f>'Historical P&amp;L'!J28</f>
        <v>0</v>
      </c>
      <c r="K34" s="345">
        <f>'Historical P&amp;L'!K28</f>
        <v>0</v>
      </c>
      <c r="L34" s="345">
        <f>'Historical P&amp;L'!L28</f>
        <v>0</v>
      </c>
      <c r="M34" s="345">
        <f>'Historical P&amp;L'!M28</f>
        <v>0</v>
      </c>
      <c r="N34" s="345">
        <f>'Historical P&amp;L'!N28</f>
        <v>0</v>
      </c>
      <c r="O34" s="345">
        <f>'Historical P&amp;L'!O28</f>
        <v>0</v>
      </c>
      <c r="P34" s="345">
        <f>'Historical P&amp;L'!P28</f>
        <v>0</v>
      </c>
      <c r="Q34" s="345">
        <f>'Historical P&amp;L'!Q28</f>
        <v>0</v>
      </c>
    </row>
    <row r="35" spans="1:18" ht="5.0999999999999996" customHeight="1" x14ac:dyDescent="0.25"/>
    <row r="36" spans="1:18" x14ac:dyDescent="0.25">
      <c r="B36" s="9" t="s">
        <v>133</v>
      </c>
      <c r="C36" s="59">
        <f>SUM(C32:C34)</f>
        <v>664.54999999999939</v>
      </c>
      <c r="D36" s="59">
        <f t="shared" ref="D36:Q36" si="9">SUM(D32:D34)</f>
        <v>1372.1500000000003</v>
      </c>
      <c r="E36" s="59">
        <f t="shared" si="9"/>
        <v>611.1</v>
      </c>
      <c r="F36" s="59">
        <f t="shared" si="9"/>
        <v>395.4200000000003</v>
      </c>
      <c r="G36" s="59">
        <f t="shared" si="9"/>
        <v>307.23000000000076</v>
      </c>
      <c r="H36" s="59">
        <f t="shared" si="9"/>
        <v>863.365722987097</v>
      </c>
      <c r="I36" s="59">
        <f t="shared" si="9"/>
        <v>1004.9313944547966</v>
      </c>
      <c r="J36" s="59">
        <f t="shared" si="9"/>
        <v>1130.3748181386322</v>
      </c>
      <c r="K36" s="59">
        <f t="shared" si="9"/>
        <v>1250.8154573613401</v>
      </c>
      <c r="L36" s="59">
        <f t="shared" si="9"/>
        <v>1364.5909528032191</v>
      </c>
      <c r="M36" s="59">
        <f t="shared" si="9"/>
        <v>1470.153196134464</v>
      </c>
      <c r="N36" s="59">
        <f t="shared" si="9"/>
        <v>1566.0982019005269</v>
      </c>
      <c r="O36" s="59">
        <f t="shared" si="9"/>
        <v>1651.1879615867522</v>
      </c>
      <c r="P36" s="59">
        <f t="shared" si="9"/>
        <v>1724.3646026525182</v>
      </c>
      <c r="Q36" s="59">
        <f t="shared" si="9"/>
        <v>1784.7574975365503</v>
      </c>
      <c r="R36" s="21"/>
    </row>
    <row r="37" spans="1:18" x14ac:dyDescent="0.25">
      <c r="B37" s="48" t="s">
        <v>134</v>
      </c>
      <c r="C37" s="49">
        <f>C36/C13</f>
        <v>0.14747786334080457</v>
      </c>
      <c r="D37" s="49">
        <f t="shared" ref="D37:Q37" si="10">D36/D13</f>
        <v>0.22547822614702798</v>
      </c>
      <c r="E37" s="49">
        <f t="shared" si="10"/>
        <v>9.2330983383142606E-2</v>
      </c>
      <c r="F37" s="49">
        <f t="shared" si="10"/>
        <v>6.2067558234444702E-2</v>
      </c>
      <c r="G37" s="49">
        <f t="shared" si="10"/>
        <v>4.2252300820208817E-2</v>
      </c>
      <c r="H37" s="49">
        <f t="shared" si="10"/>
        <v>0.10499626697681104</v>
      </c>
      <c r="I37" s="49">
        <f t="shared" si="10"/>
        <v>0.10875328196634215</v>
      </c>
      <c r="J37" s="49">
        <f t="shared" si="10"/>
        <v>0.10982433273591923</v>
      </c>
      <c r="K37" s="49">
        <f t="shared" si="10"/>
        <v>0.11000325903949135</v>
      </c>
      <c r="L37" s="49">
        <f t="shared" si="10"/>
        <v>0.10946060996039499</v>
      </c>
      <c r="M37" s="49">
        <f t="shared" si="10"/>
        <v>0.10832426099480406</v>
      </c>
      <c r="N37" s="49">
        <f t="shared" si="10"/>
        <v>0.10669121358881067</v>
      </c>
      <c r="O37" s="49">
        <f t="shared" si="10"/>
        <v>0.1046359315269145</v>
      </c>
      <c r="P37" s="49">
        <f t="shared" si="10"/>
        <v>0.10221629121495059</v>
      </c>
      <c r="Q37" s="49">
        <f t="shared" si="10"/>
        <v>9.9477869567229371E-2</v>
      </c>
    </row>
    <row r="38" spans="1:18" ht="5.0999999999999996" customHeight="1" x14ac:dyDescent="0.25"/>
    <row r="39" spans="1:18" x14ac:dyDescent="0.25">
      <c r="B39" t="s">
        <v>135</v>
      </c>
      <c r="C39" s="346">
        <f>'Historical P&amp;L'!C30</f>
        <v>-129.33000000000001</v>
      </c>
      <c r="D39" s="346">
        <f>'Historical P&amp;L'!D30</f>
        <v>-186.25</v>
      </c>
      <c r="E39" s="346">
        <f>'Historical P&amp;L'!E30</f>
        <v>-65.87</v>
      </c>
      <c r="F39" s="346">
        <f>'Historical P&amp;L'!F30</f>
        <v>21.05</v>
      </c>
      <c r="G39" s="346">
        <f>'Historical P&amp;L'!G30</f>
        <v>23.64</v>
      </c>
      <c r="H39" s="318">
        <f>-H36*'Cost Build_up'!H39</f>
        <v>-53.072764434193537</v>
      </c>
      <c r="I39" s="318">
        <f>-I36*'Cost Build_up'!I39</f>
        <v>-61.775080652839549</v>
      </c>
      <c r="J39" s="318">
        <f>-J36*'Cost Build_up'!J39</f>
        <v>-69.486331050824646</v>
      </c>
      <c r="K39" s="318">
        <f>-K36*'Cost Build_up'!K39</f>
        <v>-76.890050591200691</v>
      </c>
      <c r="L39" s="318">
        <f>-L36*'Cost Build_up'!L39</f>
        <v>-83.88405082447234</v>
      </c>
      <c r="M39" s="318">
        <f>-M36*'Cost Build_up'!M39</f>
        <v>-90.373166530943251</v>
      </c>
      <c r="N39" s="318">
        <f>-N36*'Cost Build_up'!N39</f>
        <v>-96.271092003409208</v>
      </c>
      <c r="O39" s="318">
        <f>-O36*'Cost Build_up'!O39</f>
        <v>-101.50172445887057</v>
      </c>
      <c r="P39" s="318">
        <f>-P36*'Cost Build_up'!P39</f>
        <v>-106.000034421805</v>
      </c>
      <c r="Q39" s="318">
        <f>-Q36*'Cost Build_up'!Q39</f>
        <v>-109.71250272850328</v>
      </c>
    </row>
    <row r="40" spans="1:18" ht="5.0999999999999996" customHeight="1" x14ac:dyDescent="0.25">
      <c r="C40" s="11"/>
      <c r="D40" s="11"/>
      <c r="E40" s="11"/>
      <c r="F40" s="11"/>
      <c r="G40" s="11"/>
      <c r="H40" s="11"/>
      <c r="I40" s="11"/>
      <c r="J40" s="11"/>
      <c r="K40" s="11"/>
      <c r="L40" s="11"/>
      <c r="M40" s="11"/>
      <c r="N40" s="11"/>
      <c r="O40" s="11"/>
      <c r="P40" s="11"/>
      <c r="Q40" s="11"/>
    </row>
    <row r="41" spans="1:18" x14ac:dyDescent="0.25">
      <c r="A41" s="1"/>
      <c r="B41" s="9" t="s">
        <v>297</v>
      </c>
      <c r="C41" s="12">
        <f>SUM(C36,C39)</f>
        <v>535.21999999999935</v>
      </c>
      <c r="D41" s="12">
        <f t="shared" ref="D41:Q41" si="11">SUM(D36,D39)</f>
        <v>1185.9000000000003</v>
      </c>
      <c r="E41" s="12">
        <f t="shared" si="11"/>
        <v>545.23</v>
      </c>
      <c r="F41" s="12">
        <f t="shared" si="11"/>
        <v>416.47000000000031</v>
      </c>
      <c r="G41" s="12">
        <f t="shared" si="11"/>
        <v>330.87000000000074</v>
      </c>
      <c r="H41" s="12">
        <f t="shared" si="11"/>
        <v>810.29295855290343</v>
      </c>
      <c r="I41" s="12">
        <f t="shared" si="11"/>
        <v>943.15631380195714</v>
      </c>
      <c r="J41" s="12">
        <f t="shared" si="11"/>
        <v>1060.8884870878076</v>
      </c>
      <c r="K41" s="12">
        <f t="shared" si="11"/>
        <v>1173.9254067701395</v>
      </c>
      <c r="L41" s="12">
        <f t="shared" si="11"/>
        <v>1280.7069019787468</v>
      </c>
      <c r="M41" s="12">
        <f t="shared" si="11"/>
        <v>1379.7800296035207</v>
      </c>
      <c r="N41" s="12">
        <f t="shared" si="11"/>
        <v>1469.8271098971177</v>
      </c>
      <c r="O41" s="12">
        <f t="shared" si="11"/>
        <v>1549.6862371278817</v>
      </c>
      <c r="P41" s="12">
        <f t="shared" si="11"/>
        <v>1618.3645682307133</v>
      </c>
      <c r="Q41" s="12">
        <f t="shared" si="11"/>
        <v>1675.044994808047</v>
      </c>
    </row>
    <row r="42" spans="1:18" x14ac:dyDescent="0.25">
      <c r="B42" t="s">
        <v>20</v>
      </c>
      <c r="C42" s="346">
        <f>'Historical P&amp;L'!C32</f>
        <v>-11.75</v>
      </c>
      <c r="D42" s="346">
        <f>'Historical P&amp;L'!D32</f>
        <v>-0.23</v>
      </c>
      <c r="E42" s="292">
        <f>'Historical P&amp;L'!E32</f>
        <v>0</v>
      </c>
      <c r="F42" s="292">
        <f>'Historical P&amp;L'!F32</f>
        <v>0</v>
      </c>
      <c r="G42" s="292">
        <f>'Historical P&amp;L'!G32</f>
        <v>0</v>
      </c>
      <c r="H42" s="11">
        <f>'Historical P&amp;L'!H32</f>
        <v>0</v>
      </c>
      <c r="I42" s="11">
        <f>'Historical P&amp;L'!I32</f>
        <v>0</v>
      </c>
      <c r="J42" s="11">
        <f>'Historical P&amp;L'!J32</f>
        <v>0</v>
      </c>
      <c r="K42" s="11">
        <f>'Historical P&amp;L'!K32</f>
        <v>0</v>
      </c>
      <c r="L42" s="11">
        <f>'Historical P&amp;L'!L32</f>
        <v>0</v>
      </c>
      <c r="M42" s="11">
        <f>'Historical P&amp;L'!M32</f>
        <v>0</v>
      </c>
      <c r="N42" s="11">
        <f>'Historical P&amp;L'!N32</f>
        <v>0</v>
      </c>
      <c r="O42" s="11">
        <f>'Historical P&amp;L'!O32</f>
        <v>0</v>
      </c>
      <c r="P42" s="11">
        <f>'Historical P&amp;L'!P32</f>
        <v>0</v>
      </c>
      <c r="Q42" s="11">
        <f>'Historical P&amp;L'!Q32</f>
        <v>0</v>
      </c>
    </row>
    <row r="43" spans="1:18" ht="5.0999999999999996" customHeight="1" x14ac:dyDescent="0.25">
      <c r="B43" s="52"/>
      <c r="C43" s="21"/>
      <c r="D43" s="21"/>
      <c r="E43" s="21"/>
      <c r="F43" s="21"/>
      <c r="G43" s="21"/>
      <c r="H43" s="21"/>
      <c r="I43" s="21"/>
      <c r="J43" s="21"/>
      <c r="K43" s="21"/>
      <c r="L43" s="21"/>
      <c r="M43" s="21"/>
      <c r="N43" s="21"/>
      <c r="O43" s="21"/>
      <c r="P43" s="21"/>
      <c r="Q43" s="21"/>
    </row>
    <row r="44" spans="1:18" ht="15.75" thickBot="1" x14ac:dyDescent="0.3">
      <c r="B44" s="5" t="s">
        <v>136</v>
      </c>
      <c r="C44" s="15">
        <f t="shared" ref="C44:Q44" si="12">SUM(C41,C42)</f>
        <v>523.46999999999935</v>
      </c>
      <c r="D44" s="15">
        <f t="shared" si="12"/>
        <v>1185.6700000000003</v>
      </c>
      <c r="E44" s="15">
        <f t="shared" si="12"/>
        <v>545.23</v>
      </c>
      <c r="F44" s="15">
        <f t="shared" si="12"/>
        <v>416.47000000000031</v>
      </c>
      <c r="G44" s="15">
        <f t="shared" si="12"/>
        <v>330.87000000000074</v>
      </c>
      <c r="H44" s="15">
        <f t="shared" si="12"/>
        <v>810.29295855290343</v>
      </c>
      <c r="I44" s="15">
        <f t="shared" si="12"/>
        <v>943.15631380195714</v>
      </c>
      <c r="J44" s="15">
        <f t="shared" si="12"/>
        <v>1060.8884870878076</v>
      </c>
      <c r="K44" s="15">
        <f t="shared" si="12"/>
        <v>1173.9254067701395</v>
      </c>
      <c r="L44" s="15">
        <f t="shared" si="12"/>
        <v>1280.7069019787468</v>
      </c>
      <c r="M44" s="15">
        <f t="shared" si="12"/>
        <v>1379.7800296035207</v>
      </c>
      <c r="N44" s="15">
        <f t="shared" si="12"/>
        <v>1469.8271098971177</v>
      </c>
      <c r="O44" s="15">
        <f t="shared" si="12"/>
        <v>1549.6862371278817</v>
      </c>
      <c r="P44" s="15">
        <f t="shared" si="12"/>
        <v>1618.3645682307133</v>
      </c>
      <c r="Q44" s="15">
        <f t="shared" si="12"/>
        <v>1675.044994808047</v>
      </c>
    </row>
    <row r="45" spans="1:18" x14ac:dyDescent="0.25">
      <c r="B45" s="48" t="s">
        <v>137</v>
      </c>
      <c r="C45" s="49">
        <f t="shared" ref="C45:Q45" si="13">C44/C13</f>
        <v>0.11616919287188465</v>
      </c>
      <c r="D45" s="49">
        <f t="shared" si="13"/>
        <v>0.19483494398990392</v>
      </c>
      <c r="E45" s="49">
        <f t="shared" si="13"/>
        <v>8.2378697545394938E-2</v>
      </c>
      <c r="F45" s="49">
        <f t="shared" si="13"/>
        <v>6.5371695862372126E-2</v>
      </c>
      <c r="G45" s="49">
        <f t="shared" si="13"/>
        <v>4.5503429913688401E-2</v>
      </c>
      <c r="H45" s="49">
        <f t="shared" si="13"/>
        <v>9.8541942933866297E-2</v>
      </c>
      <c r="I45" s="49">
        <f t="shared" si="13"/>
        <v>0.1020680069298541</v>
      </c>
      <c r="J45" s="49">
        <f t="shared" si="13"/>
        <v>0.10307321813263187</v>
      </c>
      <c r="K45" s="49">
        <f t="shared" si="13"/>
        <v>0.10324114548951463</v>
      </c>
      <c r="L45" s="49">
        <f t="shared" si="13"/>
        <v>0.10273185410111471</v>
      </c>
      <c r="M45" s="49">
        <f t="shared" si="13"/>
        <v>0.10166535870899805</v>
      </c>
      <c r="N45" s="49">
        <f t="shared" si="13"/>
        <v>0.10013269789234978</v>
      </c>
      <c r="O45" s="49">
        <f t="shared" si="13"/>
        <v>9.8203758002504929E-2</v>
      </c>
      <c r="P45" s="49">
        <f t="shared" si="13"/>
        <v>9.5932857670451316E-2</v>
      </c>
      <c r="Q45" s="49">
        <f t="shared" si="13"/>
        <v>9.336277210923602E-2</v>
      </c>
    </row>
    <row r="47" spans="1:18" x14ac:dyDescent="0.25">
      <c r="B47" s="9" t="s">
        <v>138</v>
      </c>
      <c r="C47" s="12">
        <f>C44/36.3</f>
        <v>14.420661157024776</v>
      </c>
      <c r="D47" s="12">
        <f t="shared" ref="D47:Q47" si="14">D44/36.3</f>
        <v>32.663085399449045</v>
      </c>
      <c r="E47" s="12">
        <f t="shared" si="14"/>
        <v>15.020110192837468</v>
      </c>
      <c r="F47" s="12">
        <f t="shared" si="14"/>
        <v>11.473002754820946</v>
      </c>
      <c r="G47" s="12">
        <f t="shared" si="14"/>
        <v>9.1148760330578718</v>
      </c>
      <c r="H47" s="12">
        <f t="shared" si="14"/>
        <v>22.322120070327919</v>
      </c>
      <c r="I47" s="12">
        <f t="shared" si="14"/>
        <v>25.982267597850061</v>
      </c>
      <c r="J47" s="12">
        <f t="shared" si="14"/>
        <v>29.225578156688915</v>
      </c>
      <c r="K47" s="12">
        <f t="shared" si="14"/>
        <v>32.339542886229744</v>
      </c>
      <c r="L47" s="12">
        <f t="shared" si="14"/>
        <v>35.281181872692756</v>
      </c>
      <c r="M47" s="12">
        <f t="shared" si="14"/>
        <v>38.01046913508322</v>
      </c>
      <c r="N47" s="12">
        <f t="shared" si="14"/>
        <v>40.491104955843468</v>
      </c>
      <c r="O47" s="12">
        <f t="shared" si="14"/>
        <v>42.69108091261382</v>
      </c>
      <c r="P47" s="12">
        <f t="shared" si="14"/>
        <v>44.583045956768963</v>
      </c>
      <c r="Q47" s="12">
        <f t="shared" si="14"/>
        <v>46.144490215097719</v>
      </c>
    </row>
    <row r="49" spans="2:17" x14ac:dyDescent="0.25">
      <c r="B49" s="9" t="s">
        <v>139</v>
      </c>
      <c r="C49" s="317">
        <v>-45.09</v>
      </c>
      <c r="D49" s="317">
        <v>-126.88</v>
      </c>
      <c r="E49" s="317">
        <v>-90.63</v>
      </c>
      <c r="F49" s="317">
        <v>-54.38</v>
      </c>
      <c r="G49" s="317">
        <v>-36.25</v>
      </c>
      <c r="H49" s="317">
        <f>-H44*H50</f>
        <v>-97.154882910669329</v>
      </c>
      <c r="I49" s="317">
        <f t="shared" ref="I49:Q49" si="15">-I44*I50</f>
        <v>-113.08532335950818</v>
      </c>
      <c r="J49" s="317">
        <f t="shared" si="15"/>
        <v>-127.2015209515901</v>
      </c>
      <c r="K49" s="317">
        <f t="shared" si="15"/>
        <v>-140.75475324911929</v>
      </c>
      <c r="L49" s="317">
        <f t="shared" si="15"/>
        <v>-153.55795430685265</v>
      </c>
      <c r="M49" s="317">
        <f t="shared" si="15"/>
        <v>-165.43691488818203</v>
      </c>
      <c r="N49" s="317">
        <f t="shared" si="15"/>
        <v>-176.233643960092</v>
      </c>
      <c r="O49" s="317">
        <f t="shared" si="15"/>
        <v>-185.80882793961138</v>
      </c>
      <c r="P49" s="317">
        <f t="shared" si="15"/>
        <v>-194.04342401547021</v>
      </c>
      <c r="Q49" s="317">
        <f t="shared" si="15"/>
        <v>-200.83946012725153</v>
      </c>
    </row>
    <row r="50" spans="2:17" x14ac:dyDescent="0.25">
      <c r="B50" s="48" t="s">
        <v>140</v>
      </c>
      <c r="C50" s="49">
        <f>-C49/C44</f>
        <v>8.6136741360536534E-2</v>
      </c>
      <c r="D50" s="49">
        <f t="shared" ref="D50:G50" si="16">-D49/D44</f>
        <v>0.10701122572047869</v>
      </c>
      <c r="E50" s="49">
        <f t="shared" si="16"/>
        <v>0.16622342864479209</v>
      </c>
      <c r="F50" s="49">
        <f t="shared" si="16"/>
        <v>0.13057363075371567</v>
      </c>
      <c r="G50" s="49">
        <f t="shared" si="16"/>
        <v>0.10955964578233118</v>
      </c>
      <c r="H50" s="49">
        <f>AVERAGE(C50:G50)</f>
        <v>0.11990093445237085</v>
      </c>
      <c r="I50" s="49">
        <f>H50</f>
        <v>0.11990093445237085</v>
      </c>
      <c r="J50" s="49">
        <f t="shared" ref="J50:Q50" si="17">I50</f>
        <v>0.11990093445237085</v>
      </c>
      <c r="K50" s="49">
        <f t="shared" si="17"/>
        <v>0.11990093445237085</v>
      </c>
      <c r="L50" s="49">
        <f t="shared" si="17"/>
        <v>0.11990093445237085</v>
      </c>
      <c r="M50" s="49">
        <f t="shared" si="17"/>
        <v>0.11990093445237085</v>
      </c>
      <c r="N50" s="49">
        <f t="shared" si="17"/>
        <v>0.11990093445237085</v>
      </c>
      <c r="O50" s="49">
        <f t="shared" si="17"/>
        <v>0.11990093445237085</v>
      </c>
      <c r="P50" s="49">
        <f t="shared" si="17"/>
        <v>0.11990093445237085</v>
      </c>
      <c r="Q50" s="49">
        <f t="shared" si="17"/>
        <v>0.11990093445237085</v>
      </c>
    </row>
    <row r="52" spans="2:17" x14ac:dyDescent="0.25">
      <c r="B52" s="9" t="s">
        <v>141</v>
      </c>
      <c r="C52" s="12">
        <f>C44+C49</f>
        <v>478.37999999999931</v>
      </c>
      <c r="D52" s="12">
        <f t="shared" ref="D52:Q52" si="18">D44+D49</f>
        <v>1058.7900000000004</v>
      </c>
      <c r="E52" s="12">
        <f t="shared" si="18"/>
        <v>454.6</v>
      </c>
      <c r="F52" s="12">
        <f t="shared" si="18"/>
        <v>362.09000000000032</v>
      </c>
      <c r="G52" s="12">
        <f t="shared" si="18"/>
        <v>294.62000000000074</v>
      </c>
      <c r="H52" s="12">
        <f t="shared" si="18"/>
        <v>713.13807564223407</v>
      </c>
      <c r="I52" s="12">
        <f t="shared" si="18"/>
        <v>830.07099044244899</v>
      </c>
      <c r="J52" s="12">
        <f t="shared" si="18"/>
        <v>933.68696613621751</v>
      </c>
      <c r="K52" s="12">
        <f t="shared" si="18"/>
        <v>1033.1706535210201</v>
      </c>
      <c r="L52" s="12">
        <f t="shared" si="18"/>
        <v>1127.1489476718941</v>
      </c>
      <c r="M52" s="12">
        <f t="shared" si="18"/>
        <v>1214.3431147153387</v>
      </c>
      <c r="N52" s="12">
        <f t="shared" si="18"/>
        <v>1293.5934659370257</v>
      </c>
      <c r="O52" s="12">
        <f t="shared" si="18"/>
        <v>1363.8774091882703</v>
      </c>
      <c r="P52" s="12">
        <f t="shared" si="18"/>
        <v>1424.3211442152431</v>
      </c>
      <c r="Q52" s="12">
        <f t="shared" si="18"/>
        <v>1474.2055346807956</v>
      </c>
    </row>
    <row r="53" spans="2:17" x14ac:dyDescent="0.25">
      <c r="B53" s="48" t="s">
        <v>142</v>
      </c>
      <c r="C53" s="49">
        <f>C52/C44</f>
        <v>0.91386325863946338</v>
      </c>
      <c r="D53" s="49">
        <f t="shared" ref="D53:Q53" si="19">D52/D44</f>
        <v>0.89298877427952139</v>
      </c>
      <c r="E53" s="49">
        <f t="shared" si="19"/>
        <v>0.83377657135520789</v>
      </c>
      <c r="F53" s="49">
        <f t="shared" si="19"/>
        <v>0.86942636924628436</v>
      </c>
      <c r="G53" s="49">
        <f t="shared" si="19"/>
        <v>0.89044035421766887</v>
      </c>
      <c r="H53" s="49">
        <f t="shared" si="19"/>
        <v>0.88009906554762907</v>
      </c>
      <c r="I53" s="49">
        <f t="shared" si="19"/>
        <v>0.88009906554762918</v>
      </c>
      <c r="J53" s="49">
        <f t="shared" si="19"/>
        <v>0.88009906554762918</v>
      </c>
      <c r="K53" s="49">
        <f t="shared" si="19"/>
        <v>0.88009906554762907</v>
      </c>
      <c r="L53" s="49">
        <f t="shared" si="19"/>
        <v>0.88009906554762907</v>
      </c>
      <c r="M53" s="49">
        <f t="shared" si="19"/>
        <v>0.88009906554762918</v>
      </c>
      <c r="N53" s="49">
        <f t="shared" si="19"/>
        <v>0.88009906554762918</v>
      </c>
      <c r="O53" s="49">
        <f t="shared" si="19"/>
        <v>0.88009906554762918</v>
      </c>
      <c r="P53" s="49">
        <f t="shared" si="19"/>
        <v>0.88009906554762918</v>
      </c>
      <c r="Q53" s="49">
        <f t="shared" si="19"/>
        <v>0.88009906554762918</v>
      </c>
    </row>
  </sheetData>
  <mergeCells count="1">
    <mergeCell ref="B8:Q8"/>
  </mergeCells>
  <pageMargins left="0.7" right="0.7" top="0.75" bottom="0.75" header="0.3" footer="0.3"/>
  <ignoredErrors>
    <ignoredError sqref="C14:G14" formulaRange="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73"/>
  <sheetViews>
    <sheetView showGridLines="0" topLeftCell="A4" workbookViewId="0">
      <pane ySplit="9" topLeftCell="A14" activePane="bottomLeft" state="frozen"/>
      <selection activeCell="A4" sqref="A4"/>
      <selection pane="bottomLeft" activeCell="C15" sqref="C15"/>
    </sheetView>
  </sheetViews>
  <sheetFormatPr defaultRowHeight="15" x14ac:dyDescent="0.25"/>
  <cols>
    <col min="1" max="1" width="1.85546875" customWidth="1"/>
    <col min="2" max="2" width="35.28515625" bestFit="1" customWidth="1"/>
    <col min="3" max="7" width="8.42578125" customWidth="1"/>
    <col min="8" max="17" width="11.140625" bestFit="1" customWidth="1"/>
  </cols>
  <sheetData>
    <row r="1" spans="2:17" ht="8.25" customHeight="1"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05" t="s">
        <v>298</v>
      </c>
      <c r="C8" s="405"/>
      <c r="D8" s="405"/>
      <c r="E8" s="405"/>
      <c r="F8" s="405"/>
      <c r="G8" s="405"/>
      <c r="H8" s="405"/>
      <c r="I8" s="405"/>
      <c r="J8" s="405"/>
      <c r="K8" s="405"/>
      <c r="L8" s="405"/>
      <c r="M8" s="405"/>
      <c r="N8" s="405"/>
      <c r="O8" s="405"/>
      <c r="P8" s="405"/>
      <c r="Q8" s="405"/>
    </row>
    <row r="9" spans="2:17" x14ac:dyDescent="0.25">
      <c r="B9" s="104" t="s">
        <v>206</v>
      </c>
    </row>
    <row r="10" spans="2:17" ht="15.75" x14ac:dyDescent="0.25">
      <c r="B10" s="341" t="s">
        <v>412</v>
      </c>
      <c r="C10" s="342" t="str">
        <f>IF(SUM(C72:Q72)=0,"Ok","Error")</f>
        <v>Ok</v>
      </c>
    </row>
    <row r="11" spans="2:17" x14ac:dyDescent="0.25">
      <c r="B11" s="57" t="s">
        <v>0</v>
      </c>
      <c r="C11" s="57">
        <v>2021</v>
      </c>
      <c r="D11" s="57">
        <f>C11+1</f>
        <v>2022</v>
      </c>
      <c r="E11" s="57">
        <f t="shared" ref="E11:G11" si="0">D11+1</f>
        <v>2023</v>
      </c>
      <c r="F11" s="57">
        <f t="shared" si="0"/>
        <v>2024</v>
      </c>
      <c r="G11" s="57">
        <f t="shared" si="0"/>
        <v>2025</v>
      </c>
      <c r="H11" s="57">
        <f>G11+1</f>
        <v>2026</v>
      </c>
      <c r="I11" s="57">
        <f t="shared" ref="I11:Q11" si="1">H11+1</f>
        <v>2027</v>
      </c>
      <c r="J11" s="57">
        <f t="shared" si="1"/>
        <v>2028</v>
      </c>
      <c r="K11" s="57">
        <f t="shared" si="1"/>
        <v>2029</v>
      </c>
      <c r="L11" s="57">
        <f t="shared" si="1"/>
        <v>2030</v>
      </c>
      <c r="M11" s="57">
        <f t="shared" si="1"/>
        <v>2031</v>
      </c>
      <c r="N11" s="57">
        <f t="shared" si="1"/>
        <v>2032</v>
      </c>
      <c r="O11" s="57">
        <f t="shared" si="1"/>
        <v>2033</v>
      </c>
      <c r="P11" s="57">
        <f t="shared" si="1"/>
        <v>2034</v>
      </c>
      <c r="Q11" s="57">
        <f t="shared" si="1"/>
        <v>2035</v>
      </c>
    </row>
    <row r="12" spans="2:17" x14ac:dyDescent="0.25">
      <c r="B12" s="228"/>
      <c r="C12" s="229" t="s">
        <v>82</v>
      </c>
      <c r="D12" s="229" t="s">
        <v>82</v>
      </c>
      <c r="E12" s="229" t="s">
        <v>82</v>
      </c>
      <c r="F12" s="229" t="s">
        <v>82</v>
      </c>
      <c r="G12" s="229" t="s">
        <v>82</v>
      </c>
      <c r="H12" s="229" t="s">
        <v>83</v>
      </c>
      <c r="I12" s="229" t="s">
        <v>83</v>
      </c>
      <c r="J12" s="229" t="s">
        <v>83</v>
      </c>
      <c r="K12" s="229" t="s">
        <v>83</v>
      </c>
      <c r="L12" s="229" t="s">
        <v>83</v>
      </c>
      <c r="M12" s="229" t="s">
        <v>83</v>
      </c>
      <c r="N12" s="229" t="s">
        <v>83</v>
      </c>
      <c r="O12" s="229" t="s">
        <v>83</v>
      </c>
      <c r="P12" s="229" t="s">
        <v>83</v>
      </c>
      <c r="Q12" s="229" t="s">
        <v>83</v>
      </c>
    </row>
    <row r="13" spans="2:17" x14ac:dyDescent="0.25">
      <c r="B13" s="1" t="s">
        <v>28</v>
      </c>
    </row>
    <row r="14" spans="2:17" x14ac:dyDescent="0.25">
      <c r="B14" s="1" t="s">
        <v>29</v>
      </c>
    </row>
    <row r="15" spans="2:17" x14ac:dyDescent="0.25">
      <c r="B15" t="s">
        <v>30</v>
      </c>
      <c r="C15" s="292">
        <f>SUM('Historical balance Sheet'!C14:C18)</f>
        <v>4890.4900000000007</v>
      </c>
      <c r="D15" s="292">
        <f>SUM('Historical balance Sheet'!D14:D18)</f>
        <v>4940.6399999999994</v>
      </c>
      <c r="E15" s="292">
        <f>SUM('Historical balance Sheet'!E14:E18)</f>
        <v>5957.17</v>
      </c>
      <c r="F15" s="292">
        <f>SUM('Historical balance Sheet'!F14:F18)</f>
        <v>6878.4500000000007</v>
      </c>
      <c r="G15" s="292">
        <f>SUM('Historical balance Sheet'!G14:G18)</f>
        <v>7831</v>
      </c>
      <c r="H15" s="292">
        <f>'Dep and Capex Schedules'!H15</f>
        <v>8420.4296609010507</v>
      </c>
      <c r="I15" s="292">
        <f>'Dep and Capex Schedules'!I15</f>
        <v>9151.7759053534865</v>
      </c>
      <c r="J15" s="292">
        <f>'Dep and Capex Schedules'!J15</f>
        <v>10031.48813797038</v>
      </c>
      <c r="K15" s="292">
        <f>'Dep and Capex Schedules'!K15</f>
        <v>11064.935750942932</v>
      </c>
      <c r="L15" s="292">
        <f>'Dep and Capex Schedules'!L15</f>
        <v>12256.308459043386</v>
      </c>
      <c r="M15" s="292">
        <f>'Dep and Capex Schedules'!M15</f>
        <v>13608.554772476913</v>
      </c>
      <c r="N15" s="292">
        <f>'Dep and Capex Schedules'!N15</f>
        <v>15123.357033826005</v>
      </c>
      <c r="O15" s="292">
        <f>'Dep and Capex Schedules'!O15</f>
        <v>16801.140038614045</v>
      </c>
      <c r="P15" s="292">
        <f>'Dep and Capex Schedules'!P15</f>
        <v>18641.109249745605</v>
      </c>
      <c r="Q15" s="292">
        <f>'Dep and Capex Schedules'!Q15</f>
        <v>20641.313988543447</v>
      </c>
    </row>
    <row r="16" spans="2:17" x14ac:dyDescent="0.25">
      <c r="B16" s="1" t="s">
        <v>35</v>
      </c>
      <c r="C16" s="11"/>
      <c r="D16" s="11"/>
      <c r="E16" s="11"/>
      <c r="F16" s="11"/>
      <c r="G16" s="11"/>
      <c r="H16" s="11"/>
      <c r="I16" s="11"/>
      <c r="J16" s="11"/>
      <c r="K16" s="11"/>
      <c r="L16" s="11"/>
      <c r="M16" s="11"/>
      <c r="N16" s="11"/>
      <c r="O16" s="11"/>
      <c r="P16" s="11"/>
      <c r="Q16" s="11"/>
    </row>
    <row r="17" spans="2:17" x14ac:dyDescent="0.25">
      <c r="B17" s="8" t="s">
        <v>36</v>
      </c>
      <c r="C17" s="292">
        <f>'Historical balance Sheet'!C20</f>
        <v>63.52</v>
      </c>
      <c r="D17" s="292">
        <f>'Historical balance Sheet'!D20</f>
        <v>28.29</v>
      </c>
      <c r="E17" s="292">
        <f>'Historical balance Sheet'!E20</f>
        <v>17.170000000000002</v>
      </c>
      <c r="F17" s="292">
        <f>'Historical balance Sheet'!F20</f>
        <v>22.92</v>
      </c>
      <c r="G17" s="292">
        <f>'Historical balance Sheet'!G20</f>
        <v>47.63</v>
      </c>
      <c r="H17" s="11">
        <f>VLOOKUP($B17,Balance_Sheet!$B$14:$Q$20,COUNTBLANK('Balance Sheet'!$H$10:H$10)+6,0)</f>
        <v>51.783168109144029</v>
      </c>
      <c r="I17" s="11">
        <f>VLOOKUP($B17,Balance_Sheet!$B$14:$Q$20,COUNTBLANK('Balance Sheet'!$H$10:I$10)+6,0)</f>
        <v>58.191789827849611</v>
      </c>
      <c r="J17" s="11">
        <f>VLOOKUP($B17,Balance_Sheet!$B$14:$Q$20,COUNTBLANK('Balance Sheet'!$H$10:J$10)+6,0)</f>
        <v>64.817395159038938</v>
      </c>
      <c r="K17" s="11">
        <f>VLOOKUP($B17,Balance_Sheet!$B$14:$Q$20,COUNTBLANK('Balance Sheet'!$H$10:K$10)+6,0)</f>
        <v>71.60698045577584</v>
      </c>
      <c r="L17" s="11">
        <f>VLOOKUP($B17,Balance_Sheet!$B$14:$Q$20,COUNTBLANK('Balance Sheet'!$H$10:L$10)+6,0)</f>
        <v>78.507707712973954</v>
      </c>
      <c r="M17" s="11">
        <f>VLOOKUP($B17,Balance_Sheet!$B$14:$Q$20,COUNTBLANK('Balance Sheet'!$H$10:M$10)+6,0)</f>
        <v>85.468194708256206</v>
      </c>
      <c r="N17" s="11">
        <f>VLOOKUP($B17,Balance_Sheet!$B$14:$Q$20,COUNTBLANK('Balance Sheet'!$H$10:N$10)+6,0)</f>
        <v>92.439589659129993</v>
      </c>
      <c r="O17" s="11">
        <f>VLOOKUP($B17,Balance_Sheet!$B$14:$Q$20,COUNTBLANK('Balance Sheet'!$H$10:O$10)+6,0)</f>
        <v>99.376418728065403</v>
      </c>
      <c r="P17" s="11">
        <f>VLOOKUP($B17,Balance_Sheet!$B$14:$Q$20,COUNTBLANK('Balance Sheet'!$H$10:P$10)+6,0)</f>
        <v>106.23720915478857</v>
      </c>
      <c r="Q17" s="11">
        <f>VLOOKUP($B17,Balance_Sheet!$B$14:$Q$20,COUNTBLANK('Balance Sheet'!$H$10:Q$10)+6,0)</f>
        <v>112.98490179566969</v>
      </c>
    </row>
    <row r="18" spans="2:17" x14ac:dyDescent="0.25">
      <c r="B18" s="8" t="s">
        <v>37</v>
      </c>
      <c r="C18" s="292">
        <f>'Historical balance Sheet'!C21</f>
        <v>320.07</v>
      </c>
      <c r="D18" s="292">
        <f>'Historical balance Sheet'!D21</f>
        <v>0</v>
      </c>
      <c r="E18" s="292">
        <f>'Historical balance Sheet'!E21</f>
        <v>0.01</v>
      </c>
      <c r="F18" s="292">
        <f>'Historical balance Sheet'!F21</f>
        <v>0.3</v>
      </c>
      <c r="G18" s="292">
        <f>'Historical balance Sheet'!G21</f>
        <v>0.06</v>
      </c>
      <c r="H18" s="11">
        <f>VLOOKUP($B18,Balance_Sheet!$B$14:$Q$20,COUNTBLANK('Balance Sheet'!$H$10:H$10)+6,0)</f>
        <v>0.11687168734271038</v>
      </c>
      <c r="I18" s="11">
        <f>VLOOKUP($B18,Balance_Sheet!$B$14:$Q$20,COUNTBLANK('Balance Sheet'!$H$10:I$10)+6,0)</f>
        <v>0.1313355848050598</v>
      </c>
      <c r="J18" s="11">
        <f>VLOOKUP($B18,Balance_Sheet!$B$14:$Q$20,COUNTBLANK('Balance Sheet'!$H$10:J$10)+6,0)</f>
        <v>0.14628920203239623</v>
      </c>
      <c r="K18" s="11">
        <f>VLOOKUP($B18,Balance_Sheet!$B$14:$Q$20,COUNTBLANK('Balance Sheet'!$H$10:K$10)+6,0)</f>
        <v>0.16161291278555848</v>
      </c>
      <c r="L18" s="11">
        <f>VLOOKUP($B18,Balance_Sheet!$B$14:$Q$20,COUNTBLANK('Balance Sheet'!$H$10:L$10)+6,0)</f>
        <v>0.17718746466969018</v>
      </c>
      <c r="M18" s="11">
        <f>VLOOKUP($B18,Balance_Sheet!$B$14:$Q$20,COUNTBLANK('Balance Sheet'!$H$10:M$10)+6,0)</f>
        <v>0.1928968909093331</v>
      </c>
      <c r="N18" s="11">
        <f>VLOOKUP($B18,Balance_Sheet!$B$14:$Q$20,COUNTBLANK('Balance Sheet'!$H$10:N$10)+6,0)</f>
        <v>0.20863093578900896</v>
      </c>
      <c r="O18" s="11">
        <f>VLOOKUP($B18,Balance_Sheet!$B$14:$Q$20,COUNTBLANK('Balance Sheet'!$H$10:O$10)+6,0)</f>
        <v>0.22428696742434037</v>
      </c>
      <c r="P18" s="11">
        <f>VLOOKUP($B18,Balance_Sheet!$B$14:$Q$20,COUNTBLANK('Balance Sheet'!$H$10:P$10)+6,0)</f>
        <v>0.23977138413646235</v>
      </c>
      <c r="Q18" s="11">
        <f>VLOOKUP($B18,Balance_Sheet!$B$14:$Q$20,COUNTBLANK('Balance Sheet'!$H$10:Q$10)+6,0)</f>
        <v>0.25500054553013363</v>
      </c>
    </row>
    <row r="19" spans="2:17" x14ac:dyDescent="0.25">
      <c r="B19" t="s">
        <v>38</v>
      </c>
      <c r="C19" s="292">
        <f>'Historical balance Sheet'!C22</f>
        <v>0</v>
      </c>
      <c r="D19" s="292">
        <f>'Historical balance Sheet'!D22</f>
        <v>27.74</v>
      </c>
      <c r="E19" s="292">
        <f>'Historical balance Sheet'!E22</f>
        <v>52.78</v>
      </c>
      <c r="F19" s="292">
        <f>'Historical balance Sheet'!F22</f>
        <v>143.55000000000001</v>
      </c>
      <c r="G19" s="292">
        <f>'Historical balance Sheet'!G22</f>
        <v>217.99</v>
      </c>
      <c r="H19" s="11">
        <f>VLOOKUP($B19,Balance_Sheet!$B$14:$Q$20,COUNTBLANK('Balance Sheet'!$H$10:H$10)+6,0)</f>
        <v>106.97038783757185</v>
      </c>
      <c r="I19" s="11">
        <f>VLOOKUP($B19,Balance_Sheet!$B$14:$Q$20,COUNTBLANK('Balance Sheet'!$H$10:I$10)+6,0)</f>
        <v>120.20891255103311</v>
      </c>
      <c r="J19" s="11">
        <f>VLOOKUP($B19,Balance_Sheet!$B$14:$Q$20,COUNTBLANK('Balance Sheet'!$H$10:J$10)+6,0)</f>
        <v>133.89566826366504</v>
      </c>
      <c r="K19" s="11">
        <f>VLOOKUP($B19,Balance_Sheet!$B$14:$Q$20,COUNTBLANK('Balance Sheet'!$H$10:K$10)+6,0)</f>
        <v>147.92116339979543</v>
      </c>
      <c r="L19" s="11">
        <f>VLOOKUP($B19,Balance_Sheet!$B$14:$Q$20,COUNTBLANK('Balance Sheet'!$H$10:L$10)+6,0)</f>
        <v>162.17624855619081</v>
      </c>
      <c r="M19" s="11">
        <f>VLOOKUP($B19,Balance_Sheet!$B$14:$Q$20,COUNTBLANK('Balance Sheet'!$H$10:M$10)+6,0)</f>
        <v>176.55478159330406</v>
      </c>
      <c r="N19" s="11">
        <f>VLOOKUP($B19,Balance_Sheet!$B$14:$Q$20,COUNTBLANK('Balance Sheet'!$H$10:N$10)+6,0)</f>
        <v>190.9558475939796</v>
      </c>
      <c r="O19" s="11">
        <f>VLOOKUP($B19,Balance_Sheet!$B$14:$Q$20,COUNTBLANK('Balance Sheet'!$H$10:O$10)+6,0)</f>
        <v>205.28550958574814</v>
      </c>
      <c r="P19" s="11">
        <f>VLOOKUP($B19,Balance_Sheet!$B$14:$Q$20,COUNTBLANK('Balance Sheet'!$H$10:P$10)+6,0)</f>
        <v>219.45809576803859</v>
      </c>
      <c r="Q19" s="11">
        <f>VLOOKUP($B19,Balance_Sheet!$B$14:$Q$20,COUNTBLANK('Balance Sheet'!$H$10:Q$10)+6,0)</f>
        <v>233.39705170990814</v>
      </c>
    </row>
    <row r="20" spans="2:17" x14ac:dyDescent="0.25">
      <c r="B20" t="s">
        <v>39</v>
      </c>
      <c r="C20" s="292">
        <f>'Historical balance Sheet'!C23</f>
        <v>0</v>
      </c>
      <c r="D20" s="292">
        <f>'Historical balance Sheet'!D23</f>
        <v>155.19</v>
      </c>
      <c r="E20" s="292">
        <f>'Historical balance Sheet'!E23</f>
        <v>94.5</v>
      </c>
      <c r="F20" s="292">
        <f>'Historical balance Sheet'!F23</f>
        <v>110.89</v>
      </c>
      <c r="G20" s="292">
        <f>'Historical balance Sheet'!G23</f>
        <v>122.1</v>
      </c>
      <c r="H20" s="11">
        <f>VLOOKUP($B20,Balance_Sheet!$B$14:$Q$20,COUNTBLANK('Balance Sheet'!$H$10:H$10)+6,0)</f>
        <v>121.66081757487173</v>
      </c>
      <c r="I20" s="11">
        <f>VLOOKUP($B20,Balance_Sheet!$B$14:$Q$20,COUNTBLANK('Balance Sheet'!$H$10:I$10)+6,0)</f>
        <v>136.71741195284534</v>
      </c>
      <c r="J20" s="11">
        <f>VLOOKUP($B20,Balance_Sheet!$B$14:$Q$20,COUNTBLANK('Balance Sheet'!$H$10:J$10)+6,0)</f>
        <v>152.28379367406305</v>
      </c>
      <c r="K20" s="11">
        <f>VLOOKUP($B20,Balance_Sheet!$B$14:$Q$20,COUNTBLANK('Balance Sheet'!$H$10:K$10)+6,0)</f>
        <v>168.2354344939973</v>
      </c>
      <c r="L20" s="11">
        <f>VLOOKUP($B20,Balance_Sheet!$B$14:$Q$20,COUNTBLANK('Balance Sheet'!$H$10:L$10)+6,0)</f>
        <v>184.4481953316965</v>
      </c>
      <c r="M20" s="11">
        <f>VLOOKUP($B20,Balance_Sheet!$B$14:$Q$20,COUNTBLANK('Balance Sheet'!$H$10:M$10)+6,0)</f>
        <v>200.80135736265703</v>
      </c>
      <c r="N20" s="11">
        <f>VLOOKUP($B20,Balance_Sheet!$B$14:$Q$20,COUNTBLANK('Balance Sheet'!$H$10:N$10)+6,0)</f>
        <v>217.18014684832525</v>
      </c>
      <c r="O20" s="11">
        <f>VLOOKUP($B20,Balance_Sheet!$B$14:$Q$20,COUNTBLANK('Balance Sheet'!$H$10:O$10)+6,0)</f>
        <v>233.47772628813539</v>
      </c>
      <c r="P20" s="11">
        <f>VLOOKUP($B20,Balance_Sheet!$B$14:$Q$20,COUNTBLANK('Balance Sheet'!$H$10:P$10)+6,0)</f>
        <v>249.59665842387705</v>
      </c>
      <c r="Q20" s="11">
        <f>VLOOKUP($B20,Balance_Sheet!$B$14:$Q$20,COUNTBLANK('Balance Sheet'!$H$10:Q$10)+6,0)</f>
        <v>265.44987547122452</v>
      </c>
    </row>
    <row r="21" spans="2:17" x14ac:dyDescent="0.25">
      <c r="C21" s="11"/>
      <c r="D21" s="11"/>
      <c r="E21" s="11"/>
      <c r="F21" s="11"/>
      <c r="G21" s="11"/>
      <c r="H21" s="11"/>
      <c r="I21" s="11"/>
      <c r="J21" s="11"/>
      <c r="K21" s="11"/>
      <c r="L21" s="11"/>
      <c r="M21" s="11"/>
      <c r="N21" s="11"/>
      <c r="O21" s="11"/>
      <c r="P21" s="11"/>
      <c r="Q21" s="11"/>
    </row>
    <row r="22" spans="2:17" x14ac:dyDescent="0.25">
      <c r="B22" s="9" t="s">
        <v>40</v>
      </c>
      <c r="C22" s="12">
        <f t="shared" ref="C22:Q22" si="2">SUM(C15:C20)</f>
        <v>5274.0800000000008</v>
      </c>
      <c r="D22" s="12">
        <f t="shared" si="2"/>
        <v>5151.8599999999988</v>
      </c>
      <c r="E22" s="12">
        <f t="shared" si="2"/>
        <v>6121.63</v>
      </c>
      <c r="F22" s="12">
        <f t="shared" si="2"/>
        <v>7156.1100000000015</v>
      </c>
      <c r="G22" s="12">
        <f t="shared" si="2"/>
        <v>8218.7800000000007</v>
      </c>
      <c r="H22" s="12">
        <f t="shared" si="2"/>
        <v>8700.9609061099818</v>
      </c>
      <c r="I22" s="12">
        <f t="shared" si="2"/>
        <v>9467.0253552700196</v>
      </c>
      <c r="J22" s="12">
        <f t="shared" si="2"/>
        <v>10382.63128426918</v>
      </c>
      <c r="K22" s="12">
        <f t="shared" si="2"/>
        <v>11452.860942205285</v>
      </c>
      <c r="L22" s="12">
        <f t="shared" si="2"/>
        <v>12681.617798108917</v>
      </c>
      <c r="M22" s="12">
        <f t="shared" si="2"/>
        <v>14071.572003032039</v>
      </c>
      <c r="N22" s="12">
        <f t="shared" si="2"/>
        <v>15624.141248863229</v>
      </c>
      <c r="O22" s="12">
        <f t="shared" si="2"/>
        <v>17339.503980183417</v>
      </c>
      <c r="P22" s="12">
        <f t="shared" si="2"/>
        <v>19216.640984476442</v>
      </c>
      <c r="Q22" s="12">
        <f t="shared" si="2"/>
        <v>21253.40081806578</v>
      </c>
    </row>
    <row r="23" spans="2:17" x14ac:dyDescent="0.25">
      <c r="C23" s="11"/>
      <c r="D23" s="11"/>
      <c r="E23" s="11"/>
      <c r="F23" s="11"/>
      <c r="G23" s="11"/>
      <c r="H23" s="11"/>
      <c r="I23" s="11"/>
      <c r="J23" s="11"/>
      <c r="K23" s="11"/>
      <c r="L23" s="11"/>
      <c r="M23" s="11"/>
      <c r="N23" s="11"/>
      <c r="O23" s="11"/>
      <c r="P23" s="11"/>
      <c r="Q23" s="11"/>
    </row>
    <row r="24" spans="2:17" x14ac:dyDescent="0.25">
      <c r="B24" s="1" t="s">
        <v>41</v>
      </c>
      <c r="C24" s="11"/>
      <c r="D24" s="11"/>
      <c r="E24" s="11"/>
      <c r="F24" s="11"/>
      <c r="G24" s="11"/>
      <c r="H24" s="11"/>
      <c r="I24" s="11"/>
      <c r="J24" s="11"/>
      <c r="K24" s="11"/>
      <c r="L24" s="11"/>
      <c r="M24" s="11"/>
      <c r="N24" s="11"/>
      <c r="O24" s="11"/>
      <c r="P24" s="11"/>
      <c r="Q24" s="11"/>
    </row>
    <row r="25" spans="2:17" x14ac:dyDescent="0.25">
      <c r="B25" t="s">
        <v>42</v>
      </c>
      <c r="C25" s="292">
        <f>'Historical balance Sheet'!C28</f>
        <v>935.68</v>
      </c>
      <c r="D25" s="292">
        <f>'Historical balance Sheet'!D28</f>
        <v>934.12</v>
      </c>
      <c r="E25" s="292">
        <f>'Historical balance Sheet'!E28</f>
        <v>1031.05</v>
      </c>
      <c r="F25" s="292">
        <f>'Historical balance Sheet'!F28</f>
        <v>1159.6500000000001</v>
      </c>
      <c r="G25" s="292">
        <f>'Historical balance Sheet'!G28</f>
        <v>1454.02</v>
      </c>
      <c r="H25" s="292">
        <f>'Working Capital Schedules'!H14</f>
        <v>1500.682481343699</v>
      </c>
      <c r="I25" s="292">
        <f>'Working Capital Schedules'!I14</f>
        <v>1686.4051146624968</v>
      </c>
      <c r="J25" s="292">
        <f>'Working Capital Schedules'!J14</f>
        <v>1878.4159593419188</v>
      </c>
      <c r="K25" s="292">
        <f>'Working Capital Schedules'!K14</f>
        <v>2075.1789632764467</v>
      </c>
      <c r="L25" s="292">
        <f>'Working Capital Schedules'!L14</f>
        <v>2275.1628746814249</v>
      </c>
      <c r="M25" s="292">
        <f>'Working Capital Schedules'!M14</f>
        <v>2476.8786305313688</v>
      </c>
      <c r="N25" s="292">
        <f>'Working Capital Schedules'!N14</f>
        <v>2678.9105002550145</v>
      </c>
      <c r="O25" s="292">
        <f>'Working Capital Schedules'!O14</f>
        <v>2879.9406465350926</v>
      </c>
      <c r="P25" s="292">
        <f>'Working Capital Schedules'!P14</f>
        <v>3078.7671837576377</v>
      </c>
      <c r="Q25" s="292">
        <f>'Working Capital Schedules'!Q14</f>
        <v>3274.316133453397</v>
      </c>
    </row>
    <row r="26" spans="2:17" x14ac:dyDescent="0.25">
      <c r="B26" s="1" t="s">
        <v>43</v>
      </c>
      <c r="C26" s="11"/>
      <c r="D26" s="11"/>
      <c r="E26" s="11"/>
      <c r="F26" s="11"/>
      <c r="G26" s="11"/>
      <c r="H26" s="11"/>
      <c r="I26" s="11"/>
      <c r="J26" s="11"/>
      <c r="K26" s="11"/>
      <c r="L26" s="11"/>
      <c r="M26" s="11"/>
      <c r="N26" s="11"/>
      <c r="O26" s="11"/>
      <c r="P26" s="11"/>
      <c r="Q26" s="11"/>
    </row>
    <row r="27" spans="2:17" x14ac:dyDescent="0.25">
      <c r="B27" s="8" t="s">
        <v>44</v>
      </c>
      <c r="C27" s="292">
        <f>'Historical balance Sheet'!C30</f>
        <v>793.73</v>
      </c>
      <c r="D27" s="292">
        <f>'Historical balance Sheet'!D30</f>
        <v>1091.52</v>
      </c>
      <c r="E27" s="292">
        <f>'Historical balance Sheet'!E30</f>
        <v>940.49</v>
      </c>
      <c r="F27" s="292">
        <f>'Historical balance Sheet'!F30</f>
        <v>854.18</v>
      </c>
      <c r="G27" s="292">
        <f>'Historical balance Sheet'!G30</f>
        <v>786.06</v>
      </c>
      <c r="H27" s="292">
        <f>'Working Capital Schedules'!H15</f>
        <v>1216.6314870306792</v>
      </c>
      <c r="I27" s="292">
        <f>'Working Capital Schedules'!I15</f>
        <v>1367.2003157862353</v>
      </c>
      <c r="J27" s="292">
        <f>'Working Capital Schedules'!J15</f>
        <v>1522.8671156539676</v>
      </c>
      <c r="K27" s="292">
        <f>'Working Capital Schedules'!K15</f>
        <v>1682.386580327895</v>
      </c>
      <c r="L27" s="292">
        <f>'Working Capital Schedules'!L15</f>
        <v>1844.5172952123628</v>
      </c>
      <c r="M27" s="292">
        <f>'Working Capital Schedules'!M15</f>
        <v>2008.0520489315461</v>
      </c>
      <c r="N27" s="292">
        <f>'Working Capital Schedules'!N15</f>
        <v>2171.843082108252</v>
      </c>
      <c r="O27" s="292">
        <f>'Working Capital Schedules'!O15</f>
        <v>2334.8219992658187</v>
      </c>
      <c r="P27" s="292">
        <f>'Working Capital Schedules'!P15</f>
        <v>2496.0144091523066</v>
      </c>
      <c r="Q27" s="292">
        <f>'Working Capital Schedules'!Q15</f>
        <v>2654.5496172415064</v>
      </c>
    </row>
    <row r="28" spans="2:17" x14ac:dyDescent="0.25">
      <c r="B28" s="8" t="s">
        <v>45</v>
      </c>
      <c r="C28" s="292">
        <f>'Historical balance Sheet'!C31</f>
        <v>412.32</v>
      </c>
      <c r="D28" s="292">
        <f>'Historical balance Sheet'!D31</f>
        <v>93.63</v>
      </c>
      <c r="E28" s="292">
        <f>'Historical balance Sheet'!E31</f>
        <v>167.45</v>
      </c>
      <c r="F28" s="292">
        <f>'Historical balance Sheet'!F31</f>
        <v>428.29</v>
      </c>
      <c r="G28" s="292">
        <f>'Historical balance Sheet'!G31</f>
        <v>199.39</v>
      </c>
      <c r="H28" s="11">
        <f>'Cashflow Statement'!H61</f>
        <v>225.1330686386184</v>
      </c>
      <c r="I28" s="11">
        <f>'Cashflow Statement'!I61</f>
        <v>611.88219968702697</v>
      </c>
      <c r="J28" s="11">
        <f>'Cashflow Statement'!J61</f>
        <v>963.6332702907107</v>
      </c>
      <c r="K28" s="11">
        <f>'Cashflow Statement'!K61</f>
        <v>1268.5024429920916</v>
      </c>
      <c r="L28" s="11">
        <f>'Cashflow Statement'!L61</f>
        <v>1514.4198973131563</v>
      </c>
      <c r="M28" s="11">
        <f>'Cashflow Statement'!M61</f>
        <v>1689.3437110977527</v>
      </c>
      <c r="N28" s="11">
        <f>'Cashflow Statement'!N61</f>
        <v>1781.4521673287084</v>
      </c>
      <c r="O28" s="11">
        <f>'Cashflow Statement'!O61</f>
        <v>1779.3103197753551</v>
      </c>
      <c r="P28" s="11">
        <f>'Cashflow Statement'!P61</f>
        <v>1672.0085760479517</v>
      </c>
      <c r="Q28" s="11">
        <f>'Cashflow Statement'!Q61</f>
        <v>1449.2727113444519</v>
      </c>
    </row>
    <row r="29" spans="2:17" x14ac:dyDescent="0.25">
      <c r="B29" s="8" t="s">
        <v>47</v>
      </c>
      <c r="C29" s="292">
        <f>'Historical balance Sheet'!C32</f>
        <v>0</v>
      </c>
      <c r="D29" s="292">
        <f>'Historical balance Sheet'!D32</f>
        <v>79.930000000000007</v>
      </c>
      <c r="E29" s="292">
        <f>'Historical balance Sheet'!E32</f>
        <v>33.28</v>
      </c>
      <c r="F29" s="292">
        <f>'Historical balance Sheet'!F32</f>
        <v>87.95</v>
      </c>
      <c r="G29" s="292">
        <f>'Historical balance Sheet'!G32</f>
        <v>95.58</v>
      </c>
      <c r="H29" s="11">
        <v>0</v>
      </c>
      <c r="I29" s="11">
        <v>0</v>
      </c>
      <c r="J29" s="11">
        <v>0</v>
      </c>
      <c r="K29" s="11">
        <v>0</v>
      </c>
      <c r="L29" s="11">
        <v>0</v>
      </c>
      <c r="M29" s="11">
        <v>0</v>
      </c>
      <c r="N29" s="11">
        <v>0</v>
      </c>
      <c r="O29" s="11">
        <v>0</v>
      </c>
      <c r="P29" s="11">
        <v>0</v>
      </c>
      <c r="Q29" s="11">
        <v>0</v>
      </c>
    </row>
    <row r="30" spans="2:17" x14ac:dyDescent="0.25">
      <c r="B30" s="8" t="s">
        <v>46</v>
      </c>
      <c r="C30" s="292">
        <f>'Historical balance Sheet'!C33</f>
        <v>0</v>
      </c>
      <c r="D30" s="292">
        <f>'Historical balance Sheet'!D33</f>
        <v>0</v>
      </c>
      <c r="E30" s="292">
        <f>'Historical balance Sheet'!E33</f>
        <v>32.03</v>
      </c>
      <c r="F30" s="292">
        <f>'Historical balance Sheet'!F33</f>
        <v>8.2799999999999994</v>
      </c>
      <c r="G30" s="292">
        <f>'Historical balance Sheet'!G33</f>
        <v>6.27</v>
      </c>
      <c r="H30" s="11">
        <f>VLOOKUP($B30,Balance_Sheet!$B$24:$Q$30,COUNTBLANK('Balance Sheet'!$H$10:H$10)+6,0)</f>
        <v>11.514218927808967</v>
      </c>
      <c r="I30" s="11">
        <f>VLOOKUP($B30,Balance_Sheet!$B$24:$Q$30,COUNTBLANK('Balance Sheet'!$H$10:I$10)+6,0)</f>
        <v>12.939204616964926</v>
      </c>
      <c r="J30" s="11">
        <f>VLOOKUP($B30,Balance_Sheet!$B$24:$Q$30,COUNTBLANK('Balance Sheet'!$H$10:J$10)+6,0)</f>
        <v>14.412437582390634</v>
      </c>
      <c r="K30" s="11">
        <f>VLOOKUP($B30,Balance_Sheet!$B$24:$Q$30,COUNTBLANK('Balance Sheet'!$H$10:K$10)+6,0)</f>
        <v>15.92213222623489</v>
      </c>
      <c r="L30" s="11">
        <f>VLOOKUP($B30,Balance_Sheet!$B$24:$Q$30,COUNTBLANK('Balance Sheet'!$H$10:L$10)+6,0)</f>
        <v>17.456539781852314</v>
      </c>
      <c r="M30" s="11">
        <f>VLOOKUP($B30,Balance_Sheet!$B$24:$Q$30,COUNTBLANK('Balance Sheet'!$H$10:M$10)+6,0)</f>
        <v>19.00423518239106</v>
      </c>
      <c r="N30" s="11">
        <f>VLOOKUP($B30,Balance_Sheet!$B$24:$Q$30,COUNTBLANK('Balance Sheet'!$H$10:N$10)+6,0)</f>
        <v>20.554356015620044</v>
      </c>
      <c r="O30" s="11">
        <f>VLOOKUP($B30,Balance_Sheet!$B$24:$Q$30,COUNTBLANK('Balance Sheet'!$H$10:O$10)+6,0)</f>
        <v>22.096790970471861</v>
      </c>
      <c r="P30" s="11">
        <f>VLOOKUP($B30,Balance_Sheet!$B$24:$Q$30,COUNTBLANK('Balance Sheet'!$H$10:P$10)+6,0)</f>
        <v>23.62231839329397</v>
      </c>
      <c r="Q30" s="11">
        <f>VLOOKUP($B30,Balance_Sheet!$B$24:$Q$30,COUNTBLANK('Balance Sheet'!$H$10:Q$10)+6,0)</f>
        <v>25.122698017825886</v>
      </c>
    </row>
    <row r="31" spans="2:17" x14ac:dyDescent="0.25">
      <c r="B31" s="8" t="s">
        <v>48</v>
      </c>
      <c r="C31" s="292">
        <f>'Historical balance Sheet'!C34</f>
        <v>187.48</v>
      </c>
      <c r="D31" s="292">
        <f>'Historical balance Sheet'!D34</f>
        <v>407.3</v>
      </c>
      <c r="E31" s="292">
        <f>'Historical balance Sheet'!E34</f>
        <v>160.74</v>
      </c>
      <c r="F31" s="292">
        <f>'Historical balance Sheet'!F34</f>
        <v>16.71</v>
      </c>
      <c r="G31" s="292">
        <f>'Historical balance Sheet'!G34</f>
        <v>16.32</v>
      </c>
      <c r="H31" s="11">
        <f>VLOOKUP($B31,Balance_Sheet!$B$24:$Q$30,COUNTBLANK('Balance Sheet'!$H$10:H$10)+6,0)</f>
        <v>226.43815192017524</v>
      </c>
      <c r="I31" s="11">
        <f>VLOOKUP($B31,Balance_Sheet!$B$24:$Q$30,COUNTBLANK('Balance Sheet'!$H$10:I$10)+6,0)</f>
        <v>254.46186138655182</v>
      </c>
      <c r="J31" s="11">
        <f>VLOOKUP($B31,Balance_Sheet!$B$24:$Q$30,COUNTBLANK('Balance Sheet'!$H$10:J$10)+6,0)</f>
        <v>283.43439978715321</v>
      </c>
      <c r="K31" s="11">
        <f>VLOOKUP($B31,Balance_Sheet!$B$24:$Q$30,COUNTBLANK('Balance Sheet'!$H$10:K$10)+6,0)</f>
        <v>313.12399204340636</v>
      </c>
      <c r="L31" s="11">
        <f>VLOOKUP($B31,Balance_Sheet!$B$24:$Q$30,COUNTBLANK('Balance Sheet'!$H$10:L$10)+6,0)</f>
        <v>343.29958739770444</v>
      </c>
      <c r="M31" s="11">
        <f>VLOOKUP($B31,Balance_Sheet!$B$24:$Q$30,COUNTBLANK('Balance Sheet'!$H$10:M$10)+6,0)</f>
        <v>373.73650095915582</v>
      </c>
      <c r="N31" s="11">
        <f>VLOOKUP($B31,Balance_Sheet!$B$24:$Q$30,COUNTBLANK('Balance Sheet'!$H$10:N$10)+6,0)</f>
        <v>404.22111297930667</v>
      </c>
      <c r="O31" s="11">
        <f>VLOOKUP($B31,Balance_Sheet!$B$24:$Q$30,COUNTBLANK('Balance Sheet'!$H$10:O$10)+6,0)</f>
        <v>434.55457483403842</v>
      </c>
      <c r="P31" s="11">
        <f>VLOOKUP($B31,Balance_Sheet!$B$24:$Q$30,COUNTBLANK('Balance Sheet'!$H$10:P$10)+6,0)</f>
        <v>464.55553386505795</v>
      </c>
      <c r="Q31" s="11">
        <f>VLOOKUP($B31,Balance_Sheet!$B$24:$Q$30,COUNTBLANK('Balance Sheet'!$H$10:Q$10)+6,0)</f>
        <v>494.06193733782425</v>
      </c>
    </row>
    <row r="32" spans="2:17" x14ac:dyDescent="0.25">
      <c r="B32" t="s">
        <v>49</v>
      </c>
      <c r="C32" s="292">
        <f>'Historical balance Sheet'!C35</f>
        <v>0</v>
      </c>
      <c r="D32" s="292">
        <f>'Historical balance Sheet'!D35</f>
        <v>55.42</v>
      </c>
      <c r="E32" s="292">
        <f>'Historical balance Sheet'!E35</f>
        <v>55.48</v>
      </c>
      <c r="F32" s="292">
        <f>'Historical balance Sheet'!F35</f>
        <v>71.16</v>
      </c>
      <c r="G32" s="292">
        <f>'Historical balance Sheet'!G35</f>
        <v>13.89</v>
      </c>
      <c r="H32" s="11">
        <f>VLOOKUP($B32,Balance_Sheet!$B$24:$Q$30,COUNTBLANK('Balance Sheet'!$H$10:H$10)+6,0)</f>
        <v>50.273184938126661</v>
      </c>
      <c r="I32" s="11">
        <f>VLOOKUP($B32,Balance_Sheet!$B$24:$Q$30,COUNTBLANK('Balance Sheet'!$H$10:I$10)+6,0)</f>
        <v>56.494932981504661</v>
      </c>
      <c r="J32" s="11">
        <f>VLOOKUP($B32,Balance_Sheet!$B$24:$Q$30,COUNTBLANK('Balance Sheet'!$H$10:J$10)+6,0)</f>
        <v>62.927337453935948</v>
      </c>
      <c r="K32" s="11">
        <f>VLOOKUP($B32,Balance_Sheet!$B$24:$Q$30,COUNTBLANK('Balance Sheet'!$H$10:K$10)+6,0)</f>
        <v>69.518940280487726</v>
      </c>
      <c r="L32" s="11">
        <f>VLOOKUP($B32,Balance_Sheet!$B$24:$Q$30,COUNTBLANK('Balance Sheet'!$H$10:L$10)+6,0)</f>
        <v>76.218444198005514</v>
      </c>
      <c r="M32" s="11">
        <f>VLOOKUP($B32,Balance_Sheet!$B$24:$Q$30,COUNTBLANK('Balance Sheet'!$H$10:M$10)+6,0)</f>
        <v>82.975965275814175</v>
      </c>
      <c r="N32" s="11">
        <f>VLOOKUP($B32,Balance_Sheet!$B$24:$Q$30,COUNTBLANK('Balance Sheet'!$H$10:N$10)+6,0)</f>
        <v>89.744076236180703</v>
      </c>
      <c r="O32" s="11">
        <f>VLOOKUP($B32,Balance_Sheet!$B$24:$Q$30,COUNTBLANK('Balance Sheet'!$H$10:O$10)+6,0)</f>
        <v>96.478629246373643</v>
      </c>
      <c r="P32" s="11">
        <f>VLOOKUP($B32,Balance_Sheet!$B$24:$Q$30,COUNTBLANK('Balance Sheet'!$H$10:P$10)+6,0)</f>
        <v>103.13936088058738</v>
      </c>
      <c r="Q32" s="11">
        <f>VLOOKUP($B32,Balance_Sheet!$B$24:$Q$30,COUNTBLANK('Balance Sheet'!$H$10:Q$10)+6,0)</f>
        <v>109.69029262979316</v>
      </c>
    </row>
    <row r="33" spans="2:17" x14ac:dyDescent="0.25">
      <c r="B33" t="s">
        <v>50</v>
      </c>
      <c r="C33" s="292">
        <f>'Historical balance Sheet'!C36</f>
        <v>38.39</v>
      </c>
      <c r="D33" s="292">
        <f>'Historical balance Sheet'!D36</f>
        <v>36.909999999999997</v>
      </c>
      <c r="E33" s="292">
        <f>'Historical balance Sheet'!E36</f>
        <v>38.75</v>
      </c>
      <c r="F33" s="292">
        <f>'Historical balance Sheet'!F36</f>
        <v>332.84</v>
      </c>
      <c r="G33" s="292">
        <f>'Historical balance Sheet'!G36</f>
        <v>323.20999999999998</v>
      </c>
      <c r="H33" s="11">
        <f>VLOOKUP($B33,Balance_Sheet!$B$24:$Q$30,COUNTBLANK('Balance Sheet'!$H$10:H$10)+6,0)</f>
        <v>192.63461451218012</v>
      </c>
      <c r="I33" s="11">
        <f>VLOOKUP($B33,Balance_Sheet!$B$24:$Q$30,COUNTBLANK('Balance Sheet'!$H$10:I$10)+6,0)</f>
        <v>216.47483942339485</v>
      </c>
      <c r="J33" s="11">
        <f>VLOOKUP($B33,Balance_Sheet!$B$24:$Q$30,COUNTBLANK('Balance Sheet'!$H$10:J$10)+6,0)</f>
        <v>241.12224852345966</v>
      </c>
      <c r="K33" s="11">
        <f>VLOOKUP($B33,Balance_Sheet!$B$24:$Q$30,COUNTBLANK('Balance Sheet'!$H$10:K$10)+6,0)</f>
        <v>266.37966698765604</v>
      </c>
      <c r="L33" s="11">
        <f>VLOOKUP($B33,Balance_Sheet!$B$24:$Q$30,COUNTBLANK('Balance Sheet'!$H$10:L$10)+6,0)</f>
        <v>292.05053618287855</v>
      </c>
      <c r="M33" s="11">
        <f>VLOOKUP($B33,Balance_Sheet!$B$24:$Q$30,COUNTBLANK('Balance Sheet'!$H$10:M$10)+6,0)</f>
        <v>317.94371302225522</v>
      </c>
      <c r="N33" s="11">
        <f>VLOOKUP($B33,Balance_Sheet!$B$24:$Q$30,COUNTBLANK('Balance Sheet'!$H$10:N$10)+6,0)</f>
        <v>343.87746771534808</v>
      </c>
      <c r="O33" s="11">
        <f>VLOOKUP($B33,Balance_Sheet!$B$24:$Q$30,COUNTBLANK('Balance Sheet'!$H$10:O$10)+6,0)</f>
        <v>369.68263650716051</v>
      </c>
      <c r="P33" s="11">
        <f>VLOOKUP($B33,Balance_Sheet!$B$24:$Q$30,COUNTBLANK('Balance Sheet'!$H$10:P$10)+6,0)</f>
        <v>395.20493974505951</v>
      </c>
      <c r="Q33" s="11">
        <f>VLOOKUP($B33,Balance_Sheet!$B$24:$Q$30,COUNTBLANK('Balance Sheet'!$H$10:Q$10)+6,0)</f>
        <v>420.30651653509136</v>
      </c>
    </row>
    <row r="34" spans="2:17" x14ac:dyDescent="0.25">
      <c r="C34" s="11"/>
      <c r="D34" s="11"/>
      <c r="E34" s="11"/>
      <c r="F34" s="11"/>
      <c r="G34" s="11"/>
      <c r="H34" s="11"/>
      <c r="I34" s="11"/>
      <c r="J34" s="11"/>
      <c r="K34" s="11"/>
      <c r="L34" s="11"/>
      <c r="M34" s="11"/>
      <c r="N34" s="11"/>
      <c r="O34" s="11"/>
      <c r="P34" s="11"/>
      <c r="Q34" s="11"/>
    </row>
    <row r="35" spans="2:17" x14ac:dyDescent="0.25">
      <c r="B35" s="9" t="s">
        <v>51</v>
      </c>
      <c r="C35" s="12">
        <f>SUM(C25:C33)</f>
        <v>2367.6</v>
      </c>
      <c r="D35" s="12">
        <f t="shared" ref="D35:G35" si="3">SUM(D25:D33)</f>
        <v>2698.83</v>
      </c>
      <c r="E35" s="12">
        <f t="shared" si="3"/>
        <v>2459.27</v>
      </c>
      <c r="F35" s="12">
        <f t="shared" si="3"/>
        <v>2959.06</v>
      </c>
      <c r="G35" s="12">
        <f t="shared" si="3"/>
        <v>2894.74</v>
      </c>
      <c r="H35" s="12">
        <f t="shared" ref="H35:Q35" si="4">SUM(H25:H33)</f>
        <v>3423.3072073112876</v>
      </c>
      <c r="I35" s="12">
        <f t="shared" si="4"/>
        <v>4205.8584685441756</v>
      </c>
      <c r="J35" s="12">
        <f t="shared" si="4"/>
        <v>4966.8127686335365</v>
      </c>
      <c r="K35" s="12">
        <f t="shared" si="4"/>
        <v>5691.0127181342177</v>
      </c>
      <c r="L35" s="12">
        <f t="shared" si="4"/>
        <v>6363.1251747673841</v>
      </c>
      <c r="M35" s="12">
        <f t="shared" si="4"/>
        <v>6967.9348050002836</v>
      </c>
      <c r="N35" s="12">
        <f t="shared" si="4"/>
        <v>7490.6027626384293</v>
      </c>
      <c r="O35" s="12">
        <f t="shared" si="4"/>
        <v>7916.88559713431</v>
      </c>
      <c r="P35" s="12">
        <f t="shared" si="4"/>
        <v>8233.312321841895</v>
      </c>
      <c r="Q35" s="12">
        <f t="shared" si="4"/>
        <v>8427.319906559891</v>
      </c>
    </row>
    <row r="36" spans="2:17" x14ac:dyDescent="0.25">
      <c r="C36" s="11"/>
      <c r="D36" s="11"/>
      <c r="E36" s="11"/>
      <c r="F36" s="11"/>
      <c r="G36" s="11"/>
      <c r="H36" s="11"/>
      <c r="I36" s="11"/>
      <c r="J36" s="11"/>
      <c r="K36" s="11"/>
      <c r="L36" s="11"/>
      <c r="M36" s="11"/>
      <c r="N36" s="11"/>
      <c r="O36" s="11"/>
      <c r="P36" s="11"/>
      <c r="Q36" s="11"/>
    </row>
    <row r="37" spans="2:17" x14ac:dyDescent="0.25">
      <c r="B37" s="10" t="s">
        <v>52</v>
      </c>
      <c r="C37" s="13">
        <f>C35+C22</f>
        <v>7641.68</v>
      </c>
      <c r="D37" s="13">
        <f t="shared" ref="D37:G37" si="5">D35+D22</f>
        <v>7850.6899999999987</v>
      </c>
      <c r="E37" s="13">
        <f t="shared" si="5"/>
        <v>8580.9</v>
      </c>
      <c r="F37" s="13">
        <f t="shared" si="5"/>
        <v>10115.170000000002</v>
      </c>
      <c r="G37" s="13">
        <f t="shared" si="5"/>
        <v>11113.52</v>
      </c>
      <c r="H37" s="13">
        <f t="shared" ref="H37:Q37" si="6">H35+H22</f>
        <v>12124.268113421269</v>
      </c>
      <c r="I37" s="13">
        <f t="shared" si="6"/>
        <v>13672.883823814194</v>
      </c>
      <c r="J37" s="13">
        <f t="shared" si="6"/>
        <v>15349.444052902716</v>
      </c>
      <c r="K37" s="13">
        <f t="shared" si="6"/>
        <v>17143.873660339501</v>
      </c>
      <c r="L37" s="13">
        <f t="shared" si="6"/>
        <v>19044.742972876302</v>
      </c>
      <c r="M37" s="13">
        <f t="shared" si="6"/>
        <v>21039.506808032322</v>
      </c>
      <c r="N37" s="13">
        <f t="shared" si="6"/>
        <v>23114.744011501658</v>
      </c>
      <c r="O37" s="13">
        <f t="shared" si="6"/>
        <v>25256.389577317728</v>
      </c>
      <c r="P37" s="13">
        <f t="shared" si="6"/>
        <v>27449.953306318337</v>
      </c>
      <c r="Q37" s="13">
        <f t="shared" si="6"/>
        <v>29680.720724625673</v>
      </c>
    </row>
    <row r="38" spans="2:17" x14ac:dyDescent="0.25">
      <c r="C38" s="11"/>
      <c r="D38" s="11"/>
      <c r="E38" s="11"/>
      <c r="F38" s="11"/>
      <c r="G38" s="11"/>
      <c r="H38" s="11"/>
      <c r="I38" s="11"/>
      <c r="J38" s="11"/>
      <c r="K38" s="11"/>
      <c r="L38" s="11"/>
      <c r="M38" s="11"/>
      <c r="N38" s="11"/>
      <c r="O38" s="11"/>
      <c r="P38" s="11"/>
      <c r="Q38" s="11"/>
    </row>
    <row r="39" spans="2:17" x14ac:dyDescent="0.25">
      <c r="B39" s="1" t="s">
        <v>53</v>
      </c>
      <c r="C39" s="11"/>
      <c r="D39" s="11"/>
      <c r="E39" s="11"/>
      <c r="F39" s="11"/>
      <c r="G39" s="11"/>
      <c r="H39" s="11"/>
      <c r="I39" s="11"/>
      <c r="J39" s="11"/>
      <c r="K39" s="11"/>
      <c r="L39" s="11"/>
      <c r="M39" s="11"/>
      <c r="N39" s="11"/>
      <c r="O39" s="11"/>
      <c r="P39" s="11"/>
      <c r="Q39" s="11"/>
    </row>
    <row r="40" spans="2:17" x14ac:dyDescent="0.25">
      <c r="B40" s="1" t="s">
        <v>54</v>
      </c>
      <c r="C40" s="11"/>
      <c r="D40" s="11"/>
      <c r="E40" s="11"/>
      <c r="F40" s="11"/>
      <c r="G40" s="11"/>
      <c r="H40" s="11"/>
      <c r="I40" s="11"/>
      <c r="J40" s="11"/>
      <c r="K40" s="11"/>
      <c r="L40" s="11"/>
      <c r="M40" s="11"/>
      <c r="N40" s="11"/>
      <c r="O40" s="11"/>
      <c r="P40" s="11"/>
      <c r="Q40" s="11"/>
    </row>
    <row r="41" spans="2:17" x14ac:dyDescent="0.25">
      <c r="B41" t="s">
        <v>55</v>
      </c>
      <c r="C41" s="292">
        <f>'Historical balance Sheet'!C44</f>
        <v>87.12</v>
      </c>
      <c r="D41" s="292">
        <f>'Historical balance Sheet'!D44</f>
        <v>181.25</v>
      </c>
      <c r="E41" s="292">
        <f>'Historical balance Sheet'!E44</f>
        <v>181.25</v>
      </c>
      <c r="F41" s="292">
        <f>'Historical balance Sheet'!F44</f>
        <v>181.25</v>
      </c>
      <c r="G41" s="292">
        <f>'Historical balance Sheet'!G44</f>
        <v>181.26</v>
      </c>
      <c r="H41" s="11">
        <f>G41</f>
        <v>181.26</v>
      </c>
      <c r="I41" s="11">
        <f t="shared" ref="I41:Q41" si="7">H41</f>
        <v>181.26</v>
      </c>
      <c r="J41" s="11">
        <f t="shared" si="7"/>
        <v>181.26</v>
      </c>
      <c r="K41" s="11">
        <f t="shared" si="7"/>
        <v>181.26</v>
      </c>
      <c r="L41" s="11">
        <f t="shared" si="7"/>
        <v>181.26</v>
      </c>
      <c r="M41" s="11">
        <f t="shared" si="7"/>
        <v>181.26</v>
      </c>
      <c r="N41" s="11">
        <f t="shared" si="7"/>
        <v>181.26</v>
      </c>
      <c r="O41" s="11">
        <f t="shared" si="7"/>
        <v>181.26</v>
      </c>
      <c r="P41" s="11">
        <f t="shared" si="7"/>
        <v>181.26</v>
      </c>
      <c r="Q41" s="11">
        <f t="shared" si="7"/>
        <v>181.26</v>
      </c>
    </row>
    <row r="42" spans="2:17" x14ac:dyDescent="0.25">
      <c r="B42" t="s">
        <v>56</v>
      </c>
      <c r="C42" s="292">
        <f>'Historical balance Sheet'!C45</f>
        <v>3415.78</v>
      </c>
      <c r="D42" s="292">
        <f>'Historical balance Sheet'!D45</f>
        <v>4334.7299999999996</v>
      </c>
      <c r="E42" s="292">
        <f>'Historical balance Sheet'!E45</f>
        <v>4738.83</v>
      </c>
      <c r="F42" s="292">
        <f>'Historical balance Sheet'!F45</f>
        <v>5108.5200000000004</v>
      </c>
      <c r="G42" s="292">
        <f>'Historical balance Sheet'!G45</f>
        <v>5423.86</v>
      </c>
      <c r="H42" s="11">
        <f>G42+'Income statement'!H44+'Income statement'!H49</f>
        <v>6136.9980756422337</v>
      </c>
      <c r="I42" s="11">
        <f>H42+'Income statement'!I44+'Income statement'!I49</f>
        <v>6967.0690660846831</v>
      </c>
      <c r="J42" s="11">
        <f>I42+'Income statement'!J44+'Income statement'!J49</f>
        <v>7900.7560322209001</v>
      </c>
      <c r="K42" s="11">
        <f>J42+'Income statement'!K44+'Income statement'!K49</f>
        <v>8933.9266857419207</v>
      </c>
      <c r="L42" s="11">
        <f>K42+'Income statement'!L44+'Income statement'!L49</f>
        <v>10061.075633413815</v>
      </c>
      <c r="M42" s="11">
        <f>L42+'Income statement'!M44+'Income statement'!M49</f>
        <v>11275.418748129154</v>
      </c>
      <c r="N42" s="11">
        <f>M42+'Income statement'!N44+'Income statement'!N49</f>
        <v>12569.012214066181</v>
      </c>
      <c r="O42" s="11">
        <f>N42+'Income statement'!O44+'Income statement'!O49</f>
        <v>13932.889623254452</v>
      </c>
      <c r="P42" s="11">
        <f>O42+'Income statement'!P44+'Income statement'!P49</f>
        <v>15357.210767469694</v>
      </c>
      <c r="Q42" s="11">
        <f>P42+'Income statement'!Q44+'Income statement'!Q49</f>
        <v>16831.41630215049</v>
      </c>
    </row>
    <row r="43" spans="2:17" x14ac:dyDescent="0.25">
      <c r="B43" t="s">
        <v>57</v>
      </c>
      <c r="C43" s="292">
        <f>'Historical balance Sheet'!C46</f>
        <v>12.24</v>
      </c>
      <c r="D43" s="292">
        <f>'Historical balance Sheet'!D46</f>
        <v>0.72</v>
      </c>
      <c r="E43" s="292">
        <f>'Historical balance Sheet'!E46</f>
        <v>0.72</v>
      </c>
      <c r="F43" s="292">
        <f>'Historical balance Sheet'!F46</f>
        <v>0.72</v>
      </c>
      <c r="G43" s="292">
        <f>'Historical balance Sheet'!G46</f>
        <v>0.1</v>
      </c>
      <c r="H43" s="33">
        <v>0</v>
      </c>
      <c r="I43" s="33">
        <v>0</v>
      </c>
      <c r="J43" s="33">
        <v>0</v>
      </c>
      <c r="K43" s="33">
        <v>0</v>
      </c>
      <c r="L43" s="33">
        <v>0</v>
      </c>
      <c r="M43" s="33">
        <v>0</v>
      </c>
      <c r="N43" s="33">
        <v>0</v>
      </c>
      <c r="O43" s="33">
        <v>0</v>
      </c>
      <c r="P43" s="33">
        <v>0</v>
      </c>
      <c r="Q43" s="33">
        <v>0</v>
      </c>
    </row>
    <row r="44" spans="2:17" x14ac:dyDescent="0.25">
      <c r="B44" s="10" t="s">
        <v>58</v>
      </c>
      <c r="C44" s="13">
        <f>SUM(C41:C43)</f>
        <v>3515.14</v>
      </c>
      <c r="D44" s="13">
        <f t="shared" ref="D44:G44" si="8">SUM(D41:D43)</f>
        <v>4516.7</v>
      </c>
      <c r="E44" s="13">
        <f t="shared" si="8"/>
        <v>4920.8</v>
      </c>
      <c r="F44" s="13">
        <f t="shared" si="8"/>
        <v>5290.4900000000007</v>
      </c>
      <c r="G44" s="13">
        <f t="shared" si="8"/>
        <v>5605.22</v>
      </c>
      <c r="H44" s="13">
        <f t="shared" ref="H44" si="9">SUM(H41:H43)</f>
        <v>6318.258075642234</v>
      </c>
      <c r="I44" s="13">
        <f t="shared" ref="I44" si="10">SUM(I41:I43)</f>
        <v>7148.3290660846833</v>
      </c>
      <c r="J44" s="13">
        <f t="shared" ref="J44" si="11">SUM(J41:J43)</f>
        <v>8082.0160322209003</v>
      </c>
      <c r="K44" s="13">
        <f t="shared" ref="K44" si="12">SUM(K41:K43)</f>
        <v>9115.1866857419209</v>
      </c>
      <c r="L44" s="13">
        <f t="shared" ref="L44" si="13">SUM(L41:L43)</f>
        <v>10242.335633413815</v>
      </c>
      <c r="M44" s="13">
        <f t="shared" ref="M44" si="14">SUM(M41:M43)</f>
        <v>11456.678748129154</v>
      </c>
      <c r="N44" s="13">
        <f t="shared" ref="N44" si="15">SUM(N41:N43)</f>
        <v>12750.272214066181</v>
      </c>
      <c r="O44" s="13">
        <f t="shared" ref="O44" si="16">SUM(O41:O43)</f>
        <v>14114.149623254452</v>
      </c>
      <c r="P44" s="13">
        <f t="shared" ref="P44" si="17">SUM(P41:P43)</f>
        <v>15538.470767469695</v>
      </c>
      <c r="Q44" s="54">
        <f t="shared" ref="Q44" si="18">SUM(Q41:Q43)</f>
        <v>17012.676302150488</v>
      </c>
    </row>
    <row r="45" spans="2:17" x14ac:dyDescent="0.25">
      <c r="C45" s="11"/>
      <c r="D45" s="11"/>
      <c r="E45" s="11"/>
      <c r="F45" s="11"/>
      <c r="G45" s="11"/>
      <c r="H45" s="11"/>
      <c r="I45" s="11"/>
      <c r="J45" s="11"/>
      <c r="K45" s="11"/>
      <c r="L45" s="11"/>
      <c r="M45" s="11"/>
      <c r="N45" s="11"/>
      <c r="O45" s="11"/>
      <c r="P45" s="11"/>
      <c r="Q45" s="11"/>
    </row>
    <row r="46" spans="2:17" x14ac:dyDescent="0.25">
      <c r="B46" s="1" t="s">
        <v>59</v>
      </c>
      <c r="C46" s="11"/>
      <c r="D46" s="11"/>
      <c r="E46" s="11"/>
      <c r="F46" s="11"/>
      <c r="G46" s="11"/>
      <c r="H46" s="11"/>
      <c r="I46" s="11"/>
      <c r="J46" s="11"/>
      <c r="K46" s="11"/>
      <c r="L46" s="11"/>
      <c r="M46" s="11"/>
      <c r="N46" s="11"/>
      <c r="O46" s="11"/>
      <c r="P46" s="11"/>
      <c r="Q46" s="11"/>
    </row>
    <row r="47" spans="2:17" x14ac:dyDescent="0.25">
      <c r="B47" s="1" t="s">
        <v>60</v>
      </c>
      <c r="C47" s="11"/>
      <c r="D47" s="11"/>
      <c r="E47" s="11"/>
      <c r="F47" s="11"/>
      <c r="G47" s="11"/>
      <c r="H47" s="11"/>
      <c r="I47" s="11"/>
      <c r="J47" s="11"/>
      <c r="K47" s="11"/>
      <c r="L47" s="11"/>
      <c r="M47" s="11"/>
      <c r="N47" s="11"/>
      <c r="O47" s="11"/>
      <c r="P47" s="11"/>
      <c r="Q47" s="11"/>
    </row>
    <row r="48" spans="2:17" x14ac:dyDescent="0.25">
      <c r="B48" t="s">
        <v>61</v>
      </c>
      <c r="C48" s="11"/>
      <c r="D48" s="11"/>
      <c r="E48" s="11"/>
      <c r="F48" s="11"/>
      <c r="G48" s="11"/>
      <c r="H48" s="11"/>
      <c r="I48" s="11"/>
      <c r="J48" s="11"/>
      <c r="K48" s="11"/>
      <c r="L48" s="11"/>
      <c r="M48" s="11"/>
      <c r="N48" s="11"/>
      <c r="O48" s="11"/>
      <c r="P48" s="11"/>
      <c r="Q48" s="11"/>
    </row>
    <row r="49" spans="2:17" x14ac:dyDescent="0.25">
      <c r="B49" t="s">
        <v>62</v>
      </c>
      <c r="C49" s="292">
        <f>'Historical balance Sheet'!C52</f>
        <v>1268.05</v>
      </c>
      <c r="D49" s="292">
        <f>'Historical balance Sheet'!D52</f>
        <v>929.85</v>
      </c>
      <c r="E49" s="292">
        <f>'Historical balance Sheet'!E52</f>
        <v>634.71</v>
      </c>
      <c r="F49" s="292">
        <f>'Historical balance Sheet'!F52</f>
        <v>1523.87</v>
      </c>
      <c r="G49" s="292">
        <f>'Historical balance Sheet'!G52</f>
        <v>1867.42</v>
      </c>
      <c r="H49" s="11">
        <f>VLOOKUP($B49,Balance_Sheet!$B$36:$Q$42,COUNTBLANK('Balance Sheet'!$H$10:H$10)+6,0)</f>
        <v>1687.5189674343583</v>
      </c>
      <c r="I49" s="11">
        <f>VLOOKUP($B49,Balance_Sheet!$B$36:$Q$42,COUNTBLANK('Balance Sheet'!$H$10:I$10)+6,0)</f>
        <v>1896.3642563636342</v>
      </c>
      <c r="J49" s="11">
        <f>VLOOKUP($B49,Balance_Sheet!$B$36:$Q$42,COUNTBLANK('Balance Sheet'!$H$10:J$10)+6,0)</f>
        <v>2112.2806453252019</v>
      </c>
      <c r="K49" s="11">
        <f>VLOOKUP($B49,Balance_Sheet!$B$36:$Q$42,COUNTBLANK('Balance Sheet'!$H$10:K$10)+6,0)</f>
        <v>2333.5408421734855</v>
      </c>
      <c r="L49" s="11">
        <f>VLOOKUP($B49,Balance_Sheet!$B$36:$Q$42,COUNTBLANK('Balance Sheet'!$H$10:L$10)+6,0)</f>
        <v>2558.4229527285706</v>
      </c>
      <c r="M49" s="11">
        <f>VLOOKUP($B49,Balance_Sheet!$B$36:$Q$42,COUNTBLANK('Balance Sheet'!$H$10:M$10)+6,0)</f>
        <v>2785.2525241128837</v>
      </c>
      <c r="N49" s="11">
        <f>VLOOKUP($B49,Balance_Sheet!$B$36:$Q$42,COUNTBLANK('Balance Sheet'!$H$10:N$10)+6,0)</f>
        <v>3012.4375658677595</v>
      </c>
      <c r="O49" s="11">
        <f>VLOOKUP($B49,Balance_Sheet!$B$36:$Q$42,COUNTBLANK('Balance Sheet'!$H$10:O$10)+6,0)</f>
        <v>3238.4961685976191</v>
      </c>
      <c r="P49" s="11">
        <f>VLOOKUP($B49,Balance_Sheet!$B$36:$Q$42,COUNTBLANK('Balance Sheet'!$H$10:P$10)+6,0)</f>
        <v>3462.0768107144731</v>
      </c>
      <c r="Q49" s="11">
        <f>VLOOKUP($B49,Balance_Sheet!$B$36:$Q$42,COUNTBLANK('Balance Sheet'!$H$10:Q$10)+6,0)</f>
        <v>3681.971802343875</v>
      </c>
    </row>
    <row r="50" spans="2:17" x14ac:dyDescent="0.25">
      <c r="B50" t="s">
        <v>63</v>
      </c>
      <c r="C50" s="292">
        <f>'Historical balance Sheet'!C53</f>
        <v>0</v>
      </c>
      <c r="D50" s="292">
        <f>'Historical balance Sheet'!D53</f>
        <v>14.91</v>
      </c>
      <c r="E50" s="292">
        <f>'Historical balance Sheet'!E53</f>
        <v>25.26</v>
      </c>
      <c r="F50" s="292">
        <f>'Historical balance Sheet'!F53</f>
        <v>49.31</v>
      </c>
      <c r="G50" s="292">
        <f>'Historical balance Sheet'!G53</f>
        <v>47.13</v>
      </c>
      <c r="H50" s="11">
        <f>VLOOKUP($B50,Balance_Sheet!$B$36:$Q$42,COUNTBLANK('Balance Sheet'!$H$10:H$10)+6,0)</f>
        <v>33.694236540488923</v>
      </c>
      <c r="I50" s="11">
        <f>VLOOKUP($B50,Balance_Sheet!$B$36:$Q$42,COUNTBLANK('Balance Sheet'!$H$10:I$10)+6,0)</f>
        <v>37.86419415361631</v>
      </c>
      <c r="J50" s="11">
        <f>VLOOKUP($B50,Balance_Sheet!$B$36:$Q$42,COUNTBLANK('Balance Sheet'!$H$10:J$10)+6,0)</f>
        <v>42.175338515863174</v>
      </c>
      <c r="K50" s="11">
        <f>VLOOKUP($B50,Balance_Sheet!$B$36:$Q$42,COUNTBLANK('Balance Sheet'!$H$10:K$10)+6,0)</f>
        <v>46.593181250357475</v>
      </c>
      <c r="L50" s="11">
        <f>VLOOKUP($B50,Balance_Sheet!$B$36:$Q$42,COUNTBLANK('Balance Sheet'!$H$10:L$10)+6,0)</f>
        <v>51.08334175995315</v>
      </c>
      <c r="M50" s="11">
        <f>VLOOKUP($B50,Balance_Sheet!$B$36:$Q$42,COUNTBLANK('Balance Sheet'!$H$10:M$10)+6,0)</f>
        <v>55.612386695205437</v>
      </c>
      <c r="N50" s="11">
        <f>VLOOKUP($B50,Balance_Sheet!$B$36:$Q$42,COUNTBLANK('Balance Sheet'!$H$10:N$10)+6,0)</f>
        <v>60.148529211569425</v>
      </c>
      <c r="O50" s="11">
        <f>VLOOKUP($B50,Balance_Sheet!$B$36:$Q$42,COUNTBLANK('Balance Sheet'!$H$10:O$10)+6,0)</f>
        <v>64.662180423426747</v>
      </c>
      <c r="P50" s="11">
        <f>VLOOKUP($B50,Balance_Sheet!$B$36:$Q$42,COUNTBLANK('Balance Sheet'!$H$10:P$10)+6,0)</f>
        <v>69.126354863381721</v>
      </c>
      <c r="Q50" s="11">
        <f>VLOOKUP($B50,Balance_Sheet!$B$36:$Q$42,COUNTBLANK('Balance Sheet'!$H$10:Q$10)+6,0)</f>
        <v>73.5169389131092</v>
      </c>
    </row>
    <row r="51" spans="2:17" x14ac:dyDescent="0.25">
      <c r="B51" t="s">
        <v>64</v>
      </c>
      <c r="C51" s="292">
        <f>'Historical balance Sheet'!C54</f>
        <v>224.41</v>
      </c>
      <c r="D51" s="292">
        <f>'Historical balance Sheet'!D54</f>
        <v>223.58</v>
      </c>
      <c r="E51" s="292">
        <f>'Historical balance Sheet'!E54</f>
        <v>216.81</v>
      </c>
      <c r="F51" s="292">
        <f>'Historical balance Sheet'!F54</f>
        <v>175.29</v>
      </c>
      <c r="G51" s="292">
        <f>'Historical balance Sheet'!G54</f>
        <v>112.16</v>
      </c>
      <c r="H51" s="11">
        <f>VLOOKUP($B51,Balance_Sheet!$B$36:$Q$42,COUNTBLANK('Balance Sheet'!$H$10:H$10)+6,0)</f>
        <v>266.81165521117504</v>
      </c>
      <c r="I51" s="11">
        <f>VLOOKUP($B51,Balance_Sheet!$B$36:$Q$42,COUNTBLANK('Balance Sheet'!$H$10:I$10)+6,0)</f>
        <v>299.83194019617542</v>
      </c>
      <c r="J51" s="11">
        <f>VLOOKUP($B51,Balance_Sheet!$B$36:$Q$42,COUNTBLANK('Balance Sheet'!$H$10:J$10)+6,0)</f>
        <v>333.97022855784195</v>
      </c>
      <c r="K51" s="11">
        <f>VLOOKUP($B51,Balance_Sheet!$B$36:$Q$42,COUNTBLANK('Balance Sheet'!$H$10:K$10)+6,0)</f>
        <v>368.95342015016826</v>
      </c>
      <c r="L51" s="11">
        <f>VLOOKUP($B51,Balance_Sheet!$B$36:$Q$42,COUNTBLANK('Balance Sheet'!$H$10:L$10)+6,0)</f>
        <v>404.50926829320179</v>
      </c>
      <c r="M51" s="11">
        <f>VLOOKUP($B51,Balance_Sheet!$B$36:$Q$42,COUNTBLANK('Balance Sheet'!$H$10:M$10)+6,0)</f>
        <v>440.37302719595561</v>
      </c>
      <c r="N51" s="11">
        <f>VLOOKUP($B51,Balance_Sheet!$B$36:$Q$42,COUNTBLANK('Balance Sheet'!$H$10:N$10)+6,0)</f>
        <v>476.29298910429264</v>
      </c>
      <c r="O51" s="11">
        <f>VLOOKUP($B51,Balance_Sheet!$B$36:$Q$42,COUNTBLANK('Balance Sheet'!$H$10:O$10)+6,0)</f>
        <v>512.03485105253492</v>
      </c>
      <c r="P51" s="11">
        <f>VLOOKUP($B51,Balance_Sheet!$B$36:$Q$42,COUNTBLANK('Balance Sheet'!$H$10:P$10)+6,0)</f>
        <v>547.38492553914693</v>
      </c>
      <c r="Q51" s="11">
        <f>VLOOKUP($B51,Balance_Sheet!$B$36:$Q$42,COUNTBLANK('Balance Sheet'!$H$10:Q$10)+6,0)</f>
        <v>582.15226612702122</v>
      </c>
    </row>
    <row r="52" spans="2:17" x14ac:dyDescent="0.25">
      <c r="B52" t="s">
        <v>65</v>
      </c>
      <c r="C52" s="292">
        <f>'Historical balance Sheet'!C56</f>
        <v>0</v>
      </c>
      <c r="D52" s="292">
        <f>'Historical balance Sheet'!D56</f>
        <v>0</v>
      </c>
      <c r="E52" s="292">
        <f>'Historical balance Sheet'!E56</f>
        <v>0</v>
      </c>
      <c r="F52" s="292">
        <f>'Historical balance Sheet'!F56</f>
        <v>13.76</v>
      </c>
      <c r="G52" s="292">
        <f>'Historical balance Sheet'!G56</f>
        <v>15.19</v>
      </c>
      <c r="H52" s="11">
        <f>VLOOKUP($B52,Balance_Sheet!$B$36:$Q$42,COUNTBLANK('Balance Sheet'!$H$10:H$10)+6,0)</f>
        <v>8.7344544108611455</v>
      </c>
      <c r="I52" s="11">
        <f>VLOOKUP($B52,Balance_Sheet!$B$36:$Q$42,COUNTBLANK('Balance Sheet'!$H$10:I$10)+6,0)</f>
        <v>9.8154198342301378</v>
      </c>
      <c r="J52" s="11">
        <f>VLOOKUP($B52,Balance_Sheet!$B$36:$Q$42,COUNTBLANK('Balance Sheet'!$H$10:J$10)+6,0)</f>
        <v>10.932984668958987</v>
      </c>
      <c r="K52" s="11">
        <f>VLOOKUP($B52,Balance_Sheet!$B$36:$Q$42,COUNTBLANK('Balance Sheet'!$H$10:K$10)+6,0)</f>
        <v>12.078208598055161</v>
      </c>
      <c r="L52" s="11">
        <f>VLOOKUP($B52,Balance_Sheet!$B$36:$Q$42,COUNTBLANK('Balance Sheet'!$H$10:L$10)+6,0)</f>
        <v>13.24217924393653</v>
      </c>
      <c r="M52" s="11">
        <f>VLOOKUP($B52,Balance_Sheet!$B$36:$Q$42,COUNTBLANK('Balance Sheet'!$H$10:M$10)+6,0)</f>
        <v>14.416229781160208</v>
      </c>
      <c r="N52" s="11">
        <f>VLOOKUP($B52,Balance_Sheet!$B$36:$Q$42,COUNTBLANK('Balance Sheet'!$H$10:N$10)+6,0)</f>
        <v>15.59212020273838</v>
      </c>
      <c r="O52" s="11">
        <f>VLOOKUP($B52,Balance_Sheet!$B$36:$Q$42,COUNTBLANK('Balance Sheet'!$H$10:O$10)+6,0)</f>
        <v>16.762180271887637</v>
      </c>
      <c r="P52" s="11">
        <f>VLOOKUP($B52,Balance_Sheet!$B$36:$Q$42,COUNTBLANK('Balance Sheet'!$H$10:P$10)+6,0)</f>
        <v>17.919414628008546</v>
      </c>
      <c r="Q52" s="11">
        <f>VLOOKUP($B52,Balance_Sheet!$B$36:$Q$42,COUNTBLANK('Balance Sheet'!$H$10:Q$10)+6,0)</f>
        <v>19.057572371197537</v>
      </c>
    </row>
    <row r="53" spans="2:17" x14ac:dyDescent="0.25">
      <c r="B53" t="s">
        <v>414</v>
      </c>
      <c r="C53" s="292">
        <f>Balance_Sheet!C44</f>
        <v>233.94</v>
      </c>
      <c r="D53" s="11">
        <f>Balance_Sheet!D44</f>
        <v>0</v>
      </c>
      <c r="E53" s="11">
        <f>Balance_Sheet!E44</f>
        <v>0</v>
      </c>
      <c r="F53" s="11">
        <f>Balance_Sheet!F44</f>
        <v>0</v>
      </c>
      <c r="G53" s="11">
        <f>Balance_Sheet!G44</f>
        <v>0</v>
      </c>
      <c r="H53" s="11">
        <f>Balance_Sheet!H44</f>
        <v>85.379695145643481</v>
      </c>
      <c r="I53" s="11">
        <f>Balance_Sheet!I44</f>
        <v>95.946182068451364</v>
      </c>
      <c r="J53" s="11">
        <f>Balance_Sheet!J44</f>
        <v>106.87042992713739</v>
      </c>
      <c r="K53" s="11">
        <f>Balance_Sheet!K44</f>
        <v>118.06504671031517</v>
      </c>
      <c r="L53" s="11">
        <f>Balance_Sheet!L44</f>
        <v>129.44291351562498</v>
      </c>
      <c r="M53" s="11">
        <f>Balance_Sheet!M44</f>
        <v>140.9193117242057</v>
      </c>
      <c r="N53" s="11">
        <f>Balance_Sheet!N44</f>
        <v>152.41369488730106</v>
      </c>
      <c r="O53" s="11">
        <f>Balance_Sheet!O44</f>
        <v>163.85108608620993</v>
      </c>
      <c r="P53" s="11">
        <f>Balance_Sheet!P44</f>
        <v>175.16310534808929</v>
      </c>
      <c r="Q53" s="11">
        <f>Balance_Sheet!Q44</f>
        <v>186.28864983777069</v>
      </c>
    </row>
    <row r="54" spans="2:17" x14ac:dyDescent="0.25">
      <c r="B54" s="9" t="s">
        <v>66</v>
      </c>
      <c r="C54" s="12">
        <f>SUM(C49:C53)</f>
        <v>1726.4</v>
      </c>
      <c r="D54" s="12">
        <f t="shared" ref="D54:Q54" si="19">SUM(D49:D53)</f>
        <v>1168.3399999999999</v>
      </c>
      <c r="E54" s="12">
        <f t="shared" si="19"/>
        <v>876.78</v>
      </c>
      <c r="F54" s="12">
        <f t="shared" si="19"/>
        <v>1762.2299999999998</v>
      </c>
      <c r="G54" s="12">
        <f t="shared" si="19"/>
        <v>2041.9000000000003</v>
      </c>
      <c r="H54" s="12">
        <f t="shared" si="19"/>
        <v>2082.139008742527</v>
      </c>
      <c r="I54" s="12">
        <f t="shared" si="19"/>
        <v>2339.8219926161073</v>
      </c>
      <c r="J54" s="12">
        <f t="shared" si="19"/>
        <v>2606.2296269950034</v>
      </c>
      <c r="K54" s="12">
        <f t="shared" si="19"/>
        <v>2879.2306988823816</v>
      </c>
      <c r="L54" s="12">
        <f t="shared" si="19"/>
        <v>3156.7006555412872</v>
      </c>
      <c r="M54" s="12">
        <f t="shared" si="19"/>
        <v>3436.5734795094108</v>
      </c>
      <c r="N54" s="12">
        <f t="shared" si="19"/>
        <v>3716.8848992736612</v>
      </c>
      <c r="O54" s="12">
        <f t="shared" si="19"/>
        <v>3995.8064664316785</v>
      </c>
      <c r="P54" s="12">
        <f t="shared" si="19"/>
        <v>4271.6706110931</v>
      </c>
      <c r="Q54" s="12">
        <f t="shared" si="19"/>
        <v>4542.9872295929736</v>
      </c>
    </row>
    <row r="55" spans="2:17" x14ac:dyDescent="0.25">
      <c r="C55" s="11"/>
      <c r="D55" s="11"/>
      <c r="E55" s="11"/>
      <c r="F55" s="11"/>
      <c r="G55" s="11"/>
      <c r="H55" s="11"/>
      <c r="I55" s="11"/>
      <c r="J55" s="11"/>
      <c r="K55" s="11"/>
      <c r="L55" s="11"/>
      <c r="M55" s="11"/>
      <c r="N55" s="11"/>
      <c r="O55" s="11"/>
      <c r="P55" s="11"/>
      <c r="Q55" s="11"/>
    </row>
    <row r="56" spans="2:17" x14ac:dyDescent="0.25">
      <c r="B56" s="1" t="s">
        <v>67</v>
      </c>
      <c r="C56" s="11"/>
      <c r="D56" s="11"/>
      <c r="E56" s="11"/>
      <c r="F56" s="11"/>
      <c r="G56" s="11"/>
      <c r="H56" s="11"/>
      <c r="I56" s="11"/>
      <c r="J56" s="11"/>
      <c r="K56" s="11"/>
      <c r="L56" s="11"/>
      <c r="M56" s="11"/>
      <c r="N56" s="11"/>
      <c r="O56" s="11"/>
      <c r="P56" s="11"/>
      <c r="Q56" s="11"/>
    </row>
    <row r="57" spans="2:17" x14ac:dyDescent="0.25">
      <c r="B57" t="s">
        <v>61</v>
      </c>
      <c r="C57" s="11"/>
      <c r="D57" s="11"/>
      <c r="E57" s="11"/>
      <c r="F57" s="11"/>
      <c r="G57" s="11"/>
      <c r="H57" s="11"/>
      <c r="I57" s="11"/>
      <c r="J57" s="11"/>
      <c r="K57" s="11"/>
      <c r="L57" s="11"/>
      <c r="M57" s="11"/>
      <c r="N57" s="11"/>
      <c r="O57" s="11"/>
      <c r="P57" s="11"/>
      <c r="Q57" s="11"/>
    </row>
    <row r="58" spans="2:17" x14ac:dyDescent="0.25">
      <c r="B58" t="s">
        <v>62</v>
      </c>
      <c r="C58" s="292">
        <f>'Historical balance Sheet'!C61</f>
        <v>1224.07</v>
      </c>
      <c r="D58" s="292">
        <f>'Historical balance Sheet'!D61</f>
        <v>1638.12</v>
      </c>
      <c r="E58" s="292">
        <f>'Historical balance Sheet'!E61</f>
        <v>2239.3200000000002</v>
      </c>
      <c r="F58" s="292">
        <f>'Historical balance Sheet'!F61</f>
        <v>2040.42</v>
      </c>
      <c r="G58" s="292">
        <f>'Historical balance Sheet'!G61</f>
        <v>1922.13</v>
      </c>
      <c r="H58" s="11">
        <f>Balance_Sheet!H48</f>
        <v>2407.2978113791974</v>
      </c>
      <c r="I58" s="11">
        <f>Balance_Sheet!I48</f>
        <v>2705.2220520297592</v>
      </c>
      <c r="J58" s="11">
        <f>Balance_Sheet!J48</f>
        <v>3013.2334347867359</v>
      </c>
      <c r="K58" s="11">
        <f>Balance_Sheet!K48</f>
        <v>3328.8679241744362</v>
      </c>
      <c r="L58" s="11">
        <f>Balance_Sheet!L48</f>
        <v>3649.6691850815373</v>
      </c>
      <c r="M58" s="11">
        <f>Balance_Sheet!M48</f>
        <v>3973.2485588765039</v>
      </c>
      <c r="N58" s="11">
        <f>Balance_Sheet!N48</f>
        <v>4297.3350221096216</v>
      </c>
      <c r="O58" s="11">
        <f>Balance_Sheet!O48</f>
        <v>4619.8145853600408</v>
      </c>
      <c r="P58" s="11">
        <f>Balance_Sheet!P48</f>
        <v>4938.759261432604</v>
      </c>
      <c r="Q58" s="11">
        <f>Balance_Sheet!Q48</f>
        <v>5252.4462435039904</v>
      </c>
    </row>
    <row r="59" spans="2:17" x14ac:dyDescent="0.25">
      <c r="B59" t="s">
        <v>63</v>
      </c>
      <c r="C59" s="292">
        <f>'Historical balance Sheet'!C62</f>
        <v>0</v>
      </c>
      <c r="D59" s="292">
        <f>'Historical balance Sheet'!D62</f>
        <v>4.07</v>
      </c>
      <c r="E59" s="292">
        <f>'Historical balance Sheet'!E62</f>
        <v>8.02</v>
      </c>
      <c r="F59" s="292">
        <f>'Historical balance Sheet'!F62</f>
        <v>9.07</v>
      </c>
      <c r="G59" s="292">
        <f>'Historical balance Sheet'!G62</f>
        <v>11.11</v>
      </c>
      <c r="H59" s="11">
        <f>Balance_Sheet!H50</f>
        <v>7.9467759322900271</v>
      </c>
      <c r="I59" s="11">
        <f>Balance_Sheet!I50</f>
        <v>8.9302592279821589</v>
      </c>
      <c r="J59" s="11">
        <f>Balance_Sheet!J50</f>
        <v>9.9470413775750952</v>
      </c>
      <c r="K59" s="11">
        <f>Balance_Sheet!K50</f>
        <v>10.988988307369286</v>
      </c>
      <c r="L59" s="11">
        <f>Balance_Sheet!L50</f>
        <v>12.047991363482344</v>
      </c>
      <c r="M59" s="11">
        <f>Balance_Sheet!M50</f>
        <v>13.116165300127971</v>
      </c>
      <c r="N59" s="11">
        <f>Balance_Sheet!N50</f>
        <v>14.186013199223765</v>
      </c>
      <c r="O59" s="11">
        <f>Balance_Sheet!O50</f>
        <v>15.250556530663765</v>
      </c>
      <c r="P59" s="11">
        <f>Balance_Sheet!P50</f>
        <v>16.303430779776036</v>
      </c>
      <c r="Q59" s="11">
        <f>Balance_Sheet!Q50</f>
        <v>17.338948756660418</v>
      </c>
    </row>
    <row r="60" spans="2:17" x14ac:dyDescent="0.25">
      <c r="B60" t="s">
        <v>68</v>
      </c>
      <c r="C60" s="292">
        <f>'Historical balance Sheet'!C64+'Historical balance Sheet'!C65</f>
        <v>576.33000000000004</v>
      </c>
      <c r="D60" s="292">
        <f>'Historical balance Sheet'!D64+'Historical balance Sheet'!D65</f>
        <v>344.85</v>
      </c>
      <c r="E60" s="292">
        <f>'Historical balance Sheet'!E64+'Historical balance Sheet'!E65</f>
        <v>215.6</v>
      </c>
      <c r="F60" s="292">
        <f>'Historical balance Sheet'!F64+'Historical balance Sheet'!F65</f>
        <v>724.92000000000007</v>
      </c>
      <c r="G60" s="292">
        <f>'Historical balance Sheet'!G64+'Historical balance Sheet'!G65</f>
        <v>1237.48</v>
      </c>
      <c r="H60" s="11">
        <f>'Working Capital Schedules'!H16</f>
        <v>820.63850542540092</v>
      </c>
      <c r="I60" s="11">
        <f>'Working Capital Schedules'!I16</f>
        <v>922.19972582023104</v>
      </c>
      <c r="J60" s="11">
        <f>'Working Capital Schedules'!J16</f>
        <v>1027.1996139125486</v>
      </c>
      <c r="K60" s="11">
        <f>'Working Capital Schedules'!K16</f>
        <v>1134.7981895467913</v>
      </c>
      <c r="L60" s="11">
        <f>'Working Capital Schedules'!L16</f>
        <v>1244.1580975918034</v>
      </c>
      <c r="M60" s="11">
        <f>'Working Capital Schedules'!M16</f>
        <v>1354.4650535664166</v>
      </c>
      <c r="N60" s="11">
        <f>'Working Capital Schedules'!N16</f>
        <v>1464.9448743675898</v>
      </c>
      <c r="O60" s="11">
        <f>'Working Capital Schedules'!O16</f>
        <v>1574.8769091848535</v>
      </c>
      <c r="P60" s="11">
        <f>'Working Capital Schedules'!P16</f>
        <v>1683.6039146464759</v>
      </c>
      <c r="Q60" s="11">
        <f>'Working Capital Schedules'!Q16</f>
        <v>1790.5385925752453</v>
      </c>
    </row>
    <row r="61" spans="2:17" x14ac:dyDescent="0.25">
      <c r="B61" t="s">
        <v>69</v>
      </c>
      <c r="C61" s="292">
        <f>'Historical balance Sheet'!C66</f>
        <v>0</v>
      </c>
      <c r="D61" s="292">
        <f>'Historical balance Sheet'!D66</f>
        <v>2.23</v>
      </c>
      <c r="E61" s="292">
        <f>'Historical balance Sheet'!E66</f>
        <v>191.26</v>
      </c>
      <c r="F61" s="292">
        <f>'Historical balance Sheet'!F66</f>
        <v>136.56</v>
      </c>
      <c r="G61" s="292">
        <f>'Historical balance Sheet'!G66</f>
        <v>202.26</v>
      </c>
      <c r="H61" s="11">
        <f>Balance_Sheet!H52</f>
        <v>129.12350394469925</v>
      </c>
      <c r="I61" s="11">
        <f>Balance_Sheet!I52</f>
        <v>145.10367128461994</v>
      </c>
      <c r="J61" s="11">
        <f>Balance_Sheet!J52</f>
        <v>161.62489637294695</v>
      </c>
      <c r="K61" s="11">
        <f>Balance_Sheet!K52</f>
        <v>178.55501239053513</v>
      </c>
      <c r="L61" s="11">
        <f>Balance_Sheet!L52</f>
        <v>195.76226555314668</v>
      </c>
      <c r="M61" s="11">
        <f>Balance_Sheet!M52</f>
        <v>213.11853213185466</v>
      </c>
      <c r="N61" s="11">
        <f>Balance_Sheet!N52</f>
        <v>230.50199815583193</v>
      </c>
      <c r="O61" s="11">
        <f>Balance_Sheet!O52</f>
        <v>247.79927270184834</v>
      </c>
      <c r="P61" s="11">
        <f>Balance_Sheet!P52</f>
        <v>264.90694170080849</v>
      </c>
      <c r="Q61" s="11">
        <f>Balance_Sheet!Q52</f>
        <v>281.73259662203719</v>
      </c>
    </row>
    <row r="62" spans="2:17" x14ac:dyDescent="0.25">
      <c r="B62" t="s">
        <v>70</v>
      </c>
      <c r="C62" s="292">
        <f>'Historical balance Sheet'!C67</f>
        <v>559.62</v>
      </c>
      <c r="D62" s="292">
        <f>'Historical balance Sheet'!D67</f>
        <v>144.69999999999999</v>
      </c>
      <c r="E62" s="292">
        <f>'Historical balance Sheet'!E67</f>
        <v>99.26</v>
      </c>
      <c r="F62" s="292">
        <f>'Historical balance Sheet'!F67</f>
        <v>124.97</v>
      </c>
      <c r="G62" s="292">
        <f>'Historical balance Sheet'!G67</f>
        <v>77.510000000000005</v>
      </c>
      <c r="H62" s="11">
        <f>Balance_Sheet!H54</f>
        <v>317.7995588406651</v>
      </c>
      <c r="I62" s="11">
        <f>Balance_Sheet!I54</f>
        <v>357.13004458245388</v>
      </c>
      <c r="J62" s="11">
        <f>Balance_Sheet!J54</f>
        <v>397.79218496881066</v>
      </c>
      <c r="K62" s="11">
        <f>Balance_Sheet!K54</f>
        <v>439.46069021488182</v>
      </c>
      <c r="L62" s="11">
        <f>Balance_Sheet!L54</f>
        <v>481.81128709985802</v>
      </c>
      <c r="M62" s="11">
        <f>Balance_Sheet!M54</f>
        <v>524.52863671729631</v>
      </c>
      <c r="N62" s="11">
        <f>Balance_Sheet!N54</f>
        <v>567.31292977603846</v>
      </c>
      <c r="O62" s="11">
        <f>Balance_Sheet!O54</f>
        <v>609.88508784126691</v>
      </c>
      <c r="P62" s="11">
        <f>Balance_Sheet!P54</f>
        <v>651.99058757267221</v>
      </c>
      <c r="Q62" s="11">
        <f>Balance_Sheet!Q54</f>
        <v>693.40199252851835</v>
      </c>
    </row>
    <row r="63" spans="2:17" x14ac:dyDescent="0.25">
      <c r="B63" t="s">
        <v>65</v>
      </c>
      <c r="C63" s="292">
        <f>'Historical balance Sheet'!C68</f>
        <v>40.119999999999997</v>
      </c>
      <c r="D63" s="292">
        <f>'Historical balance Sheet'!D68</f>
        <v>31.68</v>
      </c>
      <c r="E63" s="292">
        <f>'Historical balance Sheet'!E68</f>
        <v>29.86</v>
      </c>
      <c r="F63" s="292">
        <f>'Historical balance Sheet'!F68</f>
        <v>26.51</v>
      </c>
      <c r="G63" s="292">
        <f>'Historical balance Sheet'!G68</f>
        <v>15.91</v>
      </c>
      <c r="H63" s="11">
        <f>Balance_Sheet!H56</f>
        <v>41.064873514255211</v>
      </c>
      <c r="I63" s="11">
        <f>Balance_Sheet!I56</f>
        <v>46.147012168357413</v>
      </c>
      <c r="J63" s="11">
        <f>Balance_Sheet!J56</f>
        <v>51.401222268195248</v>
      </c>
      <c r="K63" s="11">
        <f>Balance_Sheet!K56</f>
        <v>56.785471081189641</v>
      </c>
      <c r="L63" s="11">
        <f>Balance_Sheet!L56</f>
        <v>62.257857231375269</v>
      </c>
      <c r="M63" s="11">
        <f>Balance_Sheet!M56</f>
        <v>67.777633801561805</v>
      </c>
      <c r="N63" s="11">
        <f>Balance_Sheet!N56</f>
        <v>73.306060553516318</v>
      </c>
      <c r="O63" s="11">
        <f>Balance_Sheet!O56</f>
        <v>78.807076012930423</v>
      </c>
      <c r="P63" s="11">
        <f>Balance_Sheet!P56</f>
        <v>84.247791623210944</v>
      </c>
      <c r="Q63" s="11">
        <f>Balance_Sheet!Q56</f>
        <v>89.59881889575675</v>
      </c>
    </row>
    <row r="64" spans="2:17" x14ac:dyDescent="0.25">
      <c r="C64" s="11"/>
      <c r="D64" s="11"/>
      <c r="E64" s="11"/>
      <c r="F64" s="11"/>
      <c r="G64" s="11"/>
      <c r="H64" s="11"/>
      <c r="I64" s="11"/>
      <c r="J64" s="11"/>
      <c r="K64" s="11"/>
      <c r="L64" s="11"/>
      <c r="M64" s="11"/>
      <c r="N64" s="11"/>
      <c r="O64" s="11"/>
      <c r="P64" s="11"/>
      <c r="Q64" s="11"/>
    </row>
    <row r="65" spans="2:17" x14ac:dyDescent="0.25">
      <c r="B65" s="9" t="s">
        <v>71</v>
      </c>
      <c r="C65" s="12">
        <f>SUM(C58:C64)</f>
        <v>2400.14</v>
      </c>
      <c r="D65" s="12">
        <f t="shared" ref="D65:G65" si="20">SUM(D58:D64)</f>
        <v>2165.6499999999996</v>
      </c>
      <c r="E65" s="12">
        <f t="shared" si="20"/>
        <v>2783.32</v>
      </c>
      <c r="F65" s="12">
        <f t="shared" si="20"/>
        <v>3062.4500000000003</v>
      </c>
      <c r="G65" s="12">
        <f t="shared" si="20"/>
        <v>3466.4000000000005</v>
      </c>
      <c r="H65" s="12">
        <f t="shared" ref="H65" si="21">SUM(H58:H64)</f>
        <v>3723.8710290365084</v>
      </c>
      <c r="I65" s="12">
        <f t="shared" ref="I65" si="22">SUM(I58:I64)</f>
        <v>4184.7327651134037</v>
      </c>
      <c r="J65" s="12">
        <f t="shared" ref="J65" si="23">SUM(J58:J64)</f>
        <v>4661.1983936868128</v>
      </c>
      <c r="K65" s="12">
        <f t="shared" ref="K65" si="24">SUM(K58:K64)</f>
        <v>5149.4562757152034</v>
      </c>
      <c r="L65" s="12">
        <f t="shared" ref="L65" si="25">SUM(L58:L64)</f>
        <v>5645.706683921203</v>
      </c>
      <c r="M65" s="12">
        <f t="shared" ref="M65" si="26">SUM(M58:M64)</f>
        <v>6146.2545803937619</v>
      </c>
      <c r="N65" s="12">
        <f t="shared" ref="N65" si="27">SUM(N58:N64)</f>
        <v>6647.5868981618223</v>
      </c>
      <c r="O65" s="12">
        <f t="shared" ref="O65" si="28">SUM(O58:O64)</f>
        <v>7146.4334876316034</v>
      </c>
      <c r="P65" s="12">
        <f t="shared" ref="P65" si="29">SUM(P58:P64)</f>
        <v>7639.8119277555488</v>
      </c>
      <c r="Q65" s="12">
        <f t="shared" ref="Q65" si="30">SUM(Q58:Q64)</f>
        <v>8125.0571928822083</v>
      </c>
    </row>
    <row r="66" spans="2:17" x14ac:dyDescent="0.25">
      <c r="C66" s="11"/>
      <c r="D66" s="11"/>
      <c r="E66" s="11"/>
      <c r="F66" s="11"/>
      <c r="G66" s="11"/>
      <c r="H66" s="11"/>
      <c r="I66" s="11"/>
      <c r="J66" s="11"/>
      <c r="K66" s="11"/>
      <c r="L66" s="11"/>
      <c r="M66" s="11"/>
      <c r="N66" s="11"/>
      <c r="O66" s="11"/>
      <c r="P66" s="11"/>
      <c r="Q66" s="11"/>
    </row>
    <row r="67" spans="2:17" x14ac:dyDescent="0.25">
      <c r="B67" s="10" t="s">
        <v>72</v>
      </c>
      <c r="C67" s="13">
        <f>C65+C54</f>
        <v>4126.54</v>
      </c>
      <c r="D67" s="13">
        <f t="shared" ref="D67:Q67" si="31">D65+D54</f>
        <v>3333.99</v>
      </c>
      <c r="E67" s="13">
        <f t="shared" si="31"/>
        <v>3660.1000000000004</v>
      </c>
      <c r="F67" s="13">
        <f t="shared" si="31"/>
        <v>4824.68</v>
      </c>
      <c r="G67" s="13">
        <f t="shared" si="31"/>
        <v>5508.3000000000011</v>
      </c>
      <c r="H67" s="13">
        <f t="shared" si="31"/>
        <v>5806.010037779035</v>
      </c>
      <c r="I67" s="13">
        <f t="shared" si="31"/>
        <v>6524.554757729511</v>
      </c>
      <c r="J67" s="13">
        <f t="shared" si="31"/>
        <v>7267.4280206818166</v>
      </c>
      <c r="K67" s="13">
        <f t="shared" si="31"/>
        <v>8028.6869745975855</v>
      </c>
      <c r="L67" s="13">
        <f t="shared" si="31"/>
        <v>8802.4073394624902</v>
      </c>
      <c r="M67" s="13">
        <f t="shared" si="31"/>
        <v>9582.8280599031732</v>
      </c>
      <c r="N67" s="13">
        <f t="shared" si="31"/>
        <v>10364.471797435483</v>
      </c>
      <c r="O67" s="13">
        <f t="shared" si="31"/>
        <v>11142.239954063281</v>
      </c>
      <c r="P67" s="13">
        <f t="shared" si="31"/>
        <v>11911.48253884865</v>
      </c>
      <c r="Q67" s="13">
        <f t="shared" si="31"/>
        <v>12668.044422475181</v>
      </c>
    </row>
    <row r="68" spans="2:17" x14ac:dyDescent="0.25">
      <c r="C68" s="11"/>
      <c r="D68" s="11"/>
      <c r="E68" s="11"/>
      <c r="F68" s="11"/>
      <c r="G68" s="11"/>
      <c r="H68" s="11"/>
      <c r="I68" s="11"/>
      <c r="J68" s="11"/>
      <c r="K68" s="11"/>
      <c r="L68" s="11"/>
      <c r="M68" s="11"/>
      <c r="N68" s="11"/>
      <c r="O68" s="11"/>
      <c r="P68" s="11"/>
      <c r="Q68" s="11"/>
    </row>
    <row r="69" spans="2:17" ht="15.75" thickBot="1" x14ac:dyDescent="0.3">
      <c r="B69" s="5" t="s">
        <v>73</v>
      </c>
      <c r="C69" s="15">
        <f>C44+C67</f>
        <v>7641.68</v>
      </c>
      <c r="D69" s="15">
        <f t="shared" ref="D69:Q69" si="32">D44+D67</f>
        <v>7850.69</v>
      </c>
      <c r="E69" s="15">
        <f t="shared" si="32"/>
        <v>8580.9000000000015</v>
      </c>
      <c r="F69" s="15">
        <f t="shared" si="32"/>
        <v>10115.170000000002</v>
      </c>
      <c r="G69" s="15">
        <f t="shared" si="32"/>
        <v>11113.52</v>
      </c>
      <c r="H69" s="15">
        <f t="shared" si="32"/>
        <v>12124.268113421269</v>
      </c>
      <c r="I69" s="15">
        <f t="shared" si="32"/>
        <v>13672.883823814194</v>
      </c>
      <c r="J69" s="15">
        <f t="shared" si="32"/>
        <v>15349.444052902716</v>
      </c>
      <c r="K69" s="15">
        <f t="shared" si="32"/>
        <v>17143.873660339508</v>
      </c>
      <c r="L69" s="15">
        <f t="shared" si="32"/>
        <v>19044.742972876305</v>
      </c>
      <c r="M69" s="15">
        <f t="shared" si="32"/>
        <v>21039.506808032325</v>
      </c>
      <c r="N69" s="15">
        <f t="shared" si="32"/>
        <v>23114.744011501665</v>
      </c>
      <c r="O69" s="15">
        <f t="shared" si="32"/>
        <v>25256.389577317736</v>
      </c>
      <c r="P69" s="15">
        <f t="shared" si="32"/>
        <v>27449.953306318344</v>
      </c>
      <c r="Q69" s="15">
        <f t="shared" si="32"/>
        <v>29680.720724625669</v>
      </c>
    </row>
    <row r="70" spans="2:17" ht="15.75" thickBot="1" x14ac:dyDescent="0.3"/>
    <row r="71" spans="2:17" ht="16.5" thickTop="1" thickBot="1" x14ac:dyDescent="0.3">
      <c r="B71" s="339" t="s">
        <v>74</v>
      </c>
      <c r="C71" s="339" t="b">
        <f>C69=C37</f>
        <v>1</v>
      </c>
      <c r="D71" s="340" t="b">
        <f t="shared" ref="D71:Q71" si="33">D69=D37</f>
        <v>1</v>
      </c>
      <c r="E71" s="340" t="b">
        <f t="shared" si="33"/>
        <v>1</v>
      </c>
      <c r="F71" s="340" t="b">
        <f t="shared" si="33"/>
        <v>1</v>
      </c>
      <c r="G71" s="340" t="b">
        <f t="shared" si="33"/>
        <v>1</v>
      </c>
      <c r="H71" s="340" t="b">
        <f t="shared" si="33"/>
        <v>1</v>
      </c>
      <c r="I71" s="340" t="b">
        <f t="shared" si="33"/>
        <v>1</v>
      </c>
      <c r="J71" s="340" t="b">
        <f t="shared" si="33"/>
        <v>1</v>
      </c>
      <c r="K71" s="340" t="b">
        <f t="shared" si="33"/>
        <v>1</v>
      </c>
      <c r="L71" s="340" t="b">
        <f t="shared" si="33"/>
        <v>1</v>
      </c>
      <c r="M71" s="340" t="b">
        <f t="shared" si="33"/>
        <v>1</v>
      </c>
      <c r="N71" s="340" t="b">
        <f t="shared" si="33"/>
        <v>1</v>
      </c>
      <c r="O71" s="340" t="b">
        <f t="shared" si="33"/>
        <v>1</v>
      </c>
      <c r="P71" s="340" t="b">
        <f t="shared" si="33"/>
        <v>1</v>
      </c>
      <c r="Q71" s="340" t="b">
        <f t="shared" si="33"/>
        <v>1</v>
      </c>
    </row>
    <row r="72" spans="2:17" ht="16.5" thickTop="1" thickBot="1" x14ac:dyDescent="0.3">
      <c r="B72" s="339" t="s">
        <v>74</v>
      </c>
      <c r="C72" s="339">
        <f>C69-C37</f>
        <v>0</v>
      </c>
      <c r="D72" s="340">
        <f t="shared" ref="D72:Q72" si="34">D69-D37</f>
        <v>0</v>
      </c>
      <c r="E72" s="340">
        <f t="shared" si="34"/>
        <v>0</v>
      </c>
      <c r="F72" s="340">
        <f t="shared" si="34"/>
        <v>0</v>
      </c>
      <c r="G72" s="340">
        <f t="shared" si="34"/>
        <v>0</v>
      </c>
      <c r="H72" s="340">
        <f t="shared" si="34"/>
        <v>0</v>
      </c>
      <c r="I72" s="340">
        <f t="shared" si="34"/>
        <v>0</v>
      </c>
      <c r="J72" s="340">
        <f t="shared" si="34"/>
        <v>0</v>
      </c>
      <c r="K72" s="340">
        <f t="shared" si="34"/>
        <v>0</v>
      </c>
      <c r="L72" s="340">
        <f t="shared" si="34"/>
        <v>0</v>
      </c>
      <c r="M72" s="340">
        <f t="shared" si="34"/>
        <v>0</v>
      </c>
      <c r="N72" s="340">
        <f t="shared" si="34"/>
        <v>0</v>
      </c>
      <c r="O72" s="340">
        <f t="shared" si="34"/>
        <v>0</v>
      </c>
      <c r="P72" s="340">
        <f t="shared" si="34"/>
        <v>0</v>
      </c>
      <c r="Q72" s="340">
        <f t="shared" si="34"/>
        <v>0</v>
      </c>
    </row>
    <row r="73" spans="2:17" ht="15.75" thickTop="1" x14ac:dyDescent="0.25"/>
  </sheetData>
  <mergeCells count="1">
    <mergeCell ref="B8:Q8"/>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1"/>
  <sheetViews>
    <sheetView showGridLines="0" topLeftCell="A39" workbookViewId="0">
      <selection activeCell="H60" sqref="H60"/>
    </sheetView>
  </sheetViews>
  <sheetFormatPr defaultRowHeight="15" x14ac:dyDescent="0.25"/>
  <cols>
    <col min="1" max="1" width="1.85546875" customWidth="1"/>
    <col min="2" max="2" width="61.85546875" bestFit="1" customWidth="1"/>
    <col min="9" max="15" width="9.28515625" bestFit="1" customWidth="1"/>
    <col min="16" max="17" width="10.140625" bestFit="1" customWidth="1"/>
  </cols>
  <sheetData>
    <row r="1" spans="2:17" x14ac:dyDescent="0.25">
      <c r="B1" s="67"/>
      <c r="C1" s="67"/>
      <c r="D1" s="67"/>
      <c r="E1" s="67"/>
      <c r="F1" s="67"/>
      <c r="G1" s="67"/>
      <c r="H1" s="67"/>
      <c r="I1" s="67"/>
      <c r="J1" s="67"/>
      <c r="K1" s="67"/>
      <c r="L1" s="67"/>
      <c r="M1" s="67"/>
      <c r="N1" s="67"/>
      <c r="O1" s="67"/>
      <c r="P1" s="67"/>
      <c r="Q1" s="67"/>
    </row>
    <row r="7" spans="2:17" x14ac:dyDescent="0.25">
      <c r="B7" s="27" t="s">
        <v>344</v>
      </c>
    </row>
    <row r="8" spans="2:17" x14ac:dyDescent="0.25">
      <c r="B8" s="463" t="s">
        <v>461</v>
      </c>
      <c r="C8" s="463"/>
      <c r="D8" s="463"/>
      <c r="E8" s="463"/>
      <c r="F8" s="463"/>
      <c r="G8" s="463"/>
      <c r="H8" s="463"/>
      <c r="I8" s="463"/>
      <c r="J8" s="463"/>
      <c r="K8" s="463"/>
      <c r="L8" s="463"/>
      <c r="M8" s="463"/>
      <c r="N8" s="463"/>
      <c r="O8" s="463"/>
      <c r="P8" s="463"/>
      <c r="Q8" s="463"/>
    </row>
    <row r="10" spans="2:17" x14ac:dyDescent="0.25">
      <c r="B10" s="57" t="s">
        <v>0</v>
      </c>
      <c r="C10" s="57">
        <v>2021</v>
      </c>
      <c r="D10" s="57">
        <f>C10+1</f>
        <v>2022</v>
      </c>
      <c r="E10" s="57">
        <f t="shared" ref="E10:G10" si="0">D10+1</f>
        <v>2023</v>
      </c>
      <c r="F10" s="57">
        <f t="shared" si="0"/>
        <v>2024</v>
      </c>
      <c r="G10" s="57">
        <f t="shared" si="0"/>
        <v>2025</v>
      </c>
      <c r="H10" s="328">
        <f>G10+1</f>
        <v>2026</v>
      </c>
      <c r="I10" s="328">
        <f t="shared" ref="I10:Q10" si="1">H10+1</f>
        <v>2027</v>
      </c>
      <c r="J10" s="328">
        <f t="shared" si="1"/>
        <v>2028</v>
      </c>
      <c r="K10" s="328">
        <f t="shared" si="1"/>
        <v>2029</v>
      </c>
      <c r="L10" s="328">
        <f t="shared" si="1"/>
        <v>2030</v>
      </c>
      <c r="M10" s="328">
        <f t="shared" si="1"/>
        <v>2031</v>
      </c>
      <c r="N10" s="328">
        <f t="shared" si="1"/>
        <v>2032</v>
      </c>
      <c r="O10" s="328">
        <f t="shared" si="1"/>
        <v>2033</v>
      </c>
      <c r="P10" s="328">
        <f t="shared" si="1"/>
        <v>2034</v>
      </c>
      <c r="Q10" s="328">
        <f t="shared" si="1"/>
        <v>2035</v>
      </c>
    </row>
    <row r="12" spans="2:17" x14ac:dyDescent="0.25">
      <c r="B12" s="1" t="s">
        <v>417</v>
      </c>
    </row>
    <row r="13" spans="2:17" x14ac:dyDescent="0.25">
      <c r="B13" t="s">
        <v>418</v>
      </c>
      <c r="C13" s="329">
        <v>664.55</v>
      </c>
      <c r="D13" s="329">
        <v>1372.14</v>
      </c>
      <c r="E13" s="329">
        <v>611.1</v>
      </c>
      <c r="F13" s="329">
        <v>395.42</v>
      </c>
      <c r="G13" s="329">
        <v>304.86</v>
      </c>
      <c r="H13" s="330">
        <f>'Income statement'!H32</f>
        <v>863.365722987097</v>
      </c>
      <c r="I13" s="330">
        <f>'Income statement'!I32</f>
        <v>1004.9313944547966</v>
      </c>
      <c r="J13" s="330">
        <f>'Income statement'!J32</f>
        <v>1130.3748181386322</v>
      </c>
      <c r="K13" s="330">
        <f>'Income statement'!K32</f>
        <v>1250.8154573613401</v>
      </c>
      <c r="L13" s="330">
        <f>'Income statement'!L32</f>
        <v>1364.5909528032191</v>
      </c>
      <c r="M13" s="330">
        <f>'Income statement'!M32</f>
        <v>1470.153196134464</v>
      </c>
      <c r="N13" s="330">
        <f>'Income statement'!N32</f>
        <v>1566.0982019005269</v>
      </c>
      <c r="O13" s="330">
        <f>'Income statement'!O32</f>
        <v>1651.1879615867522</v>
      </c>
      <c r="P13" s="330">
        <f>'Income statement'!P32</f>
        <v>1724.3646026525182</v>
      </c>
      <c r="Q13" s="330">
        <f>'Income statement'!Q32</f>
        <v>1784.7574975365503</v>
      </c>
    </row>
    <row r="14" spans="2:17" x14ac:dyDescent="0.25">
      <c r="B14" s="1" t="s">
        <v>419</v>
      </c>
      <c r="C14" s="331"/>
      <c r="D14" s="331"/>
      <c r="E14" s="331"/>
      <c r="F14" s="331"/>
      <c r="G14" s="331"/>
      <c r="H14" s="330"/>
      <c r="I14" s="330"/>
      <c r="J14" s="330"/>
      <c r="K14" s="330"/>
      <c r="L14" s="330"/>
      <c r="M14" s="330"/>
      <c r="N14" s="330"/>
      <c r="O14" s="330"/>
      <c r="P14" s="330"/>
      <c r="Q14" s="330"/>
    </row>
    <row r="15" spans="2:17" x14ac:dyDescent="0.25">
      <c r="B15" t="s">
        <v>13</v>
      </c>
      <c r="C15" s="329">
        <v>86.37</v>
      </c>
      <c r="D15" s="329">
        <v>102.33</v>
      </c>
      <c r="E15" s="329">
        <v>168.28</v>
      </c>
      <c r="F15" s="329">
        <v>211.47</v>
      </c>
      <c r="G15" s="329">
        <v>275.44</v>
      </c>
      <c r="H15" s="330">
        <f>-'Income statement'!H29</f>
        <v>245.18181509374691</v>
      </c>
      <c r="I15" s="330">
        <f>-'Income statement'!I29</f>
        <v>263.57577449035801</v>
      </c>
      <c r="J15" s="330">
        <f>-'Income statement'!J29</f>
        <v>296.19559082456328</v>
      </c>
      <c r="K15" s="330">
        <f>-'Income statement'!K29</f>
        <v>329.9198514367157</v>
      </c>
      <c r="L15" s="330">
        <f>-'Income statement'!L29</f>
        <v>364.47876832808623</v>
      </c>
      <c r="M15" s="330">
        <f>-'Income statement'!M29</f>
        <v>399.60339661519828</v>
      </c>
      <c r="N15" s="330">
        <f>-'Income statement'!N29</f>
        <v>435.03220133306985</v>
      </c>
      <c r="O15" s="330">
        <f>-'Income statement'!O29</f>
        <v>470.51652742879713</v>
      </c>
      <c r="P15" s="330">
        <f>-'Income statement'!P29</f>
        <v>505.82491355338072</v>
      </c>
      <c r="Q15" s="330">
        <f>-'Income statement'!Q29</f>
        <v>540.74626379846666</v>
      </c>
    </row>
    <row r="16" spans="2:17" x14ac:dyDescent="0.25">
      <c r="B16" t="s">
        <v>420</v>
      </c>
      <c r="C16" s="329">
        <v>231.31</v>
      </c>
      <c r="D16" s="329">
        <v>246.4</v>
      </c>
      <c r="E16" s="329">
        <v>310.45</v>
      </c>
      <c r="F16" s="329">
        <v>378.12</v>
      </c>
      <c r="G16" s="329">
        <v>434.27</v>
      </c>
      <c r="H16" s="330">
        <f>-'Income statement'!H24</f>
        <v>469.52217767850595</v>
      </c>
      <c r="I16" s="330">
        <f>-'Income statement'!I24</f>
        <v>504.86252986527199</v>
      </c>
      <c r="J16" s="330">
        <f>-'Income statement'!J24</f>
        <v>548.71175491089889</v>
      </c>
      <c r="K16" s="330">
        <f>-'Income statement'!K24</f>
        <v>601.45653887063645</v>
      </c>
      <c r="L16" s="330">
        <f>-'Income statement'!L24</f>
        <v>663.41881364518963</v>
      </c>
      <c r="M16" s="330">
        <f>-'Income statement'!M24</f>
        <v>734.84978138035308</v>
      </c>
      <c r="N16" s="330">
        <f>-'Income statement'!N24</f>
        <v>815.92622549234909</v>
      </c>
      <c r="O16" s="330">
        <f>-'Income statement'!O24</f>
        <v>906.74901396137614</v>
      </c>
      <c r="P16" s="330">
        <f>-'Income statement'!P24</f>
        <v>1007.343616193539</v>
      </c>
      <c r="Q16" s="330">
        <f>-'Income statement'!Q24</f>
        <v>1117.6623942387303</v>
      </c>
    </row>
    <row r="17" spans="2:17" x14ac:dyDescent="0.25">
      <c r="B17" t="s">
        <v>449</v>
      </c>
      <c r="C17" s="329">
        <v>0</v>
      </c>
      <c r="D17" s="329">
        <v>0</v>
      </c>
      <c r="E17" s="329">
        <v>0</v>
      </c>
      <c r="F17" s="329">
        <v>12.48</v>
      </c>
      <c r="G17" s="329">
        <v>0</v>
      </c>
      <c r="H17" s="330">
        <v>0</v>
      </c>
      <c r="I17" s="330">
        <v>0</v>
      </c>
      <c r="J17" s="330">
        <v>0</v>
      </c>
      <c r="K17" s="330">
        <v>0</v>
      </c>
      <c r="L17" s="330">
        <v>0</v>
      </c>
      <c r="M17" s="330">
        <v>0</v>
      </c>
      <c r="N17" s="330">
        <v>0</v>
      </c>
      <c r="O17" s="330">
        <v>0</v>
      </c>
      <c r="P17" s="330">
        <v>0</v>
      </c>
      <c r="Q17" s="330">
        <v>0</v>
      </c>
    </row>
    <row r="18" spans="2:17" x14ac:dyDescent="0.25">
      <c r="B18" t="s">
        <v>450</v>
      </c>
      <c r="C18" s="329">
        <v>0</v>
      </c>
      <c r="D18" s="329">
        <v>0</v>
      </c>
      <c r="E18" s="329">
        <v>0</v>
      </c>
      <c r="F18" s="329">
        <v>-8.6199999999999992</v>
      </c>
      <c r="G18" s="329">
        <v>6.72</v>
      </c>
      <c r="H18" s="330">
        <v>0</v>
      </c>
      <c r="I18" s="330">
        <v>0</v>
      </c>
      <c r="J18" s="330">
        <v>0</v>
      </c>
      <c r="K18" s="330">
        <v>0</v>
      </c>
      <c r="L18" s="330">
        <v>0</v>
      </c>
      <c r="M18" s="330">
        <v>0</v>
      </c>
      <c r="N18" s="330">
        <v>0</v>
      </c>
      <c r="O18" s="330">
        <v>0</v>
      </c>
      <c r="P18" s="330">
        <v>0</v>
      </c>
      <c r="Q18" s="330">
        <v>0</v>
      </c>
    </row>
    <row r="19" spans="2:17" x14ac:dyDescent="0.25">
      <c r="B19" t="s">
        <v>421</v>
      </c>
      <c r="C19" s="329">
        <v>-5.26</v>
      </c>
      <c r="D19" s="329">
        <v>-0.33</v>
      </c>
      <c r="E19" s="329">
        <v>-0.61</v>
      </c>
      <c r="F19" s="329">
        <v>-0.51</v>
      </c>
      <c r="G19" s="329">
        <v>-1.0900000000000001</v>
      </c>
      <c r="H19" s="330">
        <v>0</v>
      </c>
      <c r="I19" s="330">
        <v>0</v>
      </c>
      <c r="J19" s="330">
        <v>0</v>
      </c>
      <c r="K19" s="330">
        <v>0</v>
      </c>
      <c r="L19" s="330">
        <v>0</v>
      </c>
      <c r="M19" s="330">
        <v>0</v>
      </c>
      <c r="N19" s="330">
        <v>0</v>
      </c>
      <c r="O19" s="330">
        <v>0</v>
      </c>
      <c r="P19" s="330">
        <v>0</v>
      </c>
      <c r="Q19" s="330">
        <v>0</v>
      </c>
    </row>
    <row r="20" spans="2:17" x14ac:dyDescent="0.25">
      <c r="B20" s="9" t="s">
        <v>75</v>
      </c>
      <c r="C20" s="334">
        <f>SUM(C13:C19)</f>
        <v>976.97</v>
      </c>
      <c r="D20" s="334">
        <f>SUM(D13:D19)</f>
        <v>1720.5400000000002</v>
      </c>
      <c r="E20" s="334">
        <f t="shared" ref="E20:H20" si="2">SUM(E13:E19)</f>
        <v>1089.22</v>
      </c>
      <c r="F20" s="334">
        <f t="shared" si="2"/>
        <v>988.36</v>
      </c>
      <c r="G20" s="334">
        <f t="shared" si="2"/>
        <v>1020.1999999999999</v>
      </c>
      <c r="H20" s="334">
        <f t="shared" si="2"/>
        <v>1578.0697157593499</v>
      </c>
      <c r="I20" s="334">
        <f t="shared" ref="I20:P20" si="3">SUM(I13:I19)</f>
        <v>1773.3696988104266</v>
      </c>
      <c r="J20" s="334">
        <f t="shared" si="3"/>
        <v>1975.2821638740943</v>
      </c>
      <c r="K20" s="334">
        <f t="shared" si="3"/>
        <v>2182.1918476686924</v>
      </c>
      <c r="L20" s="334">
        <f t="shared" si="3"/>
        <v>2392.4885347764948</v>
      </c>
      <c r="M20" s="334">
        <f t="shared" si="3"/>
        <v>2604.6063741300154</v>
      </c>
      <c r="N20" s="334">
        <f t="shared" si="3"/>
        <v>2817.0566287259458</v>
      </c>
      <c r="O20" s="334">
        <f t="shared" si="3"/>
        <v>3028.4535029769254</v>
      </c>
      <c r="P20" s="334">
        <f t="shared" si="3"/>
        <v>3237.5331323994378</v>
      </c>
      <c r="Q20" s="334">
        <f t="shared" ref="Q20" si="4">SUM(Q13:Q19)</f>
        <v>3443.1661555737473</v>
      </c>
    </row>
    <row r="21" spans="2:17" x14ac:dyDescent="0.25">
      <c r="B21" t="s">
        <v>422</v>
      </c>
      <c r="C21" s="329">
        <v>-0.34</v>
      </c>
      <c r="D21" s="329">
        <v>-0.61</v>
      </c>
      <c r="E21" s="329">
        <v>-0.23</v>
      </c>
      <c r="F21" s="329">
        <v>-8.5</v>
      </c>
      <c r="G21" s="329">
        <v>-0.27</v>
      </c>
      <c r="H21" s="330">
        <v>0</v>
      </c>
      <c r="I21" s="330">
        <v>0</v>
      </c>
      <c r="J21" s="330">
        <v>0</v>
      </c>
      <c r="K21" s="330">
        <v>0</v>
      </c>
      <c r="L21" s="330">
        <v>0</v>
      </c>
      <c r="M21" s="330">
        <v>0</v>
      </c>
      <c r="N21" s="330">
        <v>0</v>
      </c>
      <c r="O21" s="330">
        <v>0</v>
      </c>
      <c r="P21" s="330">
        <v>0</v>
      </c>
      <c r="Q21" s="330">
        <v>0</v>
      </c>
    </row>
    <row r="22" spans="2:17" x14ac:dyDescent="0.25">
      <c r="B22" t="s">
        <v>451</v>
      </c>
      <c r="C22" s="329"/>
      <c r="D22" s="329"/>
      <c r="E22" s="329"/>
      <c r="F22" s="329">
        <v>-7.09</v>
      </c>
      <c r="G22" s="329">
        <v>-14.95</v>
      </c>
      <c r="H22" s="330">
        <f>-'Income statement'!H30</f>
        <v>-6.6742031730850062</v>
      </c>
      <c r="I22" s="330">
        <f>-'Income statement'!I30</f>
        <v>-7.5001944164159333</v>
      </c>
      <c r="J22" s="330">
        <f>-'Income statement'!J30</f>
        <v>-8.354152135492301</v>
      </c>
      <c r="K22" s="330">
        <f>-'Income statement'!K30</f>
        <v>-9.2292448226740049</v>
      </c>
      <c r="L22" s="330">
        <f>-'Income statement'!L30</f>
        <v>-10.118662319485155</v>
      </c>
      <c r="M22" s="330">
        <f>-'Income statement'!M30</f>
        <v>-11.015782099646431</v>
      </c>
      <c r="N22" s="330">
        <f>-'Income statement'!N30</f>
        <v>-11.91430777895369</v>
      </c>
      <c r="O22" s="330">
        <f>-'Income statement'!O30</f>
        <v>-12.808378348090258</v>
      </c>
      <c r="P22" s="330">
        <f>-'Income statement'!P30</f>
        <v>-13.692648486591523</v>
      </c>
      <c r="Q22" s="330">
        <f>-'Income statement'!Q30</f>
        <v>-14.562341734016039</v>
      </c>
    </row>
    <row r="23" spans="2:17" x14ac:dyDescent="0.25">
      <c r="B23" t="s">
        <v>423</v>
      </c>
      <c r="C23" s="329">
        <v>-0.02</v>
      </c>
      <c r="D23" s="329">
        <v>0</v>
      </c>
      <c r="E23" s="329">
        <v>0</v>
      </c>
      <c r="F23" s="329">
        <v>0</v>
      </c>
      <c r="G23" s="329">
        <v>0</v>
      </c>
      <c r="H23" s="330">
        <v>0</v>
      </c>
      <c r="I23" s="330">
        <v>0</v>
      </c>
      <c r="J23" s="330">
        <v>0</v>
      </c>
      <c r="K23" s="330">
        <v>0</v>
      </c>
      <c r="L23" s="330">
        <v>0</v>
      </c>
      <c r="M23" s="330">
        <v>0</v>
      </c>
      <c r="N23" s="330">
        <v>0</v>
      </c>
      <c r="O23" s="330">
        <v>0</v>
      </c>
      <c r="P23" s="330">
        <v>0</v>
      </c>
      <c r="Q23" s="330">
        <v>0</v>
      </c>
    </row>
    <row r="24" spans="2:17" x14ac:dyDescent="0.25">
      <c r="B24" t="s">
        <v>424</v>
      </c>
      <c r="C24" s="329">
        <v>-0.05</v>
      </c>
      <c r="D24" s="329">
        <v>0</v>
      </c>
      <c r="E24" s="329">
        <v>-0.06</v>
      </c>
      <c r="F24" s="329">
        <v>-0.03</v>
      </c>
      <c r="G24" s="329">
        <v>-0.06</v>
      </c>
      <c r="H24" s="330">
        <v>0</v>
      </c>
      <c r="I24" s="330">
        <v>0</v>
      </c>
      <c r="J24" s="330">
        <v>0</v>
      </c>
      <c r="K24" s="330">
        <v>0</v>
      </c>
      <c r="L24" s="330">
        <v>0</v>
      </c>
      <c r="M24" s="330">
        <v>0</v>
      </c>
      <c r="N24" s="330">
        <v>0</v>
      </c>
      <c r="O24" s="330">
        <v>0</v>
      </c>
      <c r="P24" s="330">
        <v>0</v>
      </c>
      <c r="Q24" s="330">
        <v>0</v>
      </c>
    </row>
    <row r="25" spans="2:17" x14ac:dyDescent="0.25">
      <c r="B25" s="9" t="s">
        <v>425</v>
      </c>
      <c r="C25" s="334">
        <f>SUM(C20:C24)</f>
        <v>976.56000000000006</v>
      </c>
      <c r="D25" s="334">
        <f>SUM(D20:D24)</f>
        <v>1719.9300000000003</v>
      </c>
      <c r="E25" s="334">
        <f t="shared" ref="E25:H25" si="5">SUM(E20:E24)</f>
        <v>1088.93</v>
      </c>
      <c r="F25" s="334">
        <f t="shared" si="5"/>
        <v>972.74</v>
      </c>
      <c r="G25" s="334">
        <f t="shared" si="5"/>
        <v>1004.92</v>
      </c>
      <c r="H25" s="334">
        <f t="shared" si="5"/>
        <v>1571.3955125862649</v>
      </c>
      <c r="I25" s="334">
        <f t="shared" ref="I25:P25" si="6">SUM(I20:I24)</f>
        <v>1765.8695043940106</v>
      </c>
      <c r="J25" s="334">
        <f t="shared" si="6"/>
        <v>1966.928011738602</v>
      </c>
      <c r="K25" s="334">
        <f t="shared" si="6"/>
        <v>2172.9626028460184</v>
      </c>
      <c r="L25" s="334">
        <f t="shared" si="6"/>
        <v>2382.3698724570095</v>
      </c>
      <c r="M25" s="334">
        <f t="shared" si="6"/>
        <v>2593.590592030369</v>
      </c>
      <c r="N25" s="334">
        <f t="shared" si="6"/>
        <v>2805.1423209469922</v>
      </c>
      <c r="O25" s="334">
        <f t="shared" si="6"/>
        <v>3015.6451246288352</v>
      </c>
      <c r="P25" s="334">
        <f t="shared" si="6"/>
        <v>3223.8404839128461</v>
      </c>
      <c r="Q25" s="334">
        <f t="shared" ref="Q25" si="7">SUM(Q20:Q24)</f>
        <v>3428.6038138397312</v>
      </c>
    </row>
    <row r="26" spans="2:17" x14ac:dyDescent="0.25">
      <c r="B26" s="1"/>
      <c r="C26" s="332"/>
      <c r="D26" s="332"/>
      <c r="E26" s="332"/>
      <c r="F26" s="332"/>
      <c r="G26" s="332"/>
      <c r="H26" s="331"/>
      <c r="I26" s="331"/>
      <c r="J26" s="331"/>
      <c r="K26" s="331"/>
      <c r="L26" s="331"/>
      <c r="M26" s="331"/>
      <c r="N26" s="331"/>
      <c r="O26" s="331"/>
      <c r="P26" s="331"/>
      <c r="Q26" s="331"/>
    </row>
    <row r="27" spans="2:17" x14ac:dyDescent="0.25">
      <c r="B27" s="1" t="s">
        <v>419</v>
      </c>
      <c r="C27" s="331"/>
      <c r="D27" s="331"/>
      <c r="E27" s="331"/>
      <c r="F27" s="331"/>
      <c r="G27" s="331"/>
      <c r="H27" s="331"/>
      <c r="I27" s="331"/>
      <c r="J27" s="331"/>
      <c r="K27" s="331"/>
      <c r="L27" s="331"/>
      <c r="M27" s="331"/>
      <c r="N27" s="331"/>
      <c r="O27" s="331"/>
      <c r="P27" s="331"/>
      <c r="Q27" s="331"/>
    </row>
    <row r="28" spans="2:17" x14ac:dyDescent="0.25">
      <c r="B28" t="s">
        <v>426</v>
      </c>
      <c r="C28" s="329">
        <v>-25.01</v>
      </c>
      <c r="D28" s="329">
        <v>-498.05</v>
      </c>
      <c r="E28" s="329">
        <v>421.99</v>
      </c>
      <c r="F28" s="329">
        <v>78.83</v>
      </c>
      <c r="G28" s="329">
        <v>43.77</v>
      </c>
      <c r="H28" s="330">
        <f>SUM('Balance Sheet'!G27,'Balance Sheet'!G30:G33)-SUM('Balance Sheet'!H27,'Balance Sheet'!H30:H33)</f>
        <v>-551.74165732897018</v>
      </c>
      <c r="I28" s="330">
        <f>SUM('Balance Sheet'!H27,'Balance Sheet'!H30:H33)-SUM('Balance Sheet'!I27,'Balance Sheet'!I30:I33)</f>
        <v>-210.07949686568122</v>
      </c>
      <c r="J28" s="330">
        <f>SUM('Balance Sheet'!I27,'Balance Sheet'!I30:I33)-SUM('Balance Sheet'!J27,'Balance Sheet'!J30:J33)</f>
        <v>-217.1923848062554</v>
      </c>
      <c r="K28" s="330">
        <f>SUM('Balance Sheet'!J27,'Balance Sheet'!J30:J33)-SUM('Balance Sheet'!K27,'Balance Sheet'!K30:K33)</f>
        <v>-222.56777286477336</v>
      </c>
      <c r="L28" s="330">
        <f>SUM('Balance Sheet'!K27,'Balance Sheet'!K30:K33)-SUM('Balance Sheet'!L27,'Balance Sheet'!L30:L33)</f>
        <v>-226.21109090712389</v>
      </c>
      <c r="M28" s="330">
        <f>SUM('Balance Sheet'!L27,'Balance Sheet'!L30:L33)-SUM('Balance Sheet'!M27,'Balance Sheet'!M30:M33)</f>
        <v>-228.17006059835876</v>
      </c>
      <c r="N28" s="330">
        <f>SUM('Balance Sheet'!M27,'Balance Sheet'!M30:M33)-SUM('Balance Sheet'!N27,'Balance Sheet'!N30:N33)</f>
        <v>-228.52763168354522</v>
      </c>
      <c r="O28" s="330">
        <f>SUM('Balance Sheet'!N27,'Balance Sheet'!N30:N33)-SUM('Balance Sheet'!O27,'Balance Sheet'!O30:O33)</f>
        <v>-227.39453576915503</v>
      </c>
      <c r="P28" s="330">
        <f>SUM('Balance Sheet'!O27,'Balance Sheet'!O30:O33)-SUM('Balance Sheet'!P27,'Balance Sheet'!P30:P33)</f>
        <v>-224.90193121244238</v>
      </c>
      <c r="Q28" s="330">
        <f>SUM('Balance Sheet'!P27,'Balance Sheet'!P30:P33)-SUM('Balance Sheet'!Q27,'Balance Sheet'!Q30:Q33)</f>
        <v>-221.19449972573511</v>
      </c>
    </row>
    <row r="29" spans="2:17" x14ac:dyDescent="0.25">
      <c r="B29" t="s">
        <v>427</v>
      </c>
      <c r="C29" s="329">
        <v>128.78</v>
      </c>
      <c r="D29" s="329">
        <v>-37.729999999999997</v>
      </c>
      <c r="E29" s="329">
        <v>-13.31</v>
      </c>
      <c r="F29" s="329">
        <v>388.23</v>
      </c>
      <c r="G29" s="329">
        <v>480.77</v>
      </c>
      <c r="H29" s="330">
        <f>SUM('Balance Sheet'!H58:H63)-SUM('Balance Sheet'!G58:G63)</f>
        <v>257.47102903650784</v>
      </c>
      <c r="I29" s="330">
        <f>SUM('Balance Sheet'!I58:I63)-SUM('Balance Sheet'!H58:H63)</f>
        <v>460.86173607689534</v>
      </c>
      <c r="J29" s="330">
        <f>SUM('Balance Sheet'!J58:J63)-SUM('Balance Sheet'!I58:I63)</f>
        <v>476.46562857340905</v>
      </c>
      <c r="K29" s="330">
        <f>SUM('Balance Sheet'!K58:K63)-SUM('Balance Sheet'!J58:J63)</f>
        <v>488.25788202839067</v>
      </c>
      <c r="L29" s="330">
        <f>SUM('Balance Sheet'!L58:L63)-SUM('Balance Sheet'!K58:K63)</f>
        <v>496.25040820599952</v>
      </c>
      <c r="M29" s="330">
        <f>SUM('Balance Sheet'!M58:M63)-SUM('Balance Sheet'!L58:L63)</f>
        <v>500.54789647255893</v>
      </c>
      <c r="N29" s="330">
        <f>SUM('Balance Sheet'!N58:N63)-SUM('Balance Sheet'!M58:M63)</f>
        <v>501.33231776806042</v>
      </c>
      <c r="O29" s="330">
        <f>SUM('Balance Sheet'!O58:O63)-SUM('Balance Sheet'!N58:N63)</f>
        <v>498.84658946978107</v>
      </c>
      <c r="P29" s="330">
        <f>SUM('Balance Sheet'!P58:P63)-SUM('Balance Sheet'!O58:O63)</f>
        <v>493.37844012394544</v>
      </c>
      <c r="Q29" s="330">
        <f>SUM('Balance Sheet'!Q58:Q63)-SUM('Balance Sheet'!P58:P63)</f>
        <v>485.24526512665943</v>
      </c>
    </row>
    <row r="30" spans="2:17" x14ac:dyDescent="0.25">
      <c r="B30" t="s">
        <v>428</v>
      </c>
      <c r="C30" s="329">
        <v>-111</v>
      </c>
      <c r="D30" s="329">
        <v>-419.66</v>
      </c>
      <c r="E30" s="329">
        <v>-96.92</v>
      </c>
      <c r="F30" s="329">
        <v>-144.56</v>
      </c>
      <c r="G30" s="329">
        <v>-294.38</v>
      </c>
      <c r="H30" s="330">
        <f>'Balance Sheet'!G25-'Balance Sheet'!H25</f>
        <v>-46.662481343699028</v>
      </c>
      <c r="I30" s="330">
        <f>'Balance Sheet'!H25-'Balance Sheet'!I25</f>
        <v>-185.72263331879776</v>
      </c>
      <c r="J30" s="330">
        <f>'Balance Sheet'!I25-'Balance Sheet'!J25</f>
        <v>-192.01084467942201</v>
      </c>
      <c r="K30" s="330">
        <f>'Balance Sheet'!J25-'Balance Sheet'!K25</f>
        <v>-196.76300393452789</v>
      </c>
      <c r="L30" s="330">
        <f>'Balance Sheet'!K25-'Balance Sheet'!L25</f>
        <v>-199.98391140497824</v>
      </c>
      <c r="M30" s="330">
        <f>'Balance Sheet'!L25-'Balance Sheet'!M25</f>
        <v>-201.71575584994389</v>
      </c>
      <c r="N30" s="330">
        <f>'Balance Sheet'!M25-'Balance Sheet'!N25</f>
        <v>-202.03186972364574</v>
      </c>
      <c r="O30" s="330">
        <f>'Balance Sheet'!N25-'Balance Sheet'!O25</f>
        <v>-201.03014628007804</v>
      </c>
      <c r="P30" s="330">
        <f>'Balance Sheet'!O25-'Balance Sheet'!P25</f>
        <v>-198.82653722254508</v>
      </c>
      <c r="Q30" s="330">
        <f>'Balance Sheet'!P25-'Balance Sheet'!Q25</f>
        <v>-195.54894969575935</v>
      </c>
    </row>
    <row r="31" spans="2:17" x14ac:dyDescent="0.25">
      <c r="B31" s="9" t="s">
        <v>429</v>
      </c>
      <c r="C31" s="334">
        <f>SUM(C25:C30)</f>
        <v>969.33000000000015</v>
      </c>
      <c r="D31" s="334">
        <f>SUM(D25:D30)</f>
        <v>764.49000000000024</v>
      </c>
      <c r="E31" s="334">
        <f t="shared" ref="E31:H31" si="8">SUM(E25:E30)</f>
        <v>1400.69</v>
      </c>
      <c r="F31" s="334">
        <f t="shared" si="8"/>
        <v>1295.24</v>
      </c>
      <c r="G31" s="334">
        <f t="shared" si="8"/>
        <v>1235.08</v>
      </c>
      <c r="H31" s="334">
        <f t="shared" si="8"/>
        <v>1230.4624029501035</v>
      </c>
      <c r="I31" s="334">
        <f t="shared" ref="I31:P31" si="9">SUM(I25:I30)</f>
        <v>1830.929110286427</v>
      </c>
      <c r="J31" s="334">
        <f t="shared" si="9"/>
        <v>2034.1904108263334</v>
      </c>
      <c r="K31" s="334">
        <f t="shared" si="9"/>
        <v>2241.8897080751076</v>
      </c>
      <c r="L31" s="334">
        <f t="shared" si="9"/>
        <v>2452.4252783509069</v>
      </c>
      <c r="M31" s="334">
        <f t="shared" si="9"/>
        <v>2664.2526720546252</v>
      </c>
      <c r="N31" s="334">
        <f t="shared" si="9"/>
        <v>2875.9151373078616</v>
      </c>
      <c r="O31" s="334">
        <f t="shared" si="9"/>
        <v>3086.0670320493832</v>
      </c>
      <c r="P31" s="334">
        <f t="shared" si="9"/>
        <v>3293.4904556018041</v>
      </c>
      <c r="Q31" s="334">
        <f t="shared" ref="Q31" si="10">SUM(Q25:Q30)</f>
        <v>3497.1056295448961</v>
      </c>
    </row>
    <row r="32" spans="2:17" x14ac:dyDescent="0.25">
      <c r="B32" t="s">
        <v>430</v>
      </c>
      <c r="C32" s="329">
        <v>-96.62</v>
      </c>
      <c r="D32" s="329">
        <v>-245.84</v>
      </c>
      <c r="E32" s="329">
        <v>-90.89</v>
      </c>
      <c r="F32" s="329">
        <v>-85.67</v>
      </c>
      <c r="G32" s="329">
        <v>6.85</v>
      </c>
      <c r="H32" s="330">
        <f>'Income statement'!H39</f>
        <v>-53.072764434193537</v>
      </c>
      <c r="I32" s="330">
        <f>'Income statement'!I39</f>
        <v>-61.775080652839549</v>
      </c>
      <c r="J32" s="330">
        <f>'Income statement'!J39</f>
        <v>-69.486331050824646</v>
      </c>
      <c r="K32" s="330">
        <f>'Income statement'!K39</f>
        <v>-76.890050591200691</v>
      </c>
      <c r="L32" s="330">
        <f>'Income statement'!L39</f>
        <v>-83.88405082447234</v>
      </c>
      <c r="M32" s="330">
        <f>'Income statement'!M39</f>
        <v>-90.373166530943251</v>
      </c>
      <c r="N32" s="330">
        <f>'Income statement'!N39</f>
        <v>-96.271092003409208</v>
      </c>
      <c r="O32" s="330">
        <f>'Income statement'!O39</f>
        <v>-101.50172445887057</v>
      </c>
      <c r="P32" s="330">
        <f>'Income statement'!P39</f>
        <v>-106.000034421805</v>
      </c>
      <c r="Q32" s="330">
        <f>'Income statement'!Q39</f>
        <v>-109.71250272850328</v>
      </c>
    </row>
    <row r="33" spans="2:17" x14ac:dyDescent="0.25">
      <c r="C33" s="331"/>
      <c r="D33" s="331"/>
      <c r="E33" s="331"/>
      <c r="F33" s="331"/>
      <c r="G33" s="331"/>
      <c r="H33" s="331"/>
      <c r="I33" s="331"/>
      <c r="J33" s="331"/>
      <c r="K33" s="331"/>
      <c r="L33" s="331"/>
      <c r="M33" s="331"/>
      <c r="N33" s="331"/>
      <c r="O33" s="331"/>
      <c r="P33" s="331"/>
      <c r="Q33" s="331"/>
    </row>
    <row r="34" spans="2:17" x14ac:dyDescent="0.25">
      <c r="B34" s="10" t="s">
        <v>431</v>
      </c>
      <c r="C34" s="335">
        <f>SUM(C31:C32)</f>
        <v>872.71000000000015</v>
      </c>
      <c r="D34" s="335">
        <f>SUM(D31:D32)</f>
        <v>518.6500000000002</v>
      </c>
      <c r="E34" s="335">
        <f t="shared" ref="E34:H34" si="11">SUM(E31:E32)</f>
        <v>1309.8</v>
      </c>
      <c r="F34" s="335">
        <f t="shared" si="11"/>
        <v>1209.57</v>
      </c>
      <c r="G34" s="335">
        <f>SUM(G31:G32)</f>
        <v>1241.9299999999998</v>
      </c>
      <c r="H34" s="335">
        <f t="shared" si="11"/>
        <v>1177.3896385159101</v>
      </c>
      <c r="I34" s="335">
        <f t="shared" ref="I34:P34" si="12">SUM(I31:I32)</f>
        <v>1769.1540296335875</v>
      </c>
      <c r="J34" s="335">
        <f t="shared" si="12"/>
        <v>1964.7040797755087</v>
      </c>
      <c r="K34" s="335">
        <f t="shared" si="12"/>
        <v>2164.999657483907</v>
      </c>
      <c r="L34" s="335">
        <f t="shared" si="12"/>
        <v>2368.5412275264343</v>
      </c>
      <c r="M34" s="335">
        <f t="shared" si="12"/>
        <v>2573.8795055236819</v>
      </c>
      <c r="N34" s="335">
        <f t="shared" si="12"/>
        <v>2779.6440453044524</v>
      </c>
      <c r="O34" s="335">
        <f t="shared" si="12"/>
        <v>2984.5653075905125</v>
      </c>
      <c r="P34" s="335">
        <f t="shared" si="12"/>
        <v>3187.490421179999</v>
      </c>
      <c r="Q34" s="335">
        <f t="shared" ref="Q34" si="13">SUM(Q31:Q32)</f>
        <v>3387.3931268163929</v>
      </c>
    </row>
    <row r="35" spans="2:17" x14ac:dyDescent="0.25">
      <c r="C35" s="331"/>
      <c r="D35" s="331"/>
      <c r="E35" s="331"/>
      <c r="F35" s="331"/>
      <c r="G35" s="331"/>
      <c r="H35" s="331"/>
      <c r="I35" s="331"/>
      <c r="J35" s="331"/>
      <c r="K35" s="331"/>
      <c r="L35" s="331"/>
      <c r="M35" s="331"/>
      <c r="N35" s="331"/>
      <c r="O35" s="331"/>
      <c r="P35" s="331"/>
      <c r="Q35" s="331"/>
    </row>
    <row r="36" spans="2:17" x14ac:dyDescent="0.25">
      <c r="B36" s="1" t="s">
        <v>432</v>
      </c>
      <c r="C36" s="331"/>
      <c r="D36" s="331"/>
      <c r="E36" s="331"/>
      <c r="F36" s="331"/>
      <c r="G36" s="331"/>
      <c r="H36" s="331"/>
      <c r="I36" s="331"/>
      <c r="J36" s="331"/>
      <c r="K36" s="331"/>
      <c r="L36" s="331"/>
      <c r="M36" s="331"/>
      <c r="N36" s="331"/>
      <c r="O36" s="331"/>
      <c r="P36" s="331"/>
      <c r="Q36" s="331"/>
    </row>
    <row r="37" spans="2:17" x14ac:dyDescent="0.25">
      <c r="B37" t="s">
        <v>433</v>
      </c>
      <c r="C37" s="329">
        <v>-1314.82</v>
      </c>
      <c r="D37" s="329">
        <v>-1165.42</v>
      </c>
      <c r="E37" s="329">
        <v>-1326.3</v>
      </c>
      <c r="F37" s="329">
        <v>-1328.06</v>
      </c>
      <c r="G37" s="329">
        <v>-1385.97</v>
      </c>
      <c r="H37" s="330">
        <f>-'Dep and Capex Schedules'!H13</f>
        <v>-1058.951838579557</v>
      </c>
      <c r="I37" s="330">
        <f>-'Dep and Capex Schedules'!I13</f>
        <v>-1236.2087743177065</v>
      </c>
      <c r="J37" s="330">
        <f>-'Dep and Capex Schedules'!J13</f>
        <v>-1428.4239875277935</v>
      </c>
      <c r="K37" s="330">
        <f>-'Dep and Capex Schedules'!K13</f>
        <v>-1634.9041518431886</v>
      </c>
      <c r="L37" s="330">
        <f>-'Dep and Capex Schedules'!L13</f>
        <v>-1854.7915217456446</v>
      </c>
      <c r="M37" s="330">
        <f>-'Dep and Capex Schedules'!M13</f>
        <v>-2087.09609481388</v>
      </c>
      <c r="N37" s="330">
        <f>-'Dep and Capex Schedules'!N13</f>
        <v>-2330.7284868414413</v>
      </c>
      <c r="O37" s="330">
        <f>-'Dep and Capex Schedules'!O13</f>
        <v>-2584.5320187494153</v>
      </c>
      <c r="P37" s="330">
        <f>-'Dep and Capex Schedules'!P13</f>
        <v>-2847.3128273250968</v>
      </c>
      <c r="Q37" s="330">
        <f>-'Dep and Capex Schedules'!Q13</f>
        <v>-3117.8671330365728</v>
      </c>
    </row>
    <row r="38" spans="2:17" x14ac:dyDescent="0.25">
      <c r="B38" t="s">
        <v>434</v>
      </c>
      <c r="C38" s="329">
        <v>0.43</v>
      </c>
      <c r="D38" s="329">
        <v>0.42</v>
      </c>
      <c r="E38" s="329"/>
      <c r="F38" s="329">
        <v>21.98</v>
      </c>
      <c r="G38" s="329">
        <v>7.1</v>
      </c>
      <c r="H38" s="330">
        <v>0</v>
      </c>
      <c r="I38" s="330">
        <v>0</v>
      </c>
      <c r="J38" s="330">
        <v>0</v>
      </c>
      <c r="K38" s="330">
        <v>0</v>
      </c>
      <c r="L38" s="330">
        <v>0</v>
      </c>
      <c r="M38" s="330">
        <v>0</v>
      </c>
      <c r="N38" s="330">
        <v>0</v>
      </c>
      <c r="O38" s="330">
        <v>0</v>
      </c>
      <c r="P38" s="330">
        <v>0</v>
      </c>
      <c r="Q38" s="330">
        <v>0</v>
      </c>
    </row>
    <row r="39" spans="2:17" x14ac:dyDescent="0.25">
      <c r="B39" t="s">
        <v>435</v>
      </c>
      <c r="C39" s="329">
        <v>-7.82</v>
      </c>
      <c r="D39" s="329">
        <v>-5</v>
      </c>
      <c r="E39" s="329">
        <v>-3.54</v>
      </c>
      <c r="F39" s="329">
        <v>-15.57</v>
      </c>
      <c r="G39" s="329">
        <v>-2.72</v>
      </c>
      <c r="H39" s="330">
        <f>SUM('Balance Sheet'!G17,'Balance Sheet'!G20)-SUM('Balance Sheet'!H17,'Balance Sheet'!H20)+('Balance Sheet'!G18-'Balance Sheet'!H18)</f>
        <v>-3.7708573713584781</v>
      </c>
      <c r="I39" s="330">
        <f>SUM('Balance Sheet'!H17,'Balance Sheet'!H20)-SUM('Balance Sheet'!I17,'Balance Sheet'!I20)+('Balance Sheet'!H18-'Balance Sheet'!I18)</f>
        <v>-21.479679994141549</v>
      </c>
      <c r="J39" s="330">
        <f>SUM('Balance Sheet'!I17,'Balance Sheet'!I20)-SUM('Balance Sheet'!J17,'Balance Sheet'!J20)+('Balance Sheet'!I18-'Balance Sheet'!J18)</f>
        <v>-22.206940669634367</v>
      </c>
      <c r="K39" s="330">
        <f>SUM('Balance Sheet'!J17,'Balance Sheet'!J20)-SUM('Balance Sheet'!K17,'Balance Sheet'!K20)+('Balance Sheet'!J18-'Balance Sheet'!K18)</f>
        <v>-22.756549827424319</v>
      </c>
      <c r="L39" s="330">
        <f>SUM('Balance Sheet'!K17,'Balance Sheet'!K20)-SUM('Balance Sheet'!L17,'Balance Sheet'!L20)+('Balance Sheet'!K18-'Balance Sheet'!L18)</f>
        <v>-23.129062646781424</v>
      </c>
      <c r="M39" s="330">
        <f>SUM('Balance Sheet'!L17,'Balance Sheet'!L20)-SUM('Balance Sheet'!M17,'Balance Sheet'!M20)+('Balance Sheet'!L18-'Balance Sheet'!M18)</f>
        <v>-23.329358452482428</v>
      </c>
      <c r="N39" s="330">
        <f>SUM('Balance Sheet'!M17,'Balance Sheet'!M20)-SUM('Balance Sheet'!N17,'Balance Sheet'!N20)+('Balance Sheet'!M18-'Balance Sheet'!N18)</f>
        <v>-23.365918481421684</v>
      </c>
      <c r="O39" s="330">
        <f>SUM('Balance Sheet'!N17,'Balance Sheet'!N20)-SUM('Balance Sheet'!O17,'Balance Sheet'!O20)+('Balance Sheet'!N18-'Balance Sheet'!O18)</f>
        <v>-23.25006454038089</v>
      </c>
      <c r="P39" s="330">
        <f>SUM('Balance Sheet'!O17,'Balance Sheet'!O20)-SUM('Balance Sheet'!P17,'Balance Sheet'!P20)+('Balance Sheet'!O18-'Balance Sheet'!P18)</f>
        <v>-22.995206979176938</v>
      </c>
      <c r="Q39" s="330">
        <f>SUM('Balance Sheet'!P17,'Balance Sheet'!P20)-SUM('Balance Sheet'!Q17,'Balance Sheet'!Q20)+('Balance Sheet'!P18-'Balance Sheet'!Q18)</f>
        <v>-22.616138849622295</v>
      </c>
    </row>
    <row r="40" spans="2:17" x14ac:dyDescent="0.25">
      <c r="B40" t="s">
        <v>436</v>
      </c>
      <c r="C40" s="329">
        <v>0.02</v>
      </c>
      <c r="D40" s="329">
        <v>0.52</v>
      </c>
      <c r="E40" s="329">
        <v>0</v>
      </c>
      <c r="F40" s="329">
        <v>0</v>
      </c>
      <c r="G40" s="329">
        <v>0</v>
      </c>
      <c r="H40" s="330">
        <f>'Balance Sheet'!H43-'Balance Sheet'!G43</f>
        <v>-0.1</v>
      </c>
      <c r="I40" s="330">
        <f>'Balance Sheet'!I43-'Balance Sheet'!H43</f>
        <v>0</v>
      </c>
      <c r="J40" s="330">
        <f>'Balance Sheet'!J43-'Balance Sheet'!I43</f>
        <v>0</v>
      </c>
      <c r="K40" s="330">
        <f>'Balance Sheet'!K43-'Balance Sheet'!J43</f>
        <v>0</v>
      </c>
      <c r="L40" s="330">
        <f>'Balance Sheet'!L43-'Balance Sheet'!K43</f>
        <v>0</v>
      </c>
      <c r="M40" s="330">
        <f>'Balance Sheet'!M43-'Balance Sheet'!L43</f>
        <v>0</v>
      </c>
      <c r="N40" s="330">
        <f>'Balance Sheet'!N43-'Balance Sheet'!M43</f>
        <v>0</v>
      </c>
      <c r="O40" s="330">
        <f>'Balance Sheet'!O43-'Balance Sheet'!N43</f>
        <v>0</v>
      </c>
      <c r="P40" s="330">
        <f>'Balance Sheet'!P43-'Balance Sheet'!O43</f>
        <v>0</v>
      </c>
      <c r="Q40" s="330">
        <f>'Balance Sheet'!Q43-'Balance Sheet'!P43</f>
        <v>0</v>
      </c>
    </row>
    <row r="41" spans="2:17" x14ac:dyDescent="0.25">
      <c r="B41" t="s">
        <v>453</v>
      </c>
      <c r="C41" s="329">
        <v>0</v>
      </c>
      <c r="D41" s="329">
        <f>'Balance Sheet'!C29-'Balance Sheet'!D29</f>
        <v>-79.930000000000007</v>
      </c>
      <c r="E41" s="329">
        <f>'Balance Sheet'!D29-'Balance Sheet'!E29</f>
        <v>46.650000000000006</v>
      </c>
      <c r="F41" s="329">
        <f>'Balance Sheet'!E29-'Balance Sheet'!F29</f>
        <v>-54.67</v>
      </c>
      <c r="G41" s="329">
        <f>'Balance Sheet'!F29-'Balance Sheet'!G29</f>
        <v>-7.6299999999999955</v>
      </c>
      <c r="H41" s="330">
        <f>'Balance Sheet'!G29-'Balance Sheet'!H29</f>
        <v>95.58</v>
      </c>
      <c r="I41" s="330">
        <f>'Balance Sheet'!H29-'Balance Sheet'!I29</f>
        <v>0</v>
      </c>
      <c r="J41" s="330">
        <f>'Balance Sheet'!I29-'Balance Sheet'!J29</f>
        <v>0</v>
      </c>
      <c r="K41" s="330">
        <f>'Balance Sheet'!J29-'Balance Sheet'!K29</f>
        <v>0</v>
      </c>
      <c r="L41" s="330">
        <f>'Balance Sheet'!K29-'Balance Sheet'!L29</f>
        <v>0</v>
      </c>
      <c r="M41" s="330">
        <f>'Balance Sheet'!L29-'Balance Sheet'!M29</f>
        <v>0</v>
      </c>
      <c r="N41" s="330">
        <f>'Balance Sheet'!M29-'Balance Sheet'!N29</f>
        <v>0</v>
      </c>
      <c r="O41" s="330">
        <f>'Balance Sheet'!N29-'Balance Sheet'!O29</f>
        <v>0</v>
      </c>
      <c r="P41" s="330">
        <f>'Balance Sheet'!O29-'Balance Sheet'!P29</f>
        <v>0</v>
      </c>
      <c r="Q41" s="330">
        <f>'Balance Sheet'!P29-'Balance Sheet'!Q29</f>
        <v>0</v>
      </c>
    </row>
    <row r="42" spans="2:17" x14ac:dyDescent="0.25">
      <c r="B42" t="s">
        <v>452</v>
      </c>
      <c r="C42" s="329">
        <v>0</v>
      </c>
      <c r="D42" s="329">
        <v>0</v>
      </c>
      <c r="E42" s="329">
        <v>0</v>
      </c>
      <c r="F42" s="329">
        <v>0</v>
      </c>
      <c r="G42" s="329">
        <v>-23.45</v>
      </c>
      <c r="H42" s="330">
        <v>0</v>
      </c>
      <c r="I42" s="330">
        <v>0</v>
      </c>
      <c r="J42" s="330">
        <v>0</v>
      </c>
      <c r="K42" s="330">
        <v>0</v>
      </c>
      <c r="L42" s="330">
        <v>0</v>
      </c>
      <c r="M42" s="330">
        <v>0</v>
      </c>
      <c r="N42" s="330">
        <v>0</v>
      </c>
      <c r="O42" s="330">
        <v>0</v>
      </c>
      <c r="P42" s="330">
        <v>0</v>
      </c>
      <c r="Q42" s="330">
        <v>0</v>
      </c>
    </row>
    <row r="43" spans="2:17" x14ac:dyDescent="0.25">
      <c r="B43" t="s">
        <v>451</v>
      </c>
      <c r="C43" s="329">
        <v>0</v>
      </c>
      <c r="D43" s="329">
        <v>0</v>
      </c>
      <c r="E43" s="329">
        <v>0</v>
      </c>
      <c r="F43" s="329">
        <v>7.09</v>
      </c>
      <c r="G43" s="329">
        <v>14.95</v>
      </c>
      <c r="H43" s="330">
        <f>'Income statement'!H30</f>
        <v>6.6742031730850062</v>
      </c>
      <c r="I43" s="330">
        <f>'Income statement'!I30</f>
        <v>7.5001944164159333</v>
      </c>
      <c r="J43" s="330">
        <f>'Income statement'!J30</f>
        <v>8.354152135492301</v>
      </c>
      <c r="K43" s="330">
        <f>'Income statement'!K30</f>
        <v>9.2292448226740049</v>
      </c>
      <c r="L43" s="330">
        <f>'Income statement'!L30</f>
        <v>10.118662319485155</v>
      </c>
      <c r="M43" s="330">
        <f>'Income statement'!M30</f>
        <v>11.015782099646431</v>
      </c>
      <c r="N43" s="330">
        <f>'Income statement'!N30</f>
        <v>11.91430777895369</v>
      </c>
      <c r="O43" s="330">
        <f>'Income statement'!O30</f>
        <v>12.808378348090258</v>
      </c>
      <c r="P43" s="330">
        <f>'Income statement'!P30</f>
        <v>13.692648486591523</v>
      </c>
      <c r="Q43" s="330">
        <f>'Income statement'!Q30</f>
        <v>14.562341734016039</v>
      </c>
    </row>
    <row r="44" spans="2:17" x14ac:dyDescent="0.25">
      <c r="B44" t="s">
        <v>437</v>
      </c>
      <c r="C44" s="329">
        <v>0</v>
      </c>
      <c r="D44" s="329">
        <v>0</v>
      </c>
      <c r="E44" s="329">
        <v>0</v>
      </c>
      <c r="F44" s="329">
        <v>0</v>
      </c>
      <c r="G44" s="329">
        <v>0</v>
      </c>
      <c r="H44" s="330">
        <v>0</v>
      </c>
      <c r="I44" s="330">
        <v>0</v>
      </c>
      <c r="J44" s="330">
        <v>0</v>
      </c>
      <c r="K44" s="330">
        <v>0</v>
      </c>
      <c r="L44" s="330">
        <v>0</v>
      </c>
      <c r="M44" s="330">
        <v>0</v>
      </c>
      <c r="N44" s="330">
        <v>0</v>
      </c>
      <c r="O44" s="330">
        <v>0</v>
      </c>
      <c r="P44" s="330">
        <v>0</v>
      </c>
      <c r="Q44" s="330">
        <v>0</v>
      </c>
    </row>
    <row r="45" spans="2:17" x14ac:dyDescent="0.25">
      <c r="B45" t="s">
        <v>424</v>
      </c>
      <c r="C45" s="329">
        <v>0.05</v>
      </c>
      <c r="D45" s="329">
        <v>0.05</v>
      </c>
      <c r="E45" s="329">
        <v>0.06</v>
      </c>
      <c r="F45" s="329">
        <v>0.03</v>
      </c>
      <c r="G45" s="329">
        <v>0.06</v>
      </c>
      <c r="H45" s="330">
        <v>0</v>
      </c>
      <c r="I45" s="330">
        <v>0</v>
      </c>
      <c r="J45" s="330">
        <v>0</v>
      </c>
      <c r="K45" s="330">
        <v>0</v>
      </c>
      <c r="L45" s="330">
        <v>0</v>
      </c>
      <c r="M45" s="330">
        <v>0</v>
      </c>
      <c r="N45" s="330">
        <v>0</v>
      </c>
      <c r="O45" s="330">
        <v>0</v>
      </c>
      <c r="P45" s="330">
        <v>0</v>
      </c>
      <c r="Q45" s="330">
        <v>0</v>
      </c>
    </row>
    <row r="46" spans="2:17" x14ac:dyDescent="0.25">
      <c r="B46" t="s">
        <v>455</v>
      </c>
      <c r="C46" s="329">
        <v>0</v>
      </c>
      <c r="D46" s="329">
        <v>0</v>
      </c>
      <c r="E46" s="329">
        <v>0</v>
      </c>
      <c r="F46" s="329">
        <v>0</v>
      </c>
      <c r="G46" s="329">
        <v>0</v>
      </c>
      <c r="H46" s="330">
        <f>'Balance Sheet'!G19-'Balance Sheet'!H19</f>
        <v>111.01961216242816</v>
      </c>
      <c r="I46" s="330">
        <f>'Balance Sheet'!H19-'Balance Sheet'!I19</f>
        <v>-13.23852471346126</v>
      </c>
      <c r="J46" s="330">
        <f>'Balance Sheet'!I19-'Balance Sheet'!J19</f>
        <v>-13.686755712631935</v>
      </c>
      <c r="K46" s="330">
        <f>'Balance Sheet'!J19-'Balance Sheet'!K19</f>
        <v>-14.025495136130388</v>
      </c>
      <c r="L46" s="330">
        <f>'Balance Sheet'!K19-'Balance Sheet'!L19</f>
        <v>-14.255085156395381</v>
      </c>
      <c r="M46" s="330">
        <f>'Balance Sheet'!L19-'Balance Sheet'!M19</f>
        <v>-14.378533037113243</v>
      </c>
      <c r="N46" s="330">
        <f>'Balance Sheet'!M19-'Balance Sheet'!N19</f>
        <v>-14.401066000675542</v>
      </c>
      <c r="O46" s="330">
        <f>'Balance Sheet'!N19-'Balance Sheet'!O19</f>
        <v>-14.329661991768546</v>
      </c>
      <c r="P46" s="330">
        <f>'Balance Sheet'!O19-'Balance Sheet'!P19</f>
        <v>-14.172586182290445</v>
      </c>
      <c r="Q46" s="330">
        <f>'Balance Sheet'!P19-'Balance Sheet'!Q19</f>
        <v>-13.938955941869551</v>
      </c>
    </row>
    <row r="47" spans="2:17" x14ac:dyDescent="0.25">
      <c r="B47" s="10" t="s">
        <v>438</v>
      </c>
      <c r="C47" s="335">
        <f t="shared" ref="C47:G47" si="14">SUM(C37:C46)</f>
        <v>-1322.1399999999999</v>
      </c>
      <c r="D47" s="335">
        <f t="shared" si="14"/>
        <v>-1249.3600000000001</v>
      </c>
      <c r="E47" s="335">
        <f t="shared" si="14"/>
        <v>-1283.1299999999999</v>
      </c>
      <c r="F47" s="335">
        <f t="shared" si="14"/>
        <v>-1369.2</v>
      </c>
      <c r="G47" s="335">
        <f t="shared" si="14"/>
        <v>-1397.6600000000003</v>
      </c>
      <c r="H47" s="335">
        <f>SUM(H37:H46)</f>
        <v>-849.54888061540214</v>
      </c>
      <c r="I47" s="335">
        <f t="shared" ref="I47:Q47" si="15">SUM(I37:I46)</f>
        <v>-1263.4267846088933</v>
      </c>
      <c r="J47" s="335">
        <f t="shared" si="15"/>
        <v>-1455.9635317745676</v>
      </c>
      <c r="K47" s="335">
        <f t="shared" si="15"/>
        <v>-1662.4569519840693</v>
      </c>
      <c r="L47" s="335">
        <f t="shared" si="15"/>
        <v>-1882.0570072293363</v>
      </c>
      <c r="M47" s="335">
        <f t="shared" si="15"/>
        <v>-2113.7882042038291</v>
      </c>
      <c r="N47" s="335">
        <f t="shared" si="15"/>
        <v>-2356.5811635445853</v>
      </c>
      <c r="O47" s="335">
        <f t="shared" si="15"/>
        <v>-2609.3033669334745</v>
      </c>
      <c r="P47" s="335">
        <f t="shared" si="15"/>
        <v>-2870.7879719999728</v>
      </c>
      <c r="Q47" s="335">
        <f t="shared" si="15"/>
        <v>-3139.8598860940483</v>
      </c>
    </row>
    <row r="48" spans="2:17" x14ac:dyDescent="0.25">
      <c r="C48" s="331"/>
      <c r="D48" s="331"/>
      <c r="E48" s="331"/>
      <c r="F48" s="331"/>
      <c r="G48" s="331"/>
      <c r="H48" s="331"/>
      <c r="I48" s="331"/>
      <c r="J48" s="331"/>
      <c r="K48" s="331"/>
      <c r="L48" s="331"/>
      <c r="M48" s="331"/>
      <c r="N48" s="331"/>
      <c r="O48" s="331"/>
      <c r="P48" s="331"/>
      <c r="Q48" s="331"/>
    </row>
    <row r="49" spans="2:17" x14ac:dyDescent="0.25">
      <c r="B49" s="1" t="s">
        <v>439</v>
      </c>
      <c r="C49" s="331"/>
      <c r="D49" s="331"/>
      <c r="E49" s="331"/>
      <c r="F49" s="331"/>
      <c r="G49" s="331"/>
      <c r="H49" s="331"/>
      <c r="I49" s="331"/>
      <c r="J49" s="331"/>
      <c r="K49" s="331"/>
      <c r="L49" s="331"/>
      <c r="M49" s="331"/>
      <c r="N49" s="331"/>
      <c r="O49" s="331"/>
      <c r="P49" s="331"/>
      <c r="Q49" s="331"/>
    </row>
    <row r="50" spans="2:17" x14ac:dyDescent="0.25">
      <c r="B50" t="s">
        <v>440</v>
      </c>
      <c r="C50" s="329">
        <v>1007.99</v>
      </c>
      <c r="D50" s="329">
        <v>-594.54</v>
      </c>
      <c r="E50" s="329">
        <v>-300.89999999999998</v>
      </c>
      <c r="F50" s="329">
        <v>1291.8800000000001</v>
      </c>
      <c r="G50" s="329">
        <v>592.70000000000005</v>
      </c>
      <c r="H50" s="330">
        <f>'Balance Sheet'!H49-'Balance Sheet'!G49</f>
        <v>-179.9010325656418</v>
      </c>
      <c r="I50" s="330">
        <f>'Balance Sheet'!I49-'Balance Sheet'!H49</f>
        <v>208.84528892927597</v>
      </c>
      <c r="J50" s="330">
        <f>'Balance Sheet'!J49-'Balance Sheet'!I49</f>
        <v>215.91638896156769</v>
      </c>
      <c r="K50" s="330">
        <f>'Balance Sheet'!K49-'Balance Sheet'!J49</f>
        <v>221.26019684828361</v>
      </c>
      <c r="L50" s="330">
        <f>'Balance Sheet'!L49-'Balance Sheet'!K49</f>
        <v>224.88211055508509</v>
      </c>
      <c r="M50" s="330">
        <f>'Balance Sheet'!M49-'Balance Sheet'!L49</f>
        <v>226.82957138431311</v>
      </c>
      <c r="N50" s="330">
        <f>'Balance Sheet'!N49-'Balance Sheet'!M49</f>
        <v>227.18504175487578</v>
      </c>
      <c r="O50" s="330">
        <f>'Balance Sheet'!O49-'Balance Sheet'!N49</f>
        <v>226.05860272985956</v>
      </c>
      <c r="P50" s="330">
        <f>'Balance Sheet'!P49-'Balance Sheet'!O49</f>
        <v>223.58064211685405</v>
      </c>
      <c r="Q50" s="330">
        <f>'Balance Sheet'!Q49-'Balance Sheet'!P49</f>
        <v>219.89499162940183</v>
      </c>
    </row>
    <row r="51" spans="2:17" x14ac:dyDescent="0.25">
      <c r="B51" t="s">
        <v>441</v>
      </c>
      <c r="C51" s="329">
        <v>-256.48</v>
      </c>
      <c r="D51" s="329">
        <v>0</v>
      </c>
      <c r="E51" s="329">
        <v>0</v>
      </c>
      <c r="F51" s="329">
        <v>-402.71</v>
      </c>
      <c r="G51" s="329">
        <v>-454.97</v>
      </c>
      <c r="H51" s="330">
        <v>0</v>
      </c>
      <c r="I51" s="330">
        <v>0</v>
      </c>
      <c r="J51" s="330">
        <v>0</v>
      </c>
      <c r="K51" s="330">
        <v>0</v>
      </c>
      <c r="L51" s="330">
        <v>0</v>
      </c>
      <c r="M51" s="330">
        <v>0</v>
      </c>
      <c r="N51" s="330">
        <v>0</v>
      </c>
      <c r="O51" s="330">
        <v>0</v>
      </c>
      <c r="P51" s="330">
        <v>0</v>
      </c>
      <c r="Q51" s="330">
        <v>0</v>
      </c>
    </row>
    <row r="52" spans="2:17" x14ac:dyDescent="0.25">
      <c r="B52" t="s">
        <v>442</v>
      </c>
      <c r="C52" s="329">
        <v>-5.59</v>
      </c>
      <c r="D52" s="329">
        <v>49.08</v>
      </c>
      <c r="E52" s="329">
        <v>606.96</v>
      </c>
      <c r="F52" s="329">
        <v>-193.67</v>
      </c>
      <c r="G52" s="329">
        <v>110.76</v>
      </c>
      <c r="H52" s="330">
        <f>SUM('Balance Sheet'!H51:H53)-SUM('Balance Sheet'!G51:G53)</f>
        <v>233.57580476767967</v>
      </c>
      <c r="I52" s="330">
        <f>SUM('Balance Sheet'!I51:I53)-SUM('Balance Sheet'!H51:H53)</f>
        <v>44.66773733117725</v>
      </c>
      <c r="J52" s="330">
        <f>SUM('Balance Sheet'!J51:J53)-SUM('Balance Sheet'!I51:I53)</f>
        <v>46.180101055081423</v>
      </c>
      <c r="K52" s="330">
        <f>SUM('Balance Sheet'!K51:K53)-SUM('Balance Sheet'!J51:J53)</f>
        <v>47.323032304600247</v>
      </c>
      <c r="L52" s="330">
        <f>SUM('Balance Sheet'!L51:L53)-SUM('Balance Sheet'!K51:K53)</f>
        <v>48.097685594224686</v>
      </c>
      <c r="M52" s="330">
        <f>SUM('Balance Sheet'!M51:M53)-SUM('Balance Sheet'!L51:L53)</f>
        <v>48.514207648558227</v>
      </c>
      <c r="N52" s="330">
        <f>SUM('Balance Sheet'!N51:N53)-SUM('Balance Sheet'!M51:M53)</f>
        <v>48.590235493010596</v>
      </c>
      <c r="O52" s="330">
        <f>SUM('Balance Sheet'!O51:O53)-SUM('Balance Sheet'!N51:N53)</f>
        <v>48.349313216300402</v>
      </c>
      <c r="P52" s="330">
        <f>SUM('Balance Sheet'!P51:P53)-SUM('Balance Sheet'!O51:O53)</f>
        <v>47.819328104612282</v>
      </c>
      <c r="Q52" s="330">
        <f>SUM('Balance Sheet'!Q51:Q53)-SUM('Balance Sheet'!P51:P53)</f>
        <v>47.031042820744688</v>
      </c>
    </row>
    <row r="53" spans="2:17" x14ac:dyDescent="0.25">
      <c r="B53" t="s">
        <v>443</v>
      </c>
      <c r="C53" s="329">
        <v>0</v>
      </c>
      <c r="D53" s="329">
        <v>1186.69</v>
      </c>
      <c r="E53" s="329">
        <v>0</v>
      </c>
      <c r="F53" s="329">
        <v>0</v>
      </c>
      <c r="G53" s="329">
        <v>0.01</v>
      </c>
      <c r="H53" s="330">
        <v>0</v>
      </c>
      <c r="I53" s="330">
        <f>'Balance Sheet'!I43-'Balance Sheet'!H43</f>
        <v>0</v>
      </c>
      <c r="J53" s="330">
        <f>'Balance Sheet'!J43-'Balance Sheet'!I43</f>
        <v>0</v>
      </c>
      <c r="K53" s="330">
        <f>'Balance Sheet'!K43-'Balance Sheet'!J43</f>
        <v>0</v>
      </c>
      <c r="L53" s="330">
        <f>'Balance Sheet'!L43-'Balance Sheet'!K43</f>
        <v>0</v>
      </c>
      <c r="M53" s="330">
        <f>'Balance Sheet'!M43-'Balance Sheet'!L43</f>
        <v>0</v>
      </c>
      <c r="N53" s="330">
        <f>'Balance Sheet'!N43-'Balance Sheet'!M43</f>
        <v>0</v>
      </c>
      <c r="O53" s="330">
        <f>'Balance Sheet'!O43-'Balance Sheet'!N43</f>
        <v>0</v>
      </c>
      <c r="P53" s="330">
        <f>'Balance Sheet'!P43-'Balance Sheet'!O43</f>
        <v>0</v>
      </c>
      <c r="Q53" s="330">
        <f>'Balance Sheet'!Q43-'Balance Sheet'!P43</f>
        <v>0</v>
      </c>
    </row>
    <row r="54" spans="2:17" x14ac:dyDescent="0.25">
      <c r="B54" t="s">
        <v>13</v>
      </c>
      <c r="C54" s="329">
        <v>-86.37</v>
      </c>
      <c r="D54" s="329">
        <v>-102.33</v>
      </c>
      <c r="E54" s="329">
        <v>-168.28</v>
      </c>
      <c r="F54" s="329">
        <v>-211.47</v>
      </c>
      <c r="G54" s="329">
        <v>-275.44</v>
      </c>
      <c r="H54" s="330">
        <f>'Income statement'!H29</f>
        <v>-245.18181509374691</v>
      </c>
      <c r="I54" s="330">
        <f>'Income statement'!I29</f>
        <v>-263.57577449035801</v>
      </c>
      <c r="J54" s="330">
        <f>'Income statement'!J29</f>
        <v>-296.19559082456328</v>
      </c>
      <c r="K54" s="330">
        <f>'Income statement'!K29</f>
        <v>-329.9198514367157</v>
      </c>
      <c r="L54" s="330">
        <f>'Income statement'!L29</f>
        <v>-364.47876832808623</v>
      </c>
      <c r="M54" s="330">
        <f>'Income statement'!M29</f>
        <v>-399.60339661519828</v>
      </c>
      <c r="N54" s="330">
        <f>'Income statement'!N29</f>
        <v>-435.03220133306985</v>
      </c>
      <c r="O54" s="330">
        <f>'Income statement'!O29</f>
        <v>-470.51652742879713</v>
      </c>
      <c r="P54" s="330">
        <f>'Income statement'!P29</f>
        <v>-505.82491355338072</v>
      </c>
      <c r="Q54" s="330">
        <f>'Income statement'!Q29</f>
        <v>-540.74626379846666</v>
      </c>
    </row>
    <row r="55" spans="2:17" x14ac:dyDescent="0.25">
      <c r="B55" t="s">
        <v>444</v>
      </c>
      <c r="C55" s="329">
        <v>-45.09</v>
      </c>
      <c r="D55" s="329">
        <v>-126.88</v>
      </c>
      <c r="E55" s="329">
        <v>-90.63</v>
      </c>
      <c r="F55" s="329">
        <v>-54.38</v>
      </c>
      <c r="G55" s="329">
        <v>-36.25</v>
      </c>
      <c r="H55" s="330">
        <f>'Income statement'!H49</f>
        <v>-97.154882910669329</v>
      </c>
      <c r="I55" s="330">
        <f>'Income statement'!I49</f>
        <v>-113.08532335950818</v>
      </c>
      <c r="J55" s="330">
        <f>'Income statement'!J49</f>
        <v>-127.2015209515901</v>
      </c>
      <c r="K55" s="330">
        <f>'Income statement'!K49</f>
        <v>-140.75475324911929</v>
      </c>
      <c r="L55" s="330">
        <f>'Income statement'!L49</f>
        <v>-153.55795430685265</v>
      </c>
      <c r="M55" s="330">
        <f>'Income statement'!M49</f>
        <v>-165.43691488818203</v>
      </c>
      <c r="N55" s="330">
        <f>'Income statement'!N49</f>
        <v>-176.233643960092</v>
      </c>
      <c r="O55" s="330">
        <f>'Income statement'!O49</f>
        <v>-185.80882793961138</v>
      </c>
      <c r="P55" s="330">
        <f>'Income statement'!P49</f>
        <v>-194.04342401547021</v>
      </c>
      <c r="Q55" s="330">
        <f>'Income statement'!Q49</f>
        <v>-200.83946012725153</v>
      </c>
    </row>
    <row r="56" spans="2:17" x14ac:dyDescent="0.25">
      <c r="B56" t="s">
        <v>454</v>
      </c>
      <c r="C56" s="329">
        <v>0</v>
      </c>
      <c r="D56" s="329">
        <v>0</v>
      </c>
      <c r="E56" s="329">
        <v>0</v>
      </c>
      <c r="F56" s="329">
        <v>-9.19</v>
      </c>
      <c r="G56" s="329">
        <v>-9.9700000000000006</v>
      </c>
      <c r="H56" s="330">
        <f>'Balance Sheet'!H50-'Balance Sheet'!G50</f>
        <v>-13.43576345951108</v>
      </c>
      <c r="I56" s="330">
        <f>'Balance Sheet'!I50-'Balance Sheet'!H50</f>
        <v>4.1699576131273872</v>
      </c>
      <c r="J56" s="330">
        <f>'Balance Sheet'!J50-'Balance Sheet'!I50</f>
        <v>4.3111443622468641</v>
      </c>
      <c r="K56" s="330">
        <f>'Balance Sheet'!K50-'Balance Sheet'!J50</f>
        <v>4.4178427344943003</v>
      </c>
      <c r="L56" s="330">
        <f>'Balance Sheet'!L50-'Balance Sheet'!K50</f>
        <v>4.4901605095956754</v>
      </c>
      <c r="M56" s="330">
        <f>'Balance Sheet'!M50-'Balance Sheet'!L50</f>
        <v>4.529044935252287</v>
      </c>
      <c r="N56" s="330">
        <f>'Balance Sheet'!N50-'Balance Sheet'!M50</f>
        <v>4.5361425163639879</v>
      </c>
      <c r="O56" s="330">
        <f>'Balance Sheet'!O50-'Balance Sheet'!N50</f>
        <v>4.5136512118573222</v>
      </c>
      <c r="P56" s="330">
        <f>'Balance Sheet'!P50-'Balance Sheet'!O50</f>
        <v>4.4641744399549736</v>
      </c>
      <c r="Q56" s="330">
        <f>'Balance Sheet'!Q50-'Balance Sheet'!P50</f>
        <v>4.3905840497274795</v>
      </c>
    </row>
    <row r="57" spans="2:17" x14ac:dyDescent="0.25">
      <c r="B57" s="10" t="s">
        <v>445</v>
      </c>
      <c r="C57" s="335">
        <f>SUM(C50:C56)</f>
        <v>614.45999999999992</v>
      </c>
      <c r="D57" s="335">
        <f t="shared" ref="D57:H57" si="16">SUM(D50:D56)</f>
        <v>412.0200000000001</v>
      </c>
      <c r="E57" s="335">
        <f t="shared" si="16"/>
        <v>47.150000000000063</v>
      </c>
      <c r="F57" s="335">
        <f t="shared" si="16"/>
        <v>420.46000000000009</v>
      </c>
      <c r="G57" s="335">
        <f t="shared" si="16"/>
        <v>-73.16</v>
      </c>
      <c r="H57" s="335">
        <f t="shared" si="16"/>
        <v>-302.09768926188946</v>
      </c>
      <c r="I57" s="335">
        <f t="shared" ref="I57:P57" si="17">SUM(I50:I56)</f>
        <v>-118.97811397628558</v>
      </c>
      <c r="J57" s="335">
        <f t="shared" si="17"/>
        <v>-156.98947739725742</v>
      </c>
      <c r="K57" s="335">
        <f t="shared" si="17"/>
        <v>-197.67353279845685</v>
      </c>
      <c r="L57" s="335">
        <f t="shared" si="17"/>
        <v>-240.56676597603342</v>
      </c>
      <c r="M57" s="335">
        <f t="shared" si="17"/>
        <v>-285.16748753525667</v>
      </c>
      <c r="N57" s="335">
        <f t="shared" si="17"/>
        <v>-330.95442552891149</v>
      </c>
      <c r="O57" s="335">
        <f t="shared" si="17"/>
        <v>-377.40378821039121</v>
      </c>
      <c r="P57" s="335">
        <f t="shared" si="17"/>
        <v>-424.00419290742968</v>
      </c>
      <c r="Q57" s="335">
        <f t="shared" ref="Q57" si="18">SUM(Q50:Q56)</f>
        <v>-470.2691054258442</v>
      </c>
    </row>
    <row r="58" spans="2:17" x14ac:dyDescent="0.25">
      <c r="B58" s="1"/>
      <c r="C58" s="332"/>
      <c r="D58" s="332"/>
      <c r="E58" s="332"/>
      <c r="F58" s="332"/>
      <c r="G58" s="332"/>
      <c r="H58" s="332"/>
      <c r="I58" s="331"/>
      <c r="J58" s="331"/>
      <c r="K58" s="331"/>
      <c r="L58" s="331"/>
      <c r="M58" s="331"/>
      <c r="N58" s="331"/>
      <c r="O58" s="331"/>
      <c r="P58" s="331"/>
      <c r="Q58" s="331"/>
    </row>
    <row r="59" spans="2:17" ht="15.75" thickBot="1" x14ac:dyDescent="0.3">
      <c r="B59" s="5" t="s">
        <v>446</v>
      </c>
      <c r="C59" s="333">
        <f>C57+C47+C34</f>
        <v>165.0300000000002</v>
      </c>
      <c r="D59" s="333">
        <f t="shared" ref="D59:Q59" si="19">D57+D47+D34</f>
        <v>-318.68999999999983</v>
      </c>
      <c r="E59" s="333">
        <f t="shared" si="19"/>
        <v>73.820000000000164</v>
      </c>
      <c r="F59" s="333">
        <f t="shared" si="19"/>
        <v>260.82999999999993</v>
      </c>
      <c r="G59" s="333">
        <f t="shared" si="19"/>
        <v>-228.89000000000055</v>
      </c>
      <c r="H59" s="333">
        <f t="shared" si="19"/>
        <v>25.743068638618524</v>
      </c>
      <c r="I59" s="333">
        <f t="shared" si="19"/>
        <v>386.74913104840857</v>
      </c>
      <c r="J59" s="333">
        <f t="shared" si="19"/>
        <v>351.75107060368373</v>
      </c>
      <c r="K59" s="333">
        <f t="shared" si="19"/>
        <v>304.86917270138088</v>
      </c>
      <c r="L59" s="333">
        <f t="shared" si="19"/>
        <v>245.91745432106472</v>
      </c>
      <c r="M59" s="333">
        <f t="shared" si="19"/>
        <v>174.9238137845964</v>
      </c>
      <c r="N59" s="333">
        <f t="shared" si="19"/>
        <v>92.108456230955653</v>
      </c>
      <c r="O59" s="333">
        <f t="shared" si="19"/>
        <v>-2.1418475533532728</v>
      </c>
      <c r="P59" s="333">
        <f t="shared" si="19"/>
        <v>-107.30174372740339</v>
      </c>
      <c r="Q59" s="333">
        <f t="shared" si="19"/>
        <v>-222.73586470349983</v>
      </c>
    </row>
    <row r="60" spans="2:17" x14ac:dyDescent="0.25">
      <c r="B60" t="s">
        <v>447</v>
      </c>
      <c r="C60" s="329">
        <v>247.29</v>
      </c>
      <c r="D60" s="331">
        <f>C61</f>
        <v>412.32000000000016</v>
      </c>
      <c r="E60" s="331">
        <f t="shared" ref="E60:G60" si="20">D61</f>
        <v>93.630000000000337</v>
      </c>
      <c r="F60" s="331">
        <f t="shared" si="20"/>
        <v>167.4500000000005</v>
      </c>
      <c r="G60" s="331">
        <f t="shared" si="20"/>
        <v>428.28000000000043</v>
      </c>
      <c r="H60" s="331">
        <f>G61</f>
        <v>199.38999999999987</v>
      </c>
      <c r="I60" s="331">
        <f t="shared" ref="I60:Q60" si="21">H61</f>
        <v>225.1330686386184</v>
      </c>
      <c r="J60" s="331">
        <f t="shared" si="21"/>
        <v>611.88219968702697</v>
      </c>
      <c r="K60" s="331">
        <f t="shared" si="21"/>
        <v>963.6332702907107</v>
      </c>
      <c r="L60" s="331">
        <f t="shared" si="21"/>
        <v>1268.5024429920916</v>
      </c>
      <c r="M60" s="331">
        <f t="shared" si="21"/>
        <v>1514.4198973131563</v>
      </c>
      <c r="N60" s="331">
        <f t="shared" si="21"/>
        <v>1689.3437110977527</v>
      </c>
      <c r="O60" s="331">
        <f t="shared" si="21"/>
        <v>1781.4521673287084</v>
      </c>
      <c r="P60" s="331">
        <f t="shared" si="21"/>
        <v>1779.3103197753551</v>
      </c>
      <c r="Q60" s="331">
        <f t="shared" si="21"/>
        <v>1672.0085760479517</v>
      </c>
    </row>
    <row r="61" spans="2:17" ht="15.75" thickBot="1" x14ac:dyDescent="0.3">
      <c r="B61" s="5" t="s">
        <v>448</v>
      </c>
      <c r="C61" s="333">
        <f>SUM(C59:C60)</f>
        <v>412.32000000000016</v>
      </c>
      <c r="D61" s="333">
        <f t="shared" ref="D61:Q61" si="22">SUM(D59:D60)</f>
        <v>93.630000000000337</v>
      </c>
      <c r="E61" s="333">
        <f t="shared" si="22"/>
        <v>167.4500000000005</v>
      </c>
      <c r="F61" s="333">
        <f t="shared" si="22"/>
        <v>428.28000000000043</v>
      </c>
      <c r="G61" s="333">
        <f t="shared" si="22"/>
        <v>199.38999999999987</v>
      </c>
      <c r="H61" s="333">
        <f t="shared" si="22"/>
        <v>225.1330686386184</v>
      </c>
      <c r="I61" s="333">
        <f t="shared" si="22"/>
        <v>611.88219968702697</v>
      </c>
      <c r="J61" s="333">
        <f t="shared" si="22"/>
        <v>963.6332702907107</v>
      </c>
      <c r="K61" s="333">
        <f t="shared" si="22"/>
        <v>1268.5024429920916</v>
      </c>
      <c r="L61" s="333">
        <f t="shared" si="22"/>
        <v>1514.4198973131563</v>
      </c>
      <c r="M61" s="333">
        <f t="shared" si="22"/>
        <v>1689.3437110977527</v>
      </c>
      <c r="N61" s="333">
        <f t="shared" si="22"/>
        <v>1781.4521673287084</v>
      </c>
      <c r="O61" s="333">
        <f t="shared" si="22"/>
        <v>1779.3103197753551</v>
      </c>
      <c r="P61" s="333">
        <f t="shared" si="22"/>
        <v>1672.0085760479517</v>
      </c>
      <c r="Q61" s="333">
        <f t="shared" si="22"/>
        <v>1449.2727113444519</v>
      </c>
    </row>
  </sheetData>
  <mergeCells count="1">
    <mergeCell ref="B8:Q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11"/>
  <sheetViews>
    <sheetView showGridLines="0" topLeftCell="B8" workbookViewId="0">
      <pane ySplit="6" topLeftCell="A20" activePane="bottomLeft" state="frozen"/>
      <selection activeCell="A8" sqref="A8"/>
      <selection pane="bottomLeft" activeCell="C35" sqref="C35"/>
    </sheetView>
  </sheetViews>
  <sheetFormatPr defaultRowHeight="15" x14ac:dyDescent="0.25"/>
  <cols>
    <col min="1" max="1" width="1.85546875" customWidth="1"/>
    <col min="2" max="2" width="44.28515625" bestFit="1" customWidth="1"/>
    <col min="3" max="7" width="8.42578125" customWidth="1"/>
    <col min="8" max="17" width="11.140625" bestFit="1" customWidth="1"/>
  </cols>
  <sheetData>
    <row r="1" spans="2:17" x14ac:dyDescent="0.25">
      <c r="B1" s="67"/>
      <c r="C1" s="67"/>
      <c r="D1" s="67"/>
      <c r="E1" s="67"/>
      <c r="F1" s="67"/>
      <c r="G1" s="67"/>
      <c r="H1" s="67"/>
      <c r="I1" s="67"/>
      <c r="J1" s="67"/>
      <c r="K1" s="67"/>
      <c r="L1" s="67"/>
      <c r="M1" s="67"/>
      <c r="N1" s="67"/>
      <c r="O1" s="67"/>
      <c r="P1" s="67"/>
      <c r="Q1" s="67"/>
    </row>
    <row r="9" spans="2:17" x14ac:dyDescent="0.25">
      <c r="B9" s="27" t="s">
        <v>344</v>
      </c>
    </row>
    <row r="10" spans="2:17" x14ac:dyDescent="0.25">
      <c r="B10" s="405" t="s">
        <v>295</v>
      </c>
      <c r="C10" s="405"/>
      <c r="D10" s="405"/>
      <c r="E10" s="405"/>
      <c r="F10" s="405"/>
      <c r="G10" s="405"/>
      <c r="H10" s="405"/>
      <c r="I10" s="405"/>
      <c r="J10" s="405"/>
      <c r="K10" s="405"/>
      <c r="L10" s="405"/>
      <c r="M10" s="405"/>
      <c r="N10" s="405"/>
      <c r="O10" s="405"/>
      <c r="P10" s="405"/>
      <c r="Q10" s="405"/>
    </row>
    <row r="11" spans="2:17" x14ac:dyDescent="0.25">
      <c r="B11" s="104" t="s">
        <v>206</v>
      </c>
    </row>
    <row r="12" spans="2:17" x14ac:dyDescent="0.25">
      <c r="B12" s="57" t="s">
        <v>0</v>
      </c>
      <c r="C12" s="57">
        <v>2021</v>
      </c>
      <c r="D12" s="57">
        <f>C12+1</f>
        <v>2022</v>
      </c>
      <c r="E12" s="57">
        <f t="shared" ref="E12:G12" si="0">D12+1</f>
        <v>2023</v>
      </c>
      <c r="F12" s="57">
        <f t="shared" si="0"/>
        <v>2024</v>
      </c>
      <c r="G12" s="57">
        <f t="shared" si="0"/>
        <v>2025</v>
      </c>
      <c r="H12" s="57">
        <f>G12+1</f>
        <v>2026</v>
      </c>
      <c r="I12" s="57">
        <f t="shared" ref="I12:Q12" si="1">H12+1</f>
        <v>2027</v>
      </c>
      <c r="J12" s="57">
        <f t="shared" si="1"/>
        <v>2028</v>
      </c>
      <c r="K12" s="57">
        <f t="shared" si="1"/>
        <v>2029</v>
      </c>
      <c r="L12" s="57">
        <f t="shared" si="1"/>
        <v>2030</v>
      </c>
      <c r="M12" s="57">
        <f t="shared" si="1"/>
        <v>2031</v>
      </c>
      <c r="N12" s="57">
        <f t="shared" si="1"/>
        <v>2032</v>
      </c>
      <c r="O12" s="57">
        <f t="shared" si="1"/>
        <v>2033</v>
      </c>
      <c r="P12" s="57">
        <f t="shared" si="1"/>
        <v>2034</v>
      </c>
      <c r="Q12" s="257">
        <f t="shared" si="1"/>
        <v>2035</v>
      </c>
    </row>
    <row r="13" spans="2:17" x14ac:dyDescent="0.25">
      <c r="B13" s="229"/>
      <c r="C13" s="258" t="s">
        <v>267</v>
      </c>
      <c r="D13" s="258" t="s">
        <v>267</v>
      </c>
      <c r="E13" s="258" t="s">
        <v>267</v>
      </c>
      <c r="F13" s="258" t="s">
        <v>267</v>
      </c>
      <c r="G13" s="258" t="s">
        <v>267</v>
      </c>
      <c r="H13" s="229" t="s">
        <v>83</v>
      </c>
      <c r="I13" s="229" t="s">
        <v>83</v>
      </c>
      <c r="J13" s="229" t="s">
        <v>83</v>
      </c>
      <c r="K13" s="229" t="s">
        <v>83</v>
      </c>
      <c r="L13" s="229" t="s">
        <v>83</v>
      </c>
      <c r="M13" s="229" t="s">
        <v>83</v>
      </c>
      <c r="N13" s="229" t="s">
        <v>83</v>
      </c>
      <c r="O13" s="229" t="s">
        <v>83</v>
      </c>
      <c r="P13" s="229" t="s">
        <v>83</v>
      </c>
      <c r="Q13" s="229" t="s">
        <v>83</v>
      </c>
    </row>
    <row r="15" spans="2:17" x14ac:dyDescent="0.25">
      <c r="B15" s="1" t="s">
        <v>296</v>
      </c>
    </row>
    <row r="16" spans="2:17" x14ac:dyDescent="0.25">
      <c r="B16" s="1" t="s">
        <v>84</v>
      </c>
      <c r="C16" s="208">
        <f>'Income statement'!C13/'Income statement'!C$13</f>
        <v>1</v>
      </c>
      <c r="D16" s="208">
        <f>'Income statement'!D13/'Income statement'!D$13</f>
        <v>1</v>
      </c>
      <c r="E16" s="208">
        <f>'Income statement'!E13/'Income statement'!E$13</f>
        <v>1</v>
      </c>
      <c r="F16" s="208">
        <f>'Income statement'!F13/'Income statement'!F$13</f>
        <v>1</v>
      </c>
      <c r="G16" s="208">
        <f>'Income statement'!G13/'Income statement'!G$13</f>
        <v>1</v>
      </c>
      <c r="H16" s="208">
        <f>'Income statement'!H13/'Income statement'!H$13</f>
        <v>1</v>
      </c>
      <c r="I16" s="208">
        <f>'Income statement'!I13/'Income statement'!I$13</f>
        <v>1</v>
      </c>
      <c r="J16" s="208">
        <f>'Income statement'!J13/'Income statement'!J$13</f>
        <v>1</v>
      </c>
      <c r="K16" s="208">
        <f>'Income statement'!K13/'Income statement'!K$13</f>
        <v>1</v>
      </c>
      <c r="L16" s="208">
        <f>'Income statement'!L13/'Income statement'!L$13</f>
        <v>1</v>
      </c>
      <c r="M16" s="208">
        <f>'Income statement'!M13/'Income statement'!M$13</f>
        <v>1</v>
      </c>
      <c r="N16" s="208">
        <f>'Income statement'!N13/'Income statement'!N$13</f>
        <v>1</v>
      </c>
      <c r="O16" s="208">
        <f>'Income statement'!O13/'Income statement'!O$13</f>
        <v>1</v>
      </c>
      <c r="P16" s="208">
        <f>'Income statement'!P13/'Income statement'!P$13</f>
        <v>1</v>
      </c>
      <c r="Q16" s="208">
        <f>'Income statement'!Q13/'Income statement'!Q$13</f>
        <v>1</v>
      </c>
    </row>
    <row r="17" spans="2:17" x14ac:dyDescent="0.25">
      <c r="B17" t="s">
        <v>89</v>
      </c>
      <c r="C17" s="46">
        <f>-'Income statement'!C14/'Income statement'!C$13</f>
        <v>0.4723730054814585</v>
      </c>
      <c r="D17" s="46">
        <f>-'Income statement'!D14/'Income statement'!D$13</f>
        <v>0.46905682514694735</v>
      </c>
      <c r="E17" s="46">
        <f>-'Income statement'!E14/'Income statement'!E$13</f>
        <v>0.58043719347654632</v>
      </c>
      <c r="F17" s="46">
        <f>-'Income statement'!F14/'Income statement'!F$13</f>
        <v>0.60932378979092106</v>
      </c>
      <c r="G17" s="46">
        <f>-'Income statement'!G14/'Income statement'!G$13</f>
        <v>0.64020287925713615</v>
      </c>
      <c r="H17" s="46">
        <f>-'Income statement'!H14/'Income statement'!H$13</f>
        <v>0.55427873863060195</v>
      </c>
      <c r="I17" s="46">
        <f>-'Income statement'!I14/'Income statement'!I$13</f>
        <v>0.55427873863060195</v>
      </c>
      <c r="J17" s="46">
        <f>-'Income statement'!J14/'Income statement'!J$13</f>
        <v>0.55427873863060206</v>
      </c>
      <c r="K17" s="46">
        <f>-'Income statement'!K14/'Income statement'!K$13</f>
        <v>0.55427873863060195</v>
      </c>
      <c r="L17" s="46">
        <f>-'Income statement'!L14/'Income statement'!L$13</f>
        <v>0.55427873863060195</v>
      </c>
      <c r="M17" s="46">
        <f>-'Income statement'!M14/'Income statement'!M$13</f>
        <v>0.55427873863060195</v>
      </c>
      <c r="N17" s="46">
        <f>-'Income statement'!N14/'Income statement'!N$13</f>
        <v>0.55427873863060195</v>
      </c>
      <c r="O17" s="46">
        <f>-'Income statement'!O14/'Income statement'!O$13</f>
        <v>0.55427873863060206</v>
      </c>
      <c r="P17" s="46">
        <f>-'Income statement'!P14/'Income statement'!P$13</f>
        <v>0.55427873863060206</v>
      </c>
      <c r="Q17" s="46">
        <f>-'Income statement'!Q14/'Income statement'!Q$13</f>
        <v>0.55427873863060195</v>
      </c>
    </row>
    <row r="18" spans="2:17" x14ac:dyDescent="0.25">
      <c r="B18" s="9" t="s">
        <v>122</v>
      </c>
      <c r="C18" s="209">
        <f>'Income statement'!C15/'Income statement'!C$13</f>
        <v>0.52762699451854145</v>
      </c>
      <c r="D18" s="209">
        <f>'Income statement'!D15/'Income statement'!D$13</f>
        <v>0.53094317485305265</v>
      </c>
      <c r="E18" s="209">
        <f>'Income statement'!E15/'Income statement'!E$13</f>
        <v>0.41956280652345368</v>
      </c>
      <c r="F18" s="209">
        <f>'Income statement'!F15/'Income statement'!F$13</f>
        <v>0.390676210209079</v>
      </c>
      <c r="G18" s="209">
        <f>'Income statement'!G15/'Income statement'!G$13</f>
        <v>0.35979712074286385</v>
      </c>
      <c r="H18" s="209">
        <f>'Income statement'!H15/'Income statement'!H$13</f>
        <v>0.44572126136939805</v>
      </c>
      <c r="I18" s="209">
        <f>'Income statement'!I15/'Income statement'!I$13</f>
        <v>0.44572126136939799</v>
      </c>
      <c r="J18" s="209">
        <f>'Income statement'!J15/'Income statement'!J$13</f>
        <v>0.44572126136939799</v>
      </c>
      <c r="K18" s="209">
        <f>'Income statement'!K15/'Income statement'!K$13</f>
        <v>0.44572126136939805</v>
      </c>
      <c r="L18" s="209">
        <f>'Income statement'!L15/'Income statement'!L$13</f>
        <v>0.44572126136939799</v>
      </c>
      <c r="M18" s="209">
        <f>'Income statement'!M15/'Income statement'!M$13</f>
        <v>0.4457212613693981</v>
      </c>
      <c r="N18" s="209">
        <f>'Income statement'!N15/'Income statement'!N$13</f>
        <v>0.44572126136939799</v>
      </c>
      <c r="O18" s="209">
        <f>'Income statement'!O15/'Income statement'!O$13</f>
        <v>0.44572126136939799</v>
      </c>
      <c r="P18" s="209">
        <f>'Income statement'!P15/'Income statement'!P$13</f>
        <v>0.44572126136939794</v>
      </c>
      <c r="Q18" s="209">
        <f>'Income statement'!Q15/'Income statement'!Q$13</f>
        <v>0.44572126136939805</v>
      </c>
    </row>
    <row r="19" spans="2:17" x14ac:dyDescent="0.25">
      <c r="B19" s="48"/>
      <c r="C19" s="46"/>
      <c r="D19" s="46"/>
      <c r="E19" s="46"/>
      <c r="F19" s="46"/>
      <c r="G19" s="46"/>
      <c r="H19" s="46"/>
      <c r="I19" s="46"/>
      <c r="J19" s="46"/>
      <c r="K19" s="46"/>
      <c r="L19" s="46"/>
      <c r="M19" s="46"/>
      <c r="N19" s="46"/>
      <c r="O19" s="46"/>
      <c r="P19" s="46"/>
      <c r="Q19" s="46"/>
    </row>
    <row r="20" spans="2:17" x14ac:dyDescent="0.25">
      <c r="C20" s="46"/>
      <c r="D20" s="46"/>
      <c r="E20" s="46"/>
      <c r="F20" s="46"/>
      <c r="G20" s="46"/>
      <c r="H20" s="46"/>
      <c r="I20" s="46"/>
      <c r="J20" s="46"/>
      <c r="K20" s="46"/>
      <c r="L20" s="46"/>
      <c r="M20" s="46"/>
      <c r="N20" s="46"/>
      <c r="O20" s="46"/>
      <c r="P20" s="46"/>
      <c r="Q20" s="46"/>
    </row>
    <row r="21" spans="2:17" x14ac:dyDescent="0.25">
      <c r="B21" t="s">
        <v>124</v>
      </c>
      <c r="C21" s="46">
        <f>-'Income statement'!C18/'Income statement'!C$13</f>
        <v>8.2417167839151387E-2</v>
      </c>
      <c r="D21" s="46">
        <f>-'Income statement'!D18/'Income statement'!D$13</f>
        <v>5.865736807597062E-2</v>
      </c>
      <c r="E21" s="46">
        <f>-'Income statement'!E18/'Income statement'!E$13</f>
        <v>5.8219436797621239E-2</v>
      </c>
      <c r="F21" s="46">
        <f>-'Income statement'!F18/'Income statement'!F$13</f>
        <v>6.3373516669805993E-2</v>
      </c>
      <c r="G21" s="46">
        <f>-'Income statement'!G18/'Income statement'!G$13</f>
        <v>5.8093991187294747E-2</v>
      </c>
      <c r="H21" s="46">
        <f>-'Income statement'!H18/'Income statement'!H$13</f>
        <v>6.4152296113968804E-2</v>
      </c>
      <c r="I21" s="46">
        <f>-'Income statement'!I18/'Income statement'!I$13</f>
        <v>6.4152296113968804E-2</v>
      </c>
      <c r="J21" s="46">
        <f>-'Income statement'!J18/'Income statement'!J$13</f>
        <v>6.4152296113968804E-2</v>
      </c>
      <c r="K21" s="46">
        <f>-'Income statement'!K18/'Income statement'!K$13</f>
        <v>6.4152296113968804E-2</v>
      </c>
      <c r="L21" s="46">
        <f>-'Income statement'!L18/'Income statement'!L$13</f>
        <v>6.4152296113968804E-2</v>
      </c>
      <c r="M21" s="46">
        <f>-'Income statement'!M18/'Income statement'!M$13</f>
        <v>6.4152296113968804E-2</v>
      </c>
      <c r="N21" s="46">
        <f>-'Income statement'!N18/'Income statement'!N$13</f>
        <v>6.4152296113968804E-2</v>
      </c>
      <c r="O21" s="46">
        <f>-'Income statement'!O18/'Income statement'!O$13</f>
        <v>6.4152296113968804E-2</v>
      </c>
      <c r="P21" s="46">
        <f>-'Income statement'!P18/'Income statement'!P$13</f>
        <v>6.4152296113968804E-2</v>
      </c>
      <c r="Q21" s="46">
        <f>-'Income statement'!Q18/'Income statement'!Q$13</f>
        <v>6.4152296113968804E-2</v>
      </c>
    </row>
    <row r="22" spans="2:17" x14ac:dyDescent="0.25">
      <c r="B22" t="s">
        <v>125</v>
      </c>
      <c r="C22" s="46">
        <f>-'Income statement'!C19/'Income statement'!C$13</f>
        <v>0.22738731941146451</v>
      </c>
      <c r="D22" s="46">
        <f>-'Income statement'!D19/'Income statement'!D$13</f>
        <v>0.18962913543811447</v>
      </c>
      <c r="E22" s="46">
        <f>-'Income statement'!E19/'Income statement'!E$13</f>
        <v>0.19681109845314251</v>
      </c>
      <c r="F22" s="46">
        <f>-'Income statement'!F19/'Income statement'!F$13</f>
        <v>0.17439411062974822</v>
      </c>
      <c r="G22" s="46">
        <f>-'Income statement'!G19/'Income statement'!G$13</f>
        <v>0.16411463118113354</v>
      </c>
      <c r="H22" s="46">
        <f>-'Income statement'!H19/'Income statement'!H$13</f>
        <v>0.19046725902272063</v>
      </c>
      <c r="I22" s="46">
        <f>-'Income statement'!I19/'Income statement'!I$13</f>
        <v>0.19046725902272063</v>
      </c>
      <c r="J22" s="46">
        <f>-'Income statement'!J19/'Income statement'!J$13</f>
        <v>0.19046725902272063</v>
      </c>
      <c r="K22" s="46">
        <f>-'Income statement'!K19/'Income statement'!K$13</f>
        <v>0.19046725902272063</v>
      </c>
      <c r="L22" s="46">
        <f>-'Income statement'!L19/'Income statement'!L$13</f>
        <v>0.19046725902272063</v>
      </c>
      <c r="M22" s="46">
        <f>-'Income statement'!M19/'Income statement'!M$13</f>
        <v>0.19046725902272063</v>
      </c>
      <c r="N22" s="46">
        <f>-'Income statement'!N19/'Income statement'!N$13</f>
        <v>0.19046725902272063</v>
      </c>
      <c r="O22" s="46">
        <f>-'Income statement'!O19/'Income statement'!O$13</f>
        <v>0.19046725902272063</v>
      </c>
      <c r="P22" s="46">
        <f>-'Income statement'!P19/'Income statement'!P$13</f>
        <v>0.19046725902272063</v>
      </c>
      <c r="Q22" s="46">
        <f>-'Income statement'!Q19/'Income statement'!Q$13</f>
        <v>0.19046725902272063</v>
      </c>
    </row>
    <row r="23" spans="2:17" x14ac:dyDescent="0.25">
      <c r="C23" s="46"/>
      <c r="D23" s="46"/>
      <c r="E23" s="46"/>
      <c r="F23" s="46"/>
      <c r="G23" s="46"/>
      <c r="H23" s="46"/>
      <c r="I23" s="46"/>
      <c r="J23" s="46"/>
      <c r="K23" s="46"/>
      <c r="L23" s="46"/>
      <c r="M23" s="46"/>
      <c r="N23" s="46"/>
      <c r="O23" s="46"/>
      <c r="P23" s="46"/>
      <c r="Q23" s="46"/>
    </row>
    <row r="24" spans="2:17" x14ac:dyDescent="0.25">
      <c r="B24" s="9" t="s">
        <v>126</v>
      </c>
      <c r="C24" s="209">
        <f>'Income statement'!C21/'Income statement'!C$13</f>
        <v>0.21782250726792557</v>
      </c>
      <c r="D24" s="209">
        <f>'Income statement'!D21/'Income statement'!D$13</f>
        <v>0.28265667133896755</v>
      </c>
      <c r="E24" s="209">
        <f>'Income statement'!E21/'Income statement'!E$13</f>
        <v>0.16453227127268991</v>
      </c>
      <c r="F24" s="209">
        <f>'Income statement'!F21/'Income statement'!F$13</f>
        <v>0.15290858290952475</v>
      </c>
      <c r="G24" s="209">
        <f>'Income statement'!G21/'Income statement'!G$13</f>
        <v>0.13758849837443557</v>
      </c>
      <c r="H24" s="209">
        <f>'Income statement'!H21/'Income statement'!H$13</f>
        <v>0.19110170623270861</v>
      </c>
      <c r="I24" s="209">
        <f>'Income statement'!I21/'Income statement'!I$13</f>
        <v>0.19110170623270858</v>
      </c>
      <c r="J24" s="209">
        <f>'Income statement'!J21/'Income statement'!J$13</f>
        <v>0.19110170623270856</v>
      </c>
      <c r="K24" s="209">
        <f>'Income statement'!K21/'Income statement'!K$13</f>
        <v>0.19110170623270864</v>
      </c>
      <c r="L24" s="209">
        <f>'Income statement'!L21/'Income statement'!L$13</f>
        <v>0.19110170623270858</v>
      </c>
      <c r="M24" s="209">
        <f>'Income statement'!M21/'Income statement'!M$13</f>
        <v>0.19110170623270867</v>
      </c>
      <c r="N24" s="209">
        <f>'Income statement'!N21/'Income statement'!N$13</f>
        <v>0.19110170623270858</v>
      </c>
      <c r="O24" s="209">
        <f>'Income statement'!O21/'Income statement'!O$13</f>
        <v>0.19110170623270856</v>
      </c>
      <c r="P24" s="209">
        <f>'Income statement'!P21/'Income statement'!P$13</f>
        <v>0.19110170623270856</v>
      </c>
      <c r="Q24" s="209">
        <f>'Income statement'!Q21/'Income statement'!Q$13</f>
        <v>0.19110170623270858</v>
      </c>
    </row>
    <row r="25" spans="2:17" x14ac:dyDescent="0.25">
      <c r="B25" s="48"/>
      <c r="C25" s="46"/>
      <c r="D25" s="46"/>
      <c r="E25" s="46"/>
      <c r="F25" s="46"/>
      <c r="G25" s="46"/>
      <c r="H25" s="46"/>
      <c r="I25" s="46"/>
      <c r="J25" s="46"/>
      <c r="K25" s="46"/>
      <c r="L25" s="46"/>
      <c r="M25" s="46"/>
      <c r="N25" s="46"/>
      <c r="O25" s="46"/>
      <c r="P25" s="46"/>
      <c r="Q25" s="46"/>
    </row>
    <row r="26" spans="2:17" x14ac:dyDescent="0.25">
      <c r="C26" s="46"/>
      <c r="D26" s="46"/>
      <c r="E26" s="46"/>
      <c r="F26" s="46"/>
      <c r="G26" s="46"/>
      <c r="H26" s="46"/>
      <c r="I26" s="46"/>
      <c r="J26" s="46"/>
      <c r="K26" s="46"/>
      <c r="L26" s="46"/>
      <c r="M26" s="46"/>
      <c r="N26" s="46"/>
      <c r="O26" s="46"/>
      <c r="P26" s="46"/>
      <c r="Q26" s="46"/>
    </row>
    <row r="27" spans="2:17" x14ac:dyDescent="0.25">
      <c r="B27" t="s">
        <v>97</v>
      </c>
      <c r="C27" s="46">
        <f>-'Income statement'!C24/'Income statement'!C$13</f>
        <v>5.1332637979627622E-2</v>
      </c>
      <c r="D27" s="46">
        <f>-'Income statement'!D24/'Income statement'!D$13</f>
        <v>4.0489622069473222E-2</v>
      </c>
      <c r="E27" s="46">
        <f>-'Income statement'!E24/'Income statement'!E$13</f>
        <v>4.6905831764517465E-2</v>
      </c>
      <c r="F27" s="46">
        <f>-'Income statement'!F24/'Income statement'!F$13</f>
        <v>5.9352043699378416E-2</v>
      </c>
      <c r="G27" s="46">
        <f>-'Income statement'!G24/'Income statement'!G$13</f>
        <v>5.9723681532376512E-2</v>
      </c>
      <c r="H27" s="46">
        <f>-'Income statement'!H24/'Income statement'!H$13</f>
        <v>5.7099876224531186E-2</v>
      </c>
      <c r="I27" s="46">
        <f>-'Income statement'!I24/'Income statement'!I$13</f>
        <v>5.4636025272617246E-2</v>
      </c>
      <c r="J27" s="46">
        <f>-'Income statement'!J24/'Income statement'!J$13</f>
        <v>5.3311433854017466E-2</v>
      </c>
      <c r="K27" s="46">
        <f>-'Income statement'!K24/'Income statement'!K$13</f>
        <v>5.2895236509113062E-2</v>
      </c>
      <c r="L27" s="46">
        <f>-'Income statement'!L24/'Income statement'!L$13</f>
        <v>5.3216114214759844E-2</v>
      </c>
      <c r="M27" s="46">
        <f>-'Income statement'!M24/'Income statement'!M$13</f>
        <v>5.4145418123445324E-2</v>
      </c>
      <c r="N27" s="46">
        <f>-'Income statement'!N24/'Income statement'!N$13</f>
        <v>5.5585377143703256E-2</v>
      </c>
      <c r="O27" s="46">
        <f>-'Income statement'!O24/'Income statement'!O$13</f>
        <v>5.746076760745264E-2</v>
      </c>
      <c r="P27" s="46">
        <f>-'Income statement'!P24/'Income statement'!P$13</f>
        <v>5.9712968050939147E-2</v>
      </c>
      <c r="Q27" s="46">
        <f>-'Income statement'!Q24/'Income statement'!Q$13</f>
        <v>6.2295675478455742E-2</v>
      </c>
    </row>
    <row r="28" spans="2:17" x14ac:dyDescent="0.25">
      <c r="C28" s="46"/>
      <c r="D28" s="46"/>
      <c r="E28" s="46"/>
      <c r="F28" s="46"/>
      <c r="G28" s="46"/>
      <c r="H28" s="46"/>
      <c r="I28" s="46"/>
      <c r="J28" s="46"/>
      <c r="K28" s="46"/>
      <c r="L28" s="46"/>
      <c r="M28" s="46"/>
      <c r="N28" s="46"/>
      <c r="O28" s="46"/>
      <c r="P28" s="46"/>
      <c r="Q28" s="46"/>
    </row>
    <row r="29" spans="2:17" x14ac:dyDescent="0.25">
      <c r="B29" s="9" t="s">
        <v>128</v>
      </c>
      <c r="C29" s="209">
        <f>'Income statement'!C26/'Income statement'!C$13</f>
        <v>0.16648986928829795</v>
      </c>
      <c r="D29" s="209">
        <f>'Income statement'!D26/'Income statement'!D$13</f>
        <v>0.24216704926949428</v>
      </c>
      <c r="E29" s="209">
        <f>'Income statement'!E26/'Income statement'!E$13</f>
        <v>0.11762643950817245</v>
      </c>
      <c r="F29" s="209">
        <f>'Income statement'!F26/'Income statement'!F$13</f>
        <v>9.3556539210146339E-2</v>
      </c>
      <c r="G29" s="209">
        <f>'Income statement'!G26/'Income statement'!G$13</f>
        <v>7.7864816842059051E-2</v>
      </c>
      <c r="H29" s="209">
        <f>'Income statement'!H26/'Income statement'!H$13</f>
        <v>0.13400183000817742</v>
      </c>
      <c r="I29" s="209">
        <f>'Income statement'!I26/'Income statement'!I$13</f>
        <v>0.13646568096009132</v>
      </c>
      <c r="J29" s="209">
        <f>'Income statement'!J26/'Income statement'!J$13</f>
        <v>0.13779027237869107</v>
      </c>
      <c r="K29" s="209">
        <f>'Income statement'!K26/'Income statement'!K$13</f>
        <v>0.13820646972359557</v>
      </c>
      <c r="L29" s="209">
        <f>'Income statement'!L26/'Income statement'!L$13</f>
        <v>0.13788559201794875</v>
      </c>
      <c r="M29" s="209">
        <f>'Income statement'!M26/'Income statement'!M$13</f>
        <v>0.13695628810926336</v>
      </c>
      <c r="N29" s="209">
        <f>'Income statement'!N26/'Income statement'!N$13</f>
        <v>0.13551632908900532</v>
      </c>
      <c r="O29" s="209">
        <f>'Income statement'!O26/'Income statement'!O$13</f>
        <v>0.13364093862525592</v>
      </c>
      <c r="P29" s="209">
        <f>'Income statement'!P26/'Income statement'!P$13</f>
        <v>0.13138873818176938</v>
      </c>
      <c r="Q29" s="209">
        <f>'Income statement'!Q26/'Income statement'!Q$13</f>
        <v>0.12880603075425287</v>
      </c>
    </row>
    <row r="30" spans="2:17" x14ac:dyDescent="0.25">
      <c r="B30" s="48"/>
      <c r="C30" s="46"/>
      <c r="D30" s="46"/>
      <c r="E30" s="46"/>
      <c r="F30" s="46"/>
      <c r="G30" s="46"/>
      <c r="H30" s="46"/>
      <c r="I30" s="46"/>
      <c r="J30" s="46"/>
      <c r="K30" s="46"/>
      <c r="L30" s="46"/>
      <c r="M30" s="46"/>
      <c r="N30" s="46"/>
      <c r="O30" s="46"/>
      <c r="P30" s="46"/>
      <c r="Q30" s="46"/>
    </row>
    <row r="31" spans="2:17" x14ac:dyDescent="0.25">
      <c r="C31" s="46"/>
      <c r="D31" s="46"/>
      <c r="E31" s="46"/>
      <c r="F31" s="46"/>
      <c r="G31" s="46"/>
      <c r="H31" s="46"/>
      <c r="I31" s="46"/>
      <c r="J31" s="46"/>
      <c r="K31" s="46"/>
      <c r="L31" s="46"/>
      <c r="M31" s="46"/>
      <c r="N31" s="46"/>
      <c r="O31" s="46"/>
      <c r="P31" s="46"/>
      <c r="Q31" s="46"/>
    </row>
    <row r="32" spans="2:17" x14ac:dyDescent="0.25">
      <c r="B32" t="s">
        <v>130</v>
      </c>
      <c r="C32" s="46">
        <f>-'Income statement'!C29/'Income statement'!C$13</f>
        <v>1.9167350924302617E-2</v>
      </c>
      <c r="D32" s="46">
        <f>-'Income statement'!D29/'Income statement'!D$13</f>
        <v>1.6815353191433419E-2</v>
      </c>
      <c r="E32" s="46">
        <f>-'Income statement'!E29/'Income statement'!E$13</f>
        <v>2.5425393362322433E-2</v>
      </c>
      <c r="F32" s="46">
        <f>-'Income statement'!F29/'Income statement'!F$13</f>
        <v>3.3193633452627609E-2</v>
      </c>
      <c r="G32" s="46">
        <f>-'Income statement'!G29/'Income statement'!G$13</f>
        <v>3.7880329843824778E-2</v>
      </c>
      <c r="H32" s="46">
        <f>-'Income statement'!H29/'Income statement'!H$13</f>
        <v>2.9817231133957005E-2</v>
      </c>
      <c r="I32" s="46">
        <f>-'Income statement'!I29/'Income statement'!I$13</f>
        <v>2.852406709633978E-2</v>
      </c>
      <c r="J32" s="46">
        <f>-'Income statement'!J29/'Income statement'!J$13</f>
        <v>2.8777607745362491E-2</v>
      </c>
      <c r="K32" s="46">
        <f>-'Income statement'!K29/'Income statement'!K$13</f>
        <v>2.9014878786694828E-2</v>
      </c>
      <c r="L32" s="46">
        <f>-'Income statement'!L29/'Income statement'!L$13</f>
        <v>2.923665016014438E-2</v>
      </c>
      <c r="M32" s="46">
        <f>-'Income statement'!M29/'Income statement'!M$13</f>
        <v>2.9443695217049898E-2</v>
      </c>
      <c r="N32" s="46">
        <f>-'Income statement'!N29/'Income statement'!N$13</f>
        <v>2.9636783602785276E-2</v>
      </c>
      <c r="O32" s="46">
        <f>-'Income statement'!O29/'Income statement'!O$13</f>
        <v>2.9816675200932022E-2</v>
      </c>
      <c r="P32" s="46">
        <f>-'Income statement'!P29/'Income statement'!P$13</f>
        <v>2.9984115069409428E-2</v>
      </c>
      <c r="Q32" s="46">
        <f>-'Income statement'!Q29/'Income statement'!Q$13</f>
        <v>3.0139829289614093E-2</v>
      </c>
    </row>
    <row r="33" spans="2:17" x14ac:dyDescent="0.25">
      <c r="B33" t="s">
        <v>5</v>
      </c>
      <c r="C33" s="46">
        <f>'Income statement'!C30/'Income statement'!C$13</f>
        <v>1.5534497680921419E-4</v>
      </c>
      <c r="D33" s="46">
        <f>'Income statement'!D30/'Income statement'!D$13</f>
        <v>1.2653006896710383E-4</v>
      </c>
      <c r="E33" s="46">
        <f>'Income statement'!E30/'Income statement'!E$13</f>
        <v>1.2993723729259147E-4</v>
      </c>
      <c r="F33" s="46">
        <f>'Income statement'!F30/'Income statement'!F$13</f>
        <v>1.7046524769259747E-3</v>
      </c>
      <c r="G33" s="46">
        <f>'Income statement'!G30/'Income statement'!G$13</f>
        <v>1.9418757529581973E-3</v>
      </c>
      <c r="H33" s="46">
        <f>'Income statement'!H30/'Income statement'!H$13</f>
        <v>8.1166810259061632E-4</v>
      </c>
      <c r="I33" s="46">
        <f>'Income statement'!I30/'Income statement'!I$13</f>
        <v>8.1166810259061632E-4</v>
      </c>
      <c r="J33" s="46">
        <f>'Income statement'!J30/'Income statement'!J$13</f>
        <v>8.1166810259061632E-4</v>
      </c>
      <c r="K33" s="46">
        <f>'Income statement'!K30/'Income statement'!K$13</f>
        <v>8.1166810259061632E-4</v>
      </c>
      <c r="L33" s="46">
        <f>'Income statement'!L30/'Income statement'!L$13</f>
        <v>8.1166810259061632E-4</v>
      </c>
      <c r="M33" s="46">
        <f>'Income statement'!M30/'Income statement'!M$13</f>
        <v>8.1166810259061643E-4</v>
      </c>
      <c r="N33" s="46">
        <f>'Income statement'!N30/'Income statement'!N$13</f>
        <v>8.1166810259061632E-4</v>
      </c>
      <c r="O33" s="46">
        <f>'Income statement'!O30/'Income statement'!O$13</f>
        <v>8.1166810259061632E-4</v>
      </c>
      <c r="P33" s="46">
        <f>'Income statement'!P30/'Income statement'!P$13</f>
        <v>8.1166810259061632E-4</v>
      </c>
      <c r="Q33" s="46">
        <f>'Income statement'!Q30/'Income statement'!Q$13</f>
        <v>8.1166810259061632E-4</v>
      </c>
    </row>
    <row r="34" spans="2:17" x14ac:dyDescent="0.25">
      <c r="C34" s="46"/>
      <c r="D34" s="46"/>
      <c r="E34" s="46"/>
      <c r="F34" s="46"/>
      <c r="G34" s="46"/>
      <c r="H34" s="46"/>
      <c r="I34" s="46"/>
      <c r="J34" s="46"/>
      <c r="K34" s="46"/>
      <c r="L34" s="46"/>
      <c r="M34" s="46"/>
      <c r="N34" s="46"/>
      <c r="O34" s="46"/>
      <c r="P34" s="46"/>
      <c r="Q34" s="46"/>
    </row>
    <row r="35" spans="2:17" x14ac:dyDescent="0.25">
      <c r="B35" s="9" t="s">
        <v>131</v>
      </c>
      <c r="C35" s="209">
        <f>'Income statement'!C32/'Income statement'!C$13</f>
        <v>0.14747786334080457</v>
      </c>
      <c r="D35" s="209">
        <f>'Income statement'!D32/'Income statement'!D$13</f>
        <v>0.22547822614702798</v>
      </c>
      <c r="E35" s="209">
        <f>'Income statement'!E32/'Income statement'!E$13</f>
        <v>9.2330983383142606E-2</v>
      </c>
      <c r="F35" s="209">
        <f>'Income statement'!F32/'Income statement'!F$13</f>
        <v>6.2067558234444702E-2</v>
      </c>
      <c r="G35" s="209">
        <f>'Income statement'!G32/'Income statement'!G$13</f>
        <v>4.1926362751192464E-2</v>
      </c>
      <c r="H35" s="209">
        <f>'Income statement'!H32/'Income statement'!H$13</f>
        <v>0.10499626697681104</v>
      </c>
      <c r="I35" s="209">
        <f>'Income statement'!I32/'Income statement'!I$13</f>
        <v>0.10875328196634215</v>
      </c>
      <c r="J35" s="209">
        <f>'Income statement'!J32/'Income statement'!J$13</f>
        <v>0.10982433273591923</v>
      </c>
      <c r="K35" s="209">
        <f>'Income statement'!K32/'Income statement'!K$13</f>
        <v>0.11000325903949135</v>
      </c>
      <c r="L35" s="209">
        <f>'Income statement'!L32/'Income statement'!L$13</f>
        <v>0.10946060996039499</v>
      </c>
      <c r="M35" s="209">
        <f>'Income statement'!M32/'Income statement'!M$13</f>
        <v>0.10832426099480406</v>
      </c>
      <c r="N35" s="209">
        <f>'Income statement'!N32/'Income statement'!N$13</f>
        <v>0.10669121358881067</v>
      </c>
      <c r="O35" s="209">
        <f>'Income statement'!O32/'Income statement'!O$13</f>
        <v>0.1046359315269145</v>
      </c>
      <c r="P35" s="209">
        <f>'Income statement'!P32/'Income statement'!P$13</f>
        <v>0.10221629121495059</v>
      </c>
      <c r="Q35" s="209">
        <f>'Income statement'!Q32/'Income statement'!Q$13</f>
        <v>9.9477869567229371E-2</v>
      </c>
    </row>
    <row r="36" spans="2:17" x14ac:dyDescent="0.25">
      <c r="C36" s="46"/>
      <c r="D36" s="46"/>
      <c r="E36" s="46"/>
      <c r="F36" s="46"/>
      <c r="G36" s="46"/>
      <c r="H36" s="46"/>
      <c r="I36" s="46"/>
      <c r="J36" s="46"/>
      <c r="K36" s="46"/>
      <c r="L36" s="46"/>
      <c r="M36" s="46"/>
      <c r="N36" s="46"/>
      <c r="O36" s="46"/>
      <c r="P36" s="46"/>
      <c r="Q36" s="46"/>
    </row>
    <row r="37" spans="2:17" x14ac:dyDescent="0.25">
      <c r="B37" t="s">
        <v>132</v>
      </c>
      <c r="C37" s="46">
        <f>'Income statement'!C34/'Income statement'!C$13</f>
        <v>0</v>
      </c>
      <c r="D37" s="46">
        <f>'Income statement'!D34/'Income statement'!D$13</f>
        <v>0</v>
      </c>
      <c r="E37" s="46">
        <f>'Income statement'!E34/'Income statement'!E$13</f>
        <v>0</v>
      </c>
      <c r="F37" s="46">
        <f>'Income statement'!F34/'Income statement'!F$13</f>
        <v>0</v>
      </c>
      <c r="G37" s="46">
        <f>'Income statement'!G34/'Income statement'!G$13</f>
        <v>3.2593806901635471E-4</v>
      </c>
      <c r="H37" s="46">
        <f>'Income statement'!H34/'Income statement'!H$13</f>
        <v>0</v>
      </c>
      <c r="I37" s="46">
        <f>'Income statement'!I34/'Income statement'!I$13</f>
        <v>0</v>
      </c>
      <c r="J37" s="46">
        <f>'Income statement'!J34/'Income statement'!J$13</f>
        <v>0</v>
      </c>
      <c r="K37" s="46">
        <f>'Income statement'!K34/'Income statement'!K$13</f>
        <v>0</v>
      </c>
      <c r="L37" s="46">
        <f>'Income statement'!L34/'Income statement'!L$13</f>
        <v>0</v>
      </c>
      <c r="M37" s="46">
        <f>'Income statement'!M34/'Income statement'!M$13</f>
        <v>0</v>
      </c>
      <c r="N37" s="46">
        <f>'Income statement'!N34/'Income statement'!N$13</f>
        <v>0</v>
      </c>
      <c r="O37" s="46">
        <f>'Income statement'!O34/'Income statement'!O$13</f>
        <v>0</v>
      </c>
      <c r="P37" s="46">
        <f>'Income statement'!P34/'Income statement'!P$13</f>
        <v>0</v>
      </c>
      <c r="Q37" s="46">
        <f>'Income statement'!Q34/'Income statement'!Q$13</f>
        <v>0</v>
      </c>
    </row>
    <row r="38" spans="2:17" x14ac:dyDescent="0.25">
      <c r="C38" s="46"/>
      <c r="D38" s="46"/>
      <c r="E38" s="46"/>
      <c r="F38" s="46"/>
      <c r="G38" s="46"/>
      <c r="H38" s="46"/>
      <c r="I38" s="46"/>
      <c r="J38" s="46"/>
      <c r="K38" s="46"/>
      <c r="L38" s="46"/>
      <c r="M38" s="46"/>
      <c r="N38" s="46"/>
      <c r="O38" s="46"/>
      <c r="P38" s="46"/>
      <c r="Q38" s="46"/>
    </row>
    <row r="39" spans="2:17" x14ac:dyDescent="0.25">
      <c r="B39" s="9" t="s">
        <v>133</v>
      </c>
      <c r="C39" s="209">
        <f>'Income statement'!C36/'Income statement'!C$13</f>
        <v>0.14747786334080457</v>
      </c>
      <c r="D39" s="209">
        <f>'Income statement'!D36/'Income statement'!D$13</f>
        <v>0.22547822614702798</v>
      </c>
      <c r="E39" s="209">
        <f>'Income statement'!E36/'Income statement'!E$13</f>
        <v>9.2330983383142606E-2</v>
      </c>
      <c r="F39" s="209">
        <f>'Income statement'!F36/'Income statement'!F$13</f>
        <v>6.2067558234444702E-2</v>
      </c>
      <c r="G39" s="209">
        <f>'Income statement'!G36/'Income statement'!G$13</f>
        <v>4.2252300820208817E-2</v>
      </c>
      <c r="H39" s="209">
        <f>'Income statement'!H36/'Income statement'!H$13</f>
        <v>0.10499626697681104</v>
      </c>
      <c r="I39" s="209">
        <f>'Income statement'!I36/'Income statement'!I$13</f>
        <v>0.10875328196634215</v>
      </c>
      <c r="J39" s="209">
        <f>'Income statement'!J36/'Income statement'!J$13</f>
        <v>0.10982433273591923</v>
      </c>
      <c r="K39" s="209">
        <f>'Income statement'!K36/'Income statement'!K$13</f>
        <v>0.11000325903949135</v>
      </c>
      <c r="L39" s="209">
        <f>'Income statement'!L36/'Income statement'!L$13</f>
        <v>0.10946060996039499</v>
      </c>
      <c r="M39" s="209">
        <f>'Income statement'!M36/'Income statement'!M$13</f>
        <v>0.10832426099480406</v>
      </c>
      <c r="N39" s="209">
        <f>'Income statement'!N36/'Income statement'!N$13</f>
        <v>0.10669121358881067</v>
      </c>
      <c r="O39" s="209">
        <f>'Income statement'!O36/'Income statement'!O$13</f>
        <v>0.1046359315269145</v>
      </c>
      <c r="P39" s="209">
        <f>'Income statement'!P36/'Income statement'!P$13</f>
        <v>0.10221629121495059</v>
      </c>
      <c r="Q39" s="209">
        <f>'Income statement'!Q36/'Income statement'!Q$13</f>
        <v>9.9477869567229371E-2</v>
      </c>
    </row>
    <row r="40" spans="2:17" x14ac:dyDescent="0.25">
      <c r="B40" s="48"/>
      <c r="C40" s="46"/>
      <c r="D40" s="46"/>
      <c r="E40" s="46"/>
      <c r="F40" s="46"/>
      <c r="G40" s="46"/>
      <c r="H40" s="46"/>
      <c r="I40" s="46"/>
      <c r="J40" s="46"/>
      <c r="K40" s="46"/>
      <c r="L40" s="46"/>
      <c r="M40" s="46"/>
      <c r="N40" s="46"/>
      <c r="O40" s="46"/>
      <c r="P40" s="46"/>
      <c r="Q40" s="46"/>
    </row>
    <row r="41" spans="2:17" x14ac:dyDescent="0.25">
      <c r="C41" s="46"/>
      <c r="D41" s="46"/>
      <c r="E41" s="46"/>
      <c r="F41" s="46"/>
      <c r="G41" s="46"/>
      <c r="H41" s="46"/>
      <c r="I41" s="46"/>
      <c r="J41" s="46"/>
      <c r="K41" s="46"/>
      <c r="L41" s="46"/>
      <c r="M41" s="46"/>
      <c r="N41" s="46"/>
      <c r="O41" s="46"/>
      <c r="P41" s="46"/>
      <c r="Q41" s="46"/>
    </row>
    <row r="42" spans="2:17" x14ac:dyDescent="0.25">
      <c r="B42" t="s">
        <v>135</v>
      </c>
      <c r="C42" s="46">
        <f>-'Income statement'!C39/'Income statement'!C$13</f>
        <v>2.8701094072479533E-2</v>
      </c>
      <c r="D42" s="46">
        <f>-'Income statement'!D39/'Income statement'!D$13</f>
        <v>3.0605487461198812E-2</v>
      </c>
      <c r="E42" s="46">
        <f>-'Income statement'!E39/'Income statement'!E$13</f>
        <v>9.952285837747675E-3</v>
      </c>
      <c r="F42" s="46">
        <f>-'Income statement'!F39/'Income statement'!F$13</f>
        <v>-3.3041376279274188E-3</v>
      </c>
      <c r="G42" s="46">
        <f>-'Income statement'!G39/'Income statement'!G$13</f>
        <v>-3.2511290934795884E-3</v>
      </c>
      <c r="H42" s="46">
        <f>-'Income statement'!H39/'Income statement'!H$13</f>
        <v>6.4543240429447372E-3</v>
      </c>
      <c r="I42" s="46">
        <f>-'Income statement'!I39/'Income statement'!I$13</f>
        <v>6.68527503648806E-3</v>
      </c>
      <c r="J42" s="46">
        <f>-'Income statement'!J39/'Income statement'!J$13</f>
        <v>6.7511146032873488E-3</v>
      </c>
      <c r="K42" s="46">
        <f>-'Income statement'!K39/'Income statement'!K$13</f>
        <v>6.762113549976718E-3</v>
      </c>
      <c r="L42" s="46">
        <f>-'Income statement'!L39/'Income statement'!L$13</f>
        <v>6.7287558592802766E-3</v>
      </c>
      <c r="M42" s="46">
        <f>-'Income statement'!M39/'Income statement'!M$13</f>
        <v>6.658902285806006E-3</v>
      </c>
      <c r="N42" s="46">
        <f>-'Income statement'!N39/'Income statement'!N$13</f>
        <v>6.5585156964608855E-3</v>
      </c>
      <c r="O42" s="46">
        <f>-'Income statement'!O39/'Income statement'!O$13</f>
        <v>6.4321735244095768E-3</v>
      </c>
      <c r="P42" s="46">
        <f>-'Income statement'!P39/'Income statement'!P$13</f>
        <v>6.2834335444992805E-3</v>
      </c>
      <c r="Q42" s="46">
        <f>-'Income statement'!Q39/'Income statement'!Q$13</f>
        <v>6.1150974579933584E-3</v>
      </c>
    </row>
    <row r="43" spans="2:17" x14ac:dyDescent="0.25">
      <c r="C43" s="46"/>
      <c r="D43" s="46"/>
      <c r="E43" s="46"/>
      <c r="F43" s="46"/>
      <c r="G43" s="46"/>
      <c r="H43" s="46"/>
      <c r="I43" s="46"/>
      <c r="J43" s="46"/>
      <c r="K43" s="46"/>
      <c r="L43" s="46"/>
      <c r="M43" s="46"/>
      <c r="N43" s="46"/>
      <c r="O43" s="46"/>
      <c r="P43" s="46"/>
      <c r="Q43" s="46"/>
    </row>
    <row r="44" spans="2:17" x14ac:dyDescent="0.25">
      <c r="B44" s="9" t="s">
        <v>297</v>
      </c>
      <c r="C44" s="209">
        <f>'Income statement'!C41/'Income statement'!C$13</f>
        <v>0.11877676926832503</v>
      </c>
      <c r="D44" s="209">
        <f>'Income statement'!D41/'Income statement'!D$13</f>
        <v>0.19487273868582916</v>
      </c>
      <c r="E44" s="209">
        <f>'Income statement'!E41/'Income statement'!E$13</f>
        <v>8.2378697545394938E-2</v>
      </c>
      <c r="F44" s="209">
        <f>'Income statement'!F41/'Income statement'!F$13</f>
        <v>6.5371695862372126E-2</v>
      </c>
      <c r="G44" s="209">
        <f>'Income statement'!G41/'Income statement'!G$13</f>
        <v>4.5503429913688401E-2</v>
      </c>
      <c r="H44" s="209">
        <f>'Income statement'!H41/'Income statement'!H$13</f>
        <v>9.8541942933866297E-2</v>
      </c>
      <c r="I44" s="209">
        <f>'Income statement'!I41/'Income statement'!I$13</f>
        <v>0.1020680069298541</v>
      </c>
      <c r="J44" s="209">
        <f>'Income statement'!J41/'Income statement'!J$13</f>
        <v>0.10307321813263187</v>
      </c>
      <c r="K44" s="209">
        <f>'Income statement'!K41/'Income statement'!K$13</f>
        <v>0.10324114548951463</v>
      </c>
      <c r="L44" s="209">
        <f>'Income statement'!L41/'Income statement'!L$13</f>
        <v>0.10273185410111471</v>
      </c>
      <c r="M44" s="209">
        <f>'Income statement'!M41/'Income statement'!M$13</f>
        <v>0.10166535870899805</v>
      </c>
      <c r="N44" s="209">
        <f>'Income statement'!N41/'Income statement'!N$13</f>
        <v>0.10013269789234978</v>
      </c>
      <c r="O44" s="209">
        <f>'Income statement'!O41/'Income statement'!O$13</f>
        <v>9.8203758002504929E-2</v>
      </c>
      <c r="P44" s="209">
        <f>'Income statement'!P41/'Income statement'!P$13</f>
        <v>9.5932857670451316E-2</v>
      </c>
      <c r="Q44" s="209">
        <f>'Income statement'!Q41/'Income statement'!Q$13</f>
        <v>9.336277210923602E-2</v>
      </c>
    </row>
    <row r="45" spans="2:17" x14ac:dyDescent="0.25">
      <c r="B45" t="s">
        <v>20</v>
      </c>
      <c r="C45" s="46">
        <f>'Income statement'!C42/'Income statement'!C$13</f>
        <v>-2.6075763964403813E-3</v>
      </c>
      <c r="D45" s="46">
        <f>'Income statement'!D42/'Income statement'!D$13</f>
        <v>-3.7794695925238807E-5</v>
      </c>
      <c r="E45" s="46">
        <f>'Income statement'!E42/'Income statement'!E$13</f>
        <v>0</v>
      </c>
      <c r="F45" s="46">
        <f>'Income statement'!F42/'Income statement'!F$13</f>
        <v>0</v>
      </c>
      <c r="G45" s="46">
        <f>'Income statement'!G42/'Income statement'!G$13</f>
        <v>0</v>
      </c>
      <c r="H45" s="46">
        <f>'Income statement'!H42/'Income statement'!H$13</f>
        <v>0</v>
      </c>
      <c r="I45" s="46">
        <f>'Income statement'!I42/'Income statement'!I$13</f>
        <v>0</v>
      </c>
      <c r="J45" s="46">
        <f>'Income statement'!J42/'Income statement'!J$13</f>
        <v>0</v>
      </c>
      <c r="K45" s="46">
        <f>'Income statement'!K42/'Income statement'!K$13</f>
        <v>0</v>
      </c>
      <c r="L45" s="46">
        <f>'Income statement'!L42/'Income statement'!L$13</f>
        <v>0</v>
      </c>
      <c r="M45" s="46">
        <f>'Income statement'!M42/'Income statement'!M$13</f>
        <v>0</v>
      </c>
      <c r="N45" s="46">
        <f>'Income statement'!N42/'Income statement'!N$13</f>
        <v>0</v>
      </c>
      <c r="O45" s="46">
        <f>'Income statement'!O42/'Income statement'!O$13</f>
        <v>0</v>
      </c>
      <c r="P45" s="46">
        <f>'Income statement'!P42/'Income statement'!P$13</f>
        <v>0</v>
      </c>
      <c r="Q45" s="46">
        <f>'Income statement'!Q42/'Income statement'!Q$13</f>
        <v>0</v>
      </c>
    </row>
    <row r="46" spans="2:17" x14ac:dyDescent="0.25">
      <c r="B46" s="52"/>
      <c r="C46" s="46"/>
      <c r="D46" s="46"/>
      <c r="E46" s="46"/>
      <c r="F46" s="46"/>
      <c r="G46" s="46"/>
      <c r="H46" s="46"/>
      <c r="I46" s="46"/>
      <c r="J46" s="46"/>
      <c r="K46" s="46"/>
      <c r="L46" s="46"/>
      <c r="M46" s="46"/>
      <c r="N46" s="46"/>
      <c r="O46" s="46"/>
      <c r="P46" s="46"/>
      <c r="Q46" s="46"/>
    </row>
    <row r="47" spans="2:17" ht="15.75" thickBot="1" x14ac:dyDescent="0.3">
      <c r="B47" s="207" t="s">
        <v>136</v>
      </c>
      <c r="C47" s="207">
        <f>'Income statement'!C44/'Income statement'!C$13</f>
        <v>0.11616919287188465</v>
      </c>
      <c r="D47" s="207">
        <f>'Income statement'!D44/'Income statement'!D$13</f>
        <v>0.19483494398990392</v>
      </c>
      <c r="E47" s="207">
        <f>'Income statement'!E44/'Income statement'!E$13</f>
        <v>8.2378697545394938E-2</v>
      </c>
      <c r="F47" s="207">
        <f>'Income statement'!F44/'Income statement'!F$13</f>
        <v>6.5371695862372126E-2</v>
      </c>
      <c r="G47" s="207">
        <f>'Income statement'!G44/'Income statement'!G$13</f>
        <v>4.5503429913688401E-2</v>
      </c>
      <c r="H47" s="207">
        <f>'Income statement'!H44/'Income statement'!H$13</f>
        <v>9.8541942933866297E-2</v>
      </c>
      <c r="I47" s="207">
        <f>'Income statement'!I44/'Income statement'!I$13</f>
        <v>0.1020680069298541</v>
      </c>
      <c r="J47" s="207">
        <f>'Income statement'!J44/'Income statement'!J$13</f>
        <v>0.10307321813263187</v>
      </c>
      <c r="K47" s="207">
        <f>'Income statement'!K44/'Income statement'!K$13</f>
        <v>0.10324114548951463</v>
      </c>
      <c r="L47" s="207">
        <f>'Income statement'!L44/'Income statement'!L$13</f>
        <v>0.10273185410111471</v>
      </c>
      <c r="M47" s="207">
        <f>'Income statement'!M44/'Income statement'!M$13</f>
        <v>0.10166535870899805</v>
      </c>
      <c r="N47" s="207">
        <f>'Income statement'!N44/'Income statement'!N$13</f>
        <v>0.10013269789234978</v>
      </c>
      <c r="O47" s="207">
        <f>'Income statement'!O44/'Income statement'!O$13</f>
        <v>9.8203758002504929E-2</v>
      </c>
      <c r="P47" s="207">
        <f>'Income statement'!P44/'Income statement'!P$13</f>
        <v>9.5932857670451316E-2</v>
      </c>
      <c r="Q47" s="207">
        <f>'Income statement'!Q44/'Income statement'!Q$13</f>
        <v>9.336277210923602E-2</v>
      </c>
    </row>
    <row r="49" spans="2:17" x14ac:dyDescent="0.25">
      <c r="B49" s="1" t="s">
        <v>298</v>
      </c>
    </row>
    <row r="51" spans="2:17" x14ac:dyDescent="0.25">
      <c r="B51" s="1" t="s">
        <v>28</v>
      </c>
    </row>
    <row r="52" spans="2:17" x14ac:dyDescent="0.25">
      <c r="B52" s="1" t="s">
        <v>29</v>
      </c>
    </row>
    <row r="53" spans="2:17" x14ac:dyDescent="0.25">
      <c r="B53" t="s">
        <v>30</v>
      </c>
      <c r="C53" s="46">
        <f>'Balance Sheet'!C15/'Balance Sheet'!C$37</f>
        <v>0.63997576449157778</v>
      </c>
      <c r="D53" s="46">
        <f>'Balance Sheet'!D15/'Balance Sheet'!D$37</f>
        <v>0.62932557520421772</v>
      </c>
      <c r="E53" s="46">
        <f>'Balance Sheet'!E15/'Balance Sheet'!E$37</f>
        <v>0.69423603584705573</v>
      </c>
      <c r="F53" s="46">
        <f>'Balance Sheet'!F15/'Balance Sheet'!F$37</f>
        <v>0.68001328697392127</v>
      </c>
      <c r="G53" s="46">
        <f>'Balance Sheet'!G15/'Balance Sheet'!G$37</f>
        <v>0.70463723464752837</v>
      </c>
      <c r="H53" s="46">
        <f>'Balance Sheet'!H15/'Balance Sheet'!H$37</f>
        <v>0.69451034752191276</v>
      </c>
      <c r="I53" s="46">
        <f>'Balance Sheet'!I15/'Balance Sheet'!I$37</f>
        <v>0.66933764839087928</v>
      </c>
      <c r="J53" s="46">
        <f>'Balance Sheet'!J15/'Balance Sheet'!J$37</f>
        <v>0.65354081251387974</v>
      </c>
      <c r="K53" s="46">
        <f>'Balance Sheet'!K15/'Balance Sheet'!K$37</f>
        <v>0.64541631431526847</v>
      </c>
      <c r="L53" s="46">
        <f>'Balance Sheet'!L15/'Balance Sheet'!L$37</f>
        <v>0.64355336674792274</v>
      </c>
      <c r="M53" s="46">
        <f>'Balance Sheet'!M15/'Balance Sheet'!M$37</f>
        <v>0.64680959000814264</v>
      </c>
      <c r="N53" s="46">
        <f>'Balance Sheet'!N15/'Balance Sheet'!N$37</f>
        <v>0.65427317846569177</v>
      </c>
      <c r="O53" s="46">
        <f>'Balance Sheet'!O15/'Balance Sheet'!O$37</f>
        <v>0.66522334822166429</v>
      </c>
      <c r="P53" s="46">
        <f>'Balance Sheet'!P15/'Balance Sheet'!P$37</f>
        <v>0.67909438831194135</v>
      </c>
      <c r="Q53" s="46">
        <f>'Balance Sheet'!Q15/'Balance Sheet'!Q$37</f>
        <v>0.69544517399193884</v>
      </c>
    </row>
    <row r="54" spans="2:17" x14ac:dyDescent="0.25">
      <c r="B54" t="s">
        <v>31</v>
      </c>
      <c r="C54" s="46" t="e">
        <f>'Balance Sheet'!#REF!/'Balance Sheet'!C$37</f>
        <v>#REF!</v>
      </c>
      <c r="D54" s="46" t="e">
        <f>'Balance Sheet'!#REF!/'Balance Sheet'!D$37</f>
        <v>#REF!</v>
      </c>
      <c r="E54" s="46" t="e">
        <f>'Balance Sheet'!#REF!/'Balance Sheet'!E$37</f>
        <v>#REF!</v>
      </c>
      <c r="F54" s="46" t="e">
        <f>'Balance Sheet'!#REF!/'Balance Sheet'!F$37</f>
        <v>#REF!</v>
      </c>
      <c r="G54" s="46" t="e">
        <f>'Balance Sheet'!#REF!/'Balance Sheet'!G$37</f>
        <v>#REF!</v>
      </c>
      <c r="H54" s="46" t="e">
        <f>'Balance Sheet'!#REF!/'Balance Sheet'!H$37</f>
        <v>#REF!</v>
      </c>
      <c r="I54" s="46" t="e">
        <f>'Balance Sheet'!#REF!/'Balance Sheet'!I$37</f>
        <v>#REF!</v>
      </c>
      <c r="J54" s="46" t="e">
        <f>'Balance Sheet'!#REF!/'Balance Sheet'!J$37</f>
        <v>#REF!</v>
      </c>
      <c r="K54" s="46" t="e">
        <f>'Balance Sheet'!#REF!/'Balance Sheet'!K$37</f>
        <v>#REF!</v>
      </c>
      <c r="L54" s="46" t="e">
        <f>'Balance Sheet'!#REF!/'Balance Sheet'!L$37</f>
        <v>#REF!</v>
      </c>
      <c r="M54" s="46" t="e">
        <f>'Balance Sheet'!#REF!/'Balance Sheet'!M$37</f>
        <v>#REF!</v>
      </c>
      <c r="N54" s="46" t="e">
        <f>'Balance Sheet'!#REF!/'Balance Sheet'!N$37</f>
        <v>#REF!</v>
      </c>
      <c r="O54" s="46" t="e">
        <f>'Balance Sheet'!#REF!/'Balance Sheet'!O$37</f>
        <v>#REF!</v>
      </c>
      <c r="P54" s="46" t="e">
        <f>'Balance Sheet'!#REF!/'Balance Sheet'!P$37</f>
        <v>#REF!</v>
      </c>
      <c r="Q54" s="46" t="e">
        <f>'Balance Sheet'!#REF!/'Balance Sheet'!Q$37</f>
        <v>#REF!</v>
      </c>
    </row>
    <row r="55" spans="2:17" x14ac:dyDescent="0.25">
      <c r="B55" t="s">
        <v>32</v>
      </c>
      <c r="C55" s="46" t="e">
        <f>'Balance Sheet'!#REF!/'Balance Sheet'!C$37</f>
        <v>#REF!</v>
      </c>
      <c r="D55" s="46" t="e">
        <f>'Balance Sheet'!#REF!/'Balance Sheet'!D$37</f>
        <v>#REF!</v>
      </c>
      <c r="E55" s="46" t="e">
        <f>'Balance Sheet'!#REF!/'Balance Sheet'!E$37</f>
        <v>#REF!</v>
      </c>
      <c r="F55" s="46" t="e">
        <f>'Balance Sheet'!#REF!/'Balance Sheet'!F$37</f>
        <v>#REF!</v>
      </c>
      <c r="G55" s="46" t="e">
        <f>'Balance Sheet'!#REF!/'Balance Sheet'!G$37</f>
        <v>#REF!</v>
      </c>
      <c r="H55" s="46" t="e">
        <f>'Balance Sheet'!#REF!/'Balance Sheet'!H$37</f>
        <v>#REF!</v>
      </c>
      <c r="I55" s="46" t="e">
        <f>'Balance Sheet'!#REF!/'Balance Sheet'!I$37</f>
        <v>#REF!</v>
      </c>
      <c r="J55" s="46" t="e">
        <f>'Balance Sheet'!#REF!/'Balance Sheet'!J$37</f>
        <v>#REF!</v>
      </c>
      <c r="K55" s="46" t="e">
        <f>'Balance Sheet'!#REF!/'Balance Sheet'!K$37</f>
        <v>#REF!</v>
      </c>
      <c r="L55" s="46" t="e">
        <f>'Balance Sheet'!#REF!/'Balance Sheet'!L$37</f>
        <v>#REF!</v>
      </c>
      <c r="M55" s="46" t="e">
        <f>'Balance Sheet'!#REF!/'Balance Sheet'!M$37</f>
        <v>#REF!</v>
      </c>
      <c r="N55" s="46" t="e">
        <f>'Balance Sheet'!#REF!/'Balance Sheet'!N$37</f>
        <v>#REF!</v>
      </c>
      <c r="O55" s="46" t="e">
        <f>'Balance Sheet'!#REF!/'Balance Sheet'!O$37</f>
        <v>#REF!</v>
      </c>
      <c r="P55" s="46" t="e">
        <f>'Balance Sheet'!#REF!/'Balance Sheet'!P$37</f>
        <v>#REF!</v>
      </c>
      <c r="Q55" s="46" t="e">
        <f>'Balance Sheet'!#REF!/'Balance Sheet'!Q$37</f>
        <v>#REF!</v>
      </c>
    </row>
    <row r="56" spans="2:17" x14ac:dyDescent="0.25">
      <c r="B56" t="s">
        <v>33</v>
      </c>
      <c r="C56" s="46" t="e">
        <f>'Balance Sheet'!#REF!/'Balance Sheet'!C$37</f>
        <v>#REF!</v>
      </c>
      <c r="D56" s="46" t="e">
        <f>'Balance Sheet'!#REF!/'Balance Sheet'!D$37</f>
        <v>#REF!</v>
      </c>
      <c r="E56" s="46" t="e">
        <f>'Balance Sheet'!#REF!/'Balance Sheet'!E$37</f>
        <v>#REF!</v>
      </c>
      <c r="F56" s="46" t="e">
        <f>'Balance Sheet'!#REF!/'Balance Sheet'!F$37</f>
        <v>#REF!</v>
      </c>
      <c r="G56" s="46" t="e">
        <f>'Balance Sheet'!#REF!/'Balance Sheet'!G$37</f>
        <v>#REF!</v>
      </c>
      <c r="H56" s="46" t="e">
        <f>'Balance Sheet'!#REF!/'Balance Sheet'!H$37</f>
        <v>#REF!</v>
      </c>
      <c r="I56" s="46" t="e">
        <f>'Balance Sheet'!#REF!/'Balance Sheet'!I$37</f>
        <v>#REF!</v>
      </c>
      <c r="J56" s="46" t="e">
        <f>'Balance Sheet'!#REF!/'Balance Sheet'!J$37</f>
        <v>#REF!</v>
      </c>
      <c r="K56" s="46" t="e">
        <f>'Balance Sheet'!#REF!/'Balance Sheet'!K$37</f>
        <v>#REF!</v>
      </c>
      <c r="L56" s="46" t="e">
        <f>'Balance Sheet'!#REF!/'Balance Sheet'!L$37</f>
        <v>#REF!</v>
      </c>
      <c r="M56" s="46" t="e">
        <f>'Balance Sheet'!#REF!/'Balance Sheet'!M$37</f>
        <v>#REF!</v>
      </c>
      <c r="N56" s="46" t="e">
        <f>'Balance Sheet'!#REF!/'Balance Sheet'!N$37</f>
        <v>#REF!</v>
      </c>
      <c r="O56" s="46" t="e">
        <f>'Balance Sheet'!#REF!/'Balance Sheet'!O$37</f>
        <v>#REF!</v>
      </c>
      <c r="P56" s="46" t="e">
        <f>'Balance Sheet'!#REF!/'Balance Sheet'!P$37</f>
        <v>#REF!</v>
      </c>
      <c r="Q56" s="46" t="e">
        <f>'Balance Sheet'!#REF!/'Balance Sheet'!Q$37</f>
        <v>#REF!</v>
      </c>
    </row>
    <row r="57" spans="2:17" x14ac:dyDescent="0.25">
      <c r="B57" t="s">
        <v>34</v>
      </c>
      <c r="C57" s="46" t="e">
        <f>'Balance Sheet'!#REF!/'Balance Sheet'!C$37</f>
        <v>#REF!</v>
      </c>
      <c r="D57" s="46" t="e">
        <f>'Balance Sheet'!#REF!/'Balance Sheet'!D$37</f>
        <v>#REF!</v>
      </c>
      <c r="E57" s="46" t="e">
        <f>'Balance Sheet'!#REF!/'Balance Sheet'!E$37</f>
        <v>#REF!</v>
      </c>
      <c r="F57" s="46" t="e">
        <f>'Balance Sheet'!#REF!/'Balance Sheet'!F$37</f>
        <v>#REF!</v>
      </c>
      <c r="G57" s="46" t="e">
        <f>'Balance Sheet'!#REF!/'Balance Sheet'!G$37</f>
        <v>#REF!</v>
      </c>
      <c r="H57" s="46" t="e">
        <f>'Balance Sheet'!#REF!/'Balance Sheet'!H$37</f>
        <v>#REF!</v>
      </c>
      <c r="I57" s="46" t="e">
        <f>'Balance Sheet'!#REF!/'Balance Sheet'!I$37</f>
        <v>#REF!</v>
      </c>
      <c r="J57" s="46" t="e">
        <f>'Balance Sheet'!#REF!/'Balance Sheet'!J$37</f>
        <v>#REF!</v>
      </c>
      <c r="K57" s="46" t="e">
        <f>'Balance Sheet'!#REF!/'Balance Sheet'!K$37</f>
        <v>#REF!</v>
      </c>
      <c r="L57" s="46" t="e">
        <f>'Balance Sheet'!#REF!/'Balance Sheet'!L$37</f>
        <v>#REF!</v>
      </c>
      <c r="M57" s="46" t="e">
        <f>'Balance Sheet'!#REF!/'Balance Sheet'!M$37</f>
        <v>#REF!</v>
      </c>
      <c r="N57" s="46" t="e">
        <f>'Balance Sheet'!#REF!/'Balance Sheet'!N$37</f>
        <v>#REF!</v>
      </c>
      <c r="O57" s="46" t="e">
        <f>'Balance Sheet'!#REF!/'Balance Sheet'!O$37</f>
        <v>#REF!</v>
      </c>
      <c r="P57" s="46" t="e">
        <f>'Balance Sheet'!#REF!/'Balance Sheet'!P$37</f>
        <v>#REF!</v>
      </c>
      <c r="Q57" s="46" t="e">
        <f>'Balance Sheet'!#REF!/'Balance Sheet'!Q$37</f>
        <v>#REF!</v>
      </c>
    </row>
    <row r="58" spans="2:17" x14ac:dyDescent="0.25">
      <c r="B58" s="1" t="s">
        <v>35</v>
      </c>
      <c r="C58" s="46"/>
      <c r="D58" s="46"/>
      <c r="E58" s="46"/>
      <c r="F58" s="46"/>
      <c r="G58" s="46"/>
      <c r="H58" s="46"/>
      <c r="I58" s="46"/>
      <c r="J58" s="46"/>
      <c r="K58" s="46"/>
      <c r="L58" s="46"/>
      <c r="M58" s="46"/>
      <c r="N58" s="46"/>
      <c r="O58" s="46"/>
      <c r="P58" s="46"/>
      <c r="Q58" s="46"/>
    </row>
    <row r="59" spans="2:17" x14ac:dyDescent="0.25">
      <c r="B59" s="8" t="s">
        <v>36</v>
      </c>
      <c r="C59" s="46">
        <f>'Balance Sheet'!C17/'Balance Sheet'!C$37</f>
        <v>8.3123082882298142E-3</v>
      </c>
      <c r="D59" s="46">
        <f>'Balance Sheet'!D17/'Balance Sheet'!D$37</f>
        <v>3.6035049148546183E-3</v>
      </c>
      <c r="E59" s="46">
        <f>'Balance Sheet'!E17/'Balance Sheet'!E$37</f>
        <v>2.0009556107168248E-3</v>
      </c>
      <c r="F59" s="46">
        <f>'Balance Sheet'!F17/'Balance Sheet'!F$37</f>
        <v>2.2659035883727113E-3</v>
      </c>
      <c r="G59" s="46">
        <f>'Balance Sheet'!G17/'Balance Sheet'!G$37</f>
        <v>4.2857708448808297E-3</v>
      </c>
      <c r="H59" s="46">
        <f>'Balance Sheet'!H17/'Balance Sheet'!H$37</f>
        <v>4.2710345585166764E-3</v>
      </c>
      <c r="I59" s="46">
        <f>'Balance Sheet'!I17/'Balance Sheet'!I$37</f>
        <v>4.2559997274676182E-3</v>
      </c>
      <c r="J59" s="46">
        <f>'Balance Sheet'!J17/'Balance Sheet'!J$37</f>
        <v>4.2227845474821215E-3</v>
      </c>
      <c r="K59" s="46">
        <f>'Balance Sheet'!K17/'Balance Sheet'!K$37</f>
        <v>4.1768261872712495E-3</v>
      </c>
      <c r="L59" s="46">
        <f>'Balance Sheet'!L17/'Balance Sheet'!L$37</f>
        <v>4.122277093725305E-3</v>
      </c>
      <c r="M59" s="46">
        <f>'Balance Sheet'!M17/'Balance Sheet'!M$37</f>
        <v>4.0622717769993894E-3</v>
      </c>
      <c r="N59" s="46">
        <f>'Balance Sheet'!N17/'Balance Sheet'!N$37</f>
        <v>3.9991612977904063E-3</v>
      </c>
      <c r="O59" s="46">
        <f>'Balance Sheet'!O17/'Balance Sheet'!O$37</f>
        <v>3.9347040646424553E-3</v>
      </c>
      <c r="P59" s="46">
        <f>'Balance Sheet'!P17/'Balance Sheet'!P$37</f>
        <v>3.8702145671896371E-3</v>
      </c>
      <c r="Q59" s="46">
        <f>'Balance Sheet'!Q17/'Balance Sheet'!Q$37</f>
        <v>3.8066764902352159E-3</v>
      </c>
    </row>
    <row r="60" spans="2:17" x14ac:dyDescent="0.25">
      <c r="B60" s="8" t="s">
        <v>37</v>
      </c>
      <c r="C60" s="46">
        <f>'Balance Sheet'!C18/'Balance Sheet'!C$37</f>
        <v>4.1884768794296541E-2</v>
      </c>
      <c r="D60" s="46">
        <f>'Balance Sheet'!D18/'Balance Sheet'!D$37</f>
        <v>0</v>
      </c>
      <c r="E60" s="46">
        <f>'Balance Sheet'!E18/'Balance Sheet'!E$37</f>
        <v>1.1653789229567994E-6</v>
      </c>
      <c r="F60" s="46">
        <f>'Balance Sheet'!F18/'Balance Sheet'!F$37</f>
        <v>2.9658423931579988E-5</v>
      </c>
      <c r="G60" s="46">
        <f>'Balance Sheet'!G18/'Balance Sheet'!G$37</f>
        <v>5.3988295337570808E-6</v>
      </c>
      <c r="H60" s="46">
        <f>'Balance Sheet'!H18/'Balance Sheet'!H$37</f>
        <v>9.6394839052871384E-6</v>
      </c>
      <c r="I60" s="46">
        <f>'Balance Sheet'!I18/'Balance Sheet'!I$37</f>
        <v>9.6055511403023368E-6</v>
      </c>
      <c r="J60" s="46">
        <f>'Balance Sheet'!J18/'Balance Sheet'!J$37</f>
        <v>9.5305863540205322E-6</v>
      </c>
      <c r="K60" s="46">
        <f>'Balance Sheet'!K18/'Balance Sheet'!K$37</f>
        <v>9.4268609293028384E-6</v>
      </c>
      <c r="L60" s="46">
        <f>'Balance Sheet'!L18/'Balance Sheet'!L$37</f>
        <v>9.3037467043814769E-6</v>
      </c>
      <c r="M60" s="46">
        <f>'Balance Sheet'!M18/'Balance Sheet'!M$37</f>
        <v>9.1683180917382634E-6</v>
      </c>
      <c r="N60" s="46">
        <f>'Balance Sheet'!N18/'Balance Sheet'!N$37</f>
        <v>9.0258813026523827E-6</v>
      </c>
      <c r="O60" s="46">
        <f>'Balance Sheet'!O18/'Balance Sheet'!O$37</f>
        <v>8.8804049659484243E-6</v>
      </c>
      <c r="P60" s="46">
        <f>'Balance Sheet'!P18/'Balance Sheet'!P$37</f>
        <v>8.734855810529651E-6</v>
      </c>
      <c r="Q60" s="46">
        <f>'Balance Sheet'!Q18/'Balance Sheet'!Q$37</f>
        <v>8.5914539574695472E-6</v>
      </c>
    </row>
    <row r="61" spans="2:17" x14ac:dyDescent="0.25">
      <c r="B61" t="s">
        <v>38</v>
      </c>
      <c r="C61" s="46">
        <f>'Balance Sheet'!C19/'Balance Sheet'!C$37</f>
        <v>0</v>
      </c>
      <c r="D61" s="46">
        <f>'Balance Sheet'!D19/'Balance Sheet'!D$37</f>
        <v>3.5334473785106789E-3</v>
      </c>
      <c r="E61" s="46">
        <f>'Balance Sheet'!E19/'Balance Sheet'!E$37</f>
        <v>6.1508699553659875E-3</v>
      </c>
      <c r="F61" s="46">
        <f>'Balance Sheet'!F19/'Balance Sheet'!F$37</f>
        <v>1.4191555851261025E-2</v>
      </c>
      <c r="G61" s="46">
        <f>'Balance Sheet'!G19/'Balance Sheet'!G$37</f>
        <v>1.961484750106177E-2</v>
      </c>
      <c r="H61" s="46">
        <f>'Balance Sheet'!H19/'Balance Sheet'!H$37</f>
        <v>8.8228325897179924E-3</v>
      </c>
      <c r="I61" s="46">
        <f>'Balance Sheet'!I19/'Balance Sheet'!I$37</f>
        <v>8.7917745883033162E-3</v>
      </c>
      <c r="J61" s="46">
        <f>'Balance Sheet'!J19/'Balance Sheet'!J$37</f>
        <v>8.723160773913774E-3</v>
      </c>
      <c r="K61" s="46">
        <f>'Balance Sheet'!K19/'Balance Sheet'!K$37</f>
        <v>8.6282229051882868E-3</v>
      </c>
      <c r="L61" s="46">
        <f>'Balance Sheet'!L19/'Balance Sheet'!L$37</f>
        <v>8.5155388438249713E-3</v>
      </c>
      <c r="M61" s="46">
        <f>'Balance Sheet'!M19/'Balance Sheet'!M$37</f>
        <v>8.3915836623081001E-3</v>
      </c>
      <c r="N61" s="46">
        <f>'Balance Sheet'!N19/'Balance Sheet'!N$37</f>
        <v>8.2612140328684556E-3</v>
      </c>
      <c r="O61" s="46">
        <f>'Balance Sheet'!O19/'Balance Sheet'!O$37</f>
        <v>8.1280623644683983E-3</v>
      </c>
      <c r="P61" s="46">
        <f>'Balance Sheet'!P19/'Balance Sheet'!P$37</f>
        <v>7.9948440465115282E-3</v>
      </c>
      <c r="Q61" s="46">
        <f>'Balance Sheet'!Q19/'Balance Sheet'!Q$37</f>
        <v>7.8635911127408007E-3</v>
      </c>
    </row>
    <row r="62" spans="2:17" x14ac:dyDescent="0.25">
      <c r="B62" t="s">
        <v>39</v>
      </c>
      <c r="C62" s="46">
        <f>'Balance Sheet'!C20/'Balance Sheet'!C$37</f>
        <v>0</v>
      </c>
      <c r="D62" s="46">
        <f>'Balance Sheet'!D20/'Balance Sheet'!D$37</f>
        <v>1.9767689209483501E-2</v>
      </c>
      <c r="E62" s="46">
        <f>'Balance Sheet'!E20/'Balance Sheet'!E$37</f>
        <v>1.1012830821941755E-2</v>
      </c>
      <c r="F62" s="46">
        <f>'Balance Sheet'!F20/'Balance Sheet'!F$37</f>
        <v>1.0962742099243016E-2</v>
      </c>
      <c r="G62" s="46">
        <f>'Balance Sheet'!G20/'Balance Sheet'!G$37</f>
        <v>1.098661810119566E-2</v>
      </c>
      <c r="H62" s="46">
        <f>'Balance Sheet'!H20/'Balance Sheet'!H$37</f>
        <v>1.0034487561372565E-2</v>
      </c>
      <c r="I62" s="46">
        <f>'Balance Sheet'!I20/'Balance Sheet'!I$37</f>
        <v>9.9991643105109464E-3</v>
      </c>
      <c r="J62" s="46">
        <f>'Balance Sheet'!J20/'Balance Sheet'!J$37</f>
        <v>9.921127641444762E-3</v>
      </c>
      <c r="K62" s="46">
        <f>'Balance Sheet'!K20/'Balance Sheet'!K$37</f>
        <v>9.8131517897960124E-3</v>
      </c>
      <c r="L62" s="46">
        <f>'Balance Sheet'!L20/'Balance Sheet'!L$37</f>
        <v>9.6849926299551175E-3</v>
      </c>
      <c r="M62" s="46">
        <f>'Balance Sheet'!M20/'Balance Sheet'!M$37</f>
        <v>9.5440144673921944E-3</v>
      </c>
      <c r="N62" s="46">
        <f>'Balance Sheet'!N20/'Balance Sheet'!N$37</f>
        <v>9.3957409495973067E-3</v>
      </c>
      <c r="O62" s="46">
        <f>'Balance Sheet'!O20/'Balance Sheet'!O$37</f>
        <v>9.244303330584399E-3</v>
      </c>
      <c r="P62" s="46">
        <f>'Balance Sheet'!P20/'Balance Sheet'!P$37</f>
        <v>9.0927899089149177E-3</v>
      </c>
      <c r="Q62" s="46">
        <f>'Balance Sheet'!Q20/'Balance Sheet'!Q$37</f>
        <v>8.9435117810661695E-3</v>
      </c>
    </row>
    <row r="63" spans="2:17" x14ac:dyDescent="0.25">
      <c r="C63" s="46"/>
      <c r="D63" s="46"/>
      <c r="E63" s="46"/>
      <c r="F63" s="46"/>
      <c r="G63" s="46"/>
      <c r="H63" s="46"/>
      <c r="I63" s="46"/>
      <c r="J63" s="46"/>
      <c r="K63" s="46"/>
      <c r="L63" s="46"/>
      <c r="M63" s="46"/>
      <c r="N63" s="46"/>
      <c r="O63" s="46"/>
      <c r="P63" s="46"/>
      <c r="Q63" s="46"/>
    </row>
    <row r="64" spans="2:17" x14ac:dyDescent="0.25">
      <c r="B64" s="9" t="s">
        <v>40</v>
      </c>
      <c r="C64" s="209">
        <f>'Balance Sheet'!C22/'Balance Sheet'!C$37</f>
        <v>0.69017284157410419</v>
      </c>
      <c r="D64" s="209">
        <f>'Balance Sheet'!D22/'Balance Sheet'!D$37</f>
        <v>0.65623021670706649</v>
      </c>
      <c r="E64" s="209">
        <f>'Balance Sheet'!E22/'Balance Sheet'!E$37</f>
        <v>0.71340185761400321</v>
      </c>
      <c r="F64" s="209">
        <f>'Balance Sheet'!F22/'Balance Sheet'!F$37</f>
        <v>0.70746314693672974</v>
      </c>
      <c r="G64" s="209">
        <f>'Balance Sheet'!G22/'Balance Sheet'!G$37</f>
        <v>0.73952986992420044</v>
      </c>
      <c r="H64" s="209">
        <f>'Balance Sheet'!H22/'Balance Sheet'!H$37</f>
        <v>0.71764834171542535</v>
      </c>
      <c r="I64" s="209">
        <f>'Balance Sheet'!I22/'Balance Sheet'!I$37</f>
        <v>0.69239419256830148</v>
      </c>
      <c r="J64" s="209">
        <f>'Balance Sheet'!J22/'Balance Sheet'!J$37</f>
        <v>0.67641741606307448</v>
      </c>
      <c r="K64" s="209">
        <f>'Balance Sheet'!K22/'Balance Sheet'!K$37</f>
        <v>0.6680439420584533</v>
      </c>
      <c r="L64" s="209">
        <f>'Balance Sheet'!L22/'Balance Sheet'!L$37</f>
        <v>0.66588547906213247</v>
      </c>
      <c r="M64" s="209">
        <f>'Balance Sheet'!M22/'Balance Sheet'!M$37</f>
        <v>0.66881662823293409</v>
      </c>
      <c r="N64" s="209">
        <f>'Balance Sheet'!N22/'Balance Sheet'!N$37</f>
        <v>0.67593832062725057</v>
      </c>
      <c r="O64" s="209">
        <f>'Balance Sheet'!O22/'Balance Sheet'!O$37</f>
        <v>0.68653929838632555</v>
      </c>
      <c r="P64" s="209">
        <f>'Balance Sheet'!P22/'Balance Sheet'!P$37</f>
        <v>0.70006097169036785</v>
      </c>
      <c r="Q64" s="209">
        <f>'Balance Sheet'!Q22/'Balance Sheet'!Q$37</f>
        <v>0.71606754482993851</v>
      </c>
    </row>
    <row r="65" spans="2:17" x14ac:dyDescent="0.25">
      <c r="C65" s="46"/>
      <c r="D65" s="46"/>
      <c r="E65" s="46"/>
      <c r="F65" s="46"/>
      <c r="G65" s="46"/>
      <c r="H65" s="46"/>
      <c r="I65" s="46"/>
      <c r="J65" s="46"/>
      <c r="K65" s="46"/>
      <c r="L65" s="46"/>
      <c r="M65" s="46"/>
      <c r="N65" s="46"/>
      <c r="O65" s="46"/>
      <c r="P65" s="46"/>
      <c r="Q65" s="46"/>
    </row>
    <row r="66" spans="2:17" x14ac:dyDescent="0.25">
      <c r="B66" s="1" t="s">
        <v>41</v>
      </c>
      <c r="C66" s="46"/>
      <c r="D66" s="46"/>
      <c r="E66" s="46"/>
      <c r="F66" s="46"/>
      <c r="G66" s="46"/>
      <c r="H66" s="46"/>
      <c r="I66" s="46"/>
      <c r="J66" s="46"/>
      <c r="K66" s="46"/>
      <c r="L66" s="46"/>
      <c r="M66" s="46"/>
      <c r="N66" s="46"/>
      <c r="O66" s="46"/>
      <c r="P66" s="46"/>
      <c r="Q66" s="46"/>
    </row>
    <row r="67" spans="2:17" x14ac:dyDescent="0.25">
      <c r="B67" t="s">
        <v>42</v>
      </c>
      <c r="C67" s="46">
        <f>'Balance Sheet'!C25/'Balance Sheet'!C$37</f>
        <v>0.12244427926843311</v>
      </c>
      <c r="D67" s="46">
        <f>'Balance Sheet'!D25/'Balance Sheet'!D$37</f>
        <v>0.11898571972654635</v>
      </c>
      <c r="E67" s="46">
        <f>'Balance Sheet'!E25/'Balance Sheet'!E$37</f>
        <v>0.1201563938514608</v>
      </c>
      <c r="F67" s="46">
        <f>'Balance Sheet'!F25/'Balance Sheet'!F$37</f>
        <v>0.11464463770752245</v>
      </c>
      <c r="G67" s="46">
        <f>'Balance Sheet'!G25/'Balance Sheet'!G$37</f>
        <v>0.13083343531122452</v>
      </c>
      <c r="H67" s="46">
        <f>'Balance Sheet'!H25/'Balance Sheet'!H$37</f>
        <v>0.12377509861254883</v>
      </c>
      <c r="I67" s="46">
        <f>'Balance Sheet'!I25/'Balance Sheet'!I$37</f>
        <v>0.12333938738843583</v>
      </c>
      <c r="J67" s="46">
        <f>'Balance Sheet'!J25/'Balance Sheet'!J$37</f>
        <v>0.12237680745099648</v>
      </c>
      <c r="K67" s="46">
        <f>'Balance Sheet'!K25/'Balance Sheet'!K$37</f>
        <v>0.12104492860777136</v>
      </c>
      <c r="L67" s="46">
        <f>'Balance Sheet'!L25/'Balance Sheet'!L$37</f>
        <v>0.11946408927239044</v>
      </c>
      <c r="M67" s="46">
        <f>'Balance Sheet'!M25/'Balance Sheet'!M$37</f>
        <v>0.1177251279286529</v>
      </c>
      <c r="N67" s="46">
        <f>'Balance Sheet'!N25/'Balance Sheet'!N$37</f>
        <v>0.11589617860020497</v>
      </c>
      <c r="O67" s="46">
        <f>'Balance Sheet'!O25/'Balance Sheet'!O$37</f>
        <v>0.11402820017955026</v>
      </c>
      <c r="P67" s="46">
        <f>'Balance Sheet'!P25/'Balance Sheet'!P$37</f>
        <v>0.11215928673543417</v>
      </c>
      <c r="Q67" s="46">
        <f>'Balance Sheet'!Q25/'Balance Sheet'!Q$37</f>
        <v>0.11031794557255287</v>
      </c>
    </row>
    <row r="68" spans="2:17" x14ac:dyDescent="0.25">
      <c r="B68" s="1" t="s">
        <v>43</v>
      </c>
      <c r="C68" s="46"/>
      <c r="D68" s="46"/>
      <c r="E68" s="46"/>
      <c r="F68" s="46"/>
      <c r="G68" s="46"/>
      <c r="H68" s="46"/>
      <c r="I68" s="46"/>
      <c r="J68" s="46"/>
      <c r="K68" s="46"/>
      <c r="L68" s="46"/>
      <c r="M68" s="46"/>
      <c r="N68" s="46"/>
      <c r="O68" s="46"/>
      <c r="P68" s="46"/>
      <c r="Q68" s="46"/>
    </row>
    <row r="69" spans="2:17" x14ac:dyDescent="0.25">
      <c r="B69" s="8" t="s">
        <v>44</v>
      </c>
      <c r="C69" s="46">
        <f>'Balance Sheet'!C27/'Balance Sheet'!C$37</f>
        <v>0.10386852105819662</v>
      </c>
      <c r="D69" s="46">
        <f>'Balance Sheet'!D27/'Balance Sheet'!D$37</f>
        <v>0.13903491285479366</v>
      </c>
      <c r="E69" s="46">
        <f>'Balance Sheet'!E27/'Balance Sheet'!E$37</f>
        <v>0.10960272232516403</v>
      </c>
      <c r="F69" s="46">
        <f>'Balance Sheet'!F27/'Balance Sheet'!F$37</f>
        <v>8.4445441846256644E-2</v>
      </c>
      <c r="G69" s="46">
        <f>'Balance Sheet'!G27/'Balance Sheet'!G$37</f>
        <v>7.0730065721751514E-2</v>
      </c>
      <c r="H69" s="46">
        <f>'Balance Sheet'!H27/'Balance Sheet'!H$37</f>
        <v>0.10034679830973861</v>
      </c>
      <c r="I69" s="46">
        <f>'Balance Sheet'!I27/'Balance Sheet'!I$37</f>
        <v>9.9993559032877113E-2</v>
      </c>
      <c r="J69" s="46">
        <f>'Balance Sheet'!J27/'Balance Sheet'!J$37</f>
        <v>9.9213177389703561E-2</v>
      </c>
      <c r="K69" s="46">
        <f>'Balance Sheet'!K27/'Balance Sheet'!K$37</f>
        <v>9.8133398184093862E-2</v>
      </c>
      <c r="L69" s="46">
        <f>'Balance Sheet'!L27/'Balance Sheet'!L$37</f>
        <v>9.6851782029263478E-2</v>
      </c>
      <c r="M69" s="46">
        <f>'Balance Sheet'!M27/'Balance Sheet'!M$37</f>
        <v>9.5441973390979179E-2</v>
      </c>
      <c r="N69" s="46">
        <f>'Balance Sheet'!N27/'Balance Sheet'!N$37</f>
        <v>9.3959209802521079E-2</v>
      </c>
      <c r="O69" s="46">
        <f>'Balance Sheet'!O27/'Balance Sheet'!O$37</f>
        <v>9.2444804595613175E-2</v>
      </c>
      <c r="P69" s="46">
        <f>'Balance Sheet'!P27/'Balance Sheet'!P$37</f>
        <v>9.0929641347615053E-2</v>
      </c>
      <c r="Q69" s="46">
        <f>'Balance Sheet'!Q27/'Balance Sheet'!Q$37</f>
        <v>8.9436831466126229E-2</v>
      </c>
    </row>
    <row r="70" spans="2:17" x14ac:dyDescent="0.25">
      <c r="B70" s="8" t="s">
        <v>45</v>
      </c>
      <c r="C70" s="46">
        <f>'Balance Sheet'!C28/'Balance Sheet'!C$37</f>
        <v>5.3956721558610143E-2</v>
      </c>
      <c r="D70" s="46">
        <f>'Balance Sheet'!D28/'Balance Sheet'!D$37</f>
        <v>1.1926340232514595E-2</v>
      </c>
      <c r="E70" s="46">
        <f>'Balance Sheet'!E28/'Balance Sheet'!E$37</f>
        <v>1.9514270064911604E-2</v>
      </c>
      <c r="F70" s="46">
        <f>'Balance Sheet'!F28/'Balance Sheet'!F$37</f>
        <v>4.2341354618854646E-2</v>
      </c>
      <c r="G70" s="46">
        <f>'Balance Sheet'!G28/'Balance Sheet'!G$37</f>
        <v>1.7941210345597071E-2</v>
      </c>
      <c r="H70" s="46">
        <f>'Balance Sheet'!H28/'Balance Sheet'!H$37</f>
        <v>1.8568796609619808E-2</v>
      </c>
      <c r="I70" s="46">
        <f>'Balance Sheet'!I28/'Balance Sheet'!I$37</f>
        <v>4.4751510184070004E-2</v>
      </c>
      <c r="J70" s="46">
        <f>'Balance Sheet'!J28/'Balance Sheet'!J$37</f>
        <v>6.2779685503233526E-2</v>
      </c>
      <c r="K70" s="46">
        <f>'Balance Sheet'!K28/'Balance Sheet'!K$37</f>
        <v>7.3991588372856187E-2</v>
      </c>
      <c r="L70" s="46">
        <f>'Balance Sheet'!L28/'Balance Sheet'!L$37</f>
        <v>7.9519051502559376E-2</v>
      </c>
      <c r="M70" s="46">
        <f>'Balance Sheet'!M28/'Balance Sheet'!M$37</f>
        <v>8.0293883621492798E-2</v>
      </c>
      <c r="N70" s="46">
        <f>'Balance Sheet'!N28/'Balance Sheet'!N$37</f>
        <v>7.706995009082844E-2</v>
      </c>
      <c r="O70" s="46">
        <f>'Balance Sheet'!O28/'Balance Sheet'!O$37</f>
        <v>7.0449907906604312E-2</v>
      </c>
      <c r="P70" s="46">
        <f>'Balance Sheet'!P28/'Balance Sheet'!P$37</f>
        <v>6.0911162849340603E-2</v>
      </c>
      <c r="Q70" s="46">
        <f>'Balance Sheet'!Q28/'Balance Sheet'!Q$37</f>
        <v>4.8828757387350465E-2</v>
      </c>
    </row>
    <row r="71" spans="2:17" x14ac:dyDescent="0.25">
      <c r="B71" s="8" t="s">
        <v>47</v>
      </c>
      <c r="C71" s="46">
        <f>'Balance Sheet'!C29/'Balance Sheet'!C$37</f>
        <v>0</v>
      </c>
      <c r="D71" s="46">
        <f>'Balance Sheet'!D29/'Balance Sheet'!D$37</f>
        <v>1.0181270690856475E-2</v>
      </c>
      <c r="E71" s="46">
        <f>'Balance Sheet'!E29/'Balance Sheet'!E$37</f>
        <v>3.8783810556002286E-3</v>
      </c>
      <c r="F71" s="46">
        <f>'Balance Sheet'!F29/'Balance Sheet'!F$37</f>
        <v>8.6948612826082006E-3</v>
      </c>
      <c r="G71" s="46">
        <f>'Balance Sheet'!G29/'Balance Sheet'!G$37</f>
        <v>8.6003354472750301E-3</v>
      </c>
      <c r="H71" s="46">
        <f>'Balance Sheet'!H29/'Balance Sheet'!H$37</f>
        <v>0</v>
      </c>
      <c r="I71" s="46">
        <f>'Balance Sheet'!I29/'Balance Sheet'!I$37</f>
        <v>0</v>
      </c>
      <c r="J71" s="46">
        <f>'Balance Sheet'!J29/'Balance Sheet'!J$37</f>
        <v>0</v>
      </c>
      <c r="K71" s="46">
        <f>'Balance Sheet'!K29/'Balance Sheet'!K$37</f>
        <v>0</v>
      </c>
      <c r="L71" s="46">
        <f>'Balance Sheet'!L29/'Balance Sheet'!L$37</f>
        <v>0</v>
      </c>
      <c r="M71" s="46">
        <f>'Balance Sheet'!M29/'Balance Sheet'!M$37</f>
        <v>0</v>
      </c>
      <c r="N71" s="46">
        <f>'Balance Sheet'!N29/'Balance Sheet'!N$37</f>
        <v>0</v>
      </c>
      <c r="O71" s="46">
        <f>'Balance Sheet'!O29/'Balance Sheet'!O$37</f>
        <v>0</v>
      </c>
      <c r="P71" s="46">
        <f>'Balance Sheet'!P29/'Balance Sheet'!P$37</f>
        <v>0</v>
      </c>
      <c r="Q71" s="46">
        <f>'Balance Sheet'!Q29/'Balance Sheet'!Q$37</f>
        <v>0</v>
      </c>
    </row>
    <row r="72" spans="2:17" x14ac:dyDescent="0.25">
      <c r="B72" s="8" t="s">
        <v>46</v>
      </c>
      <c r="C72" s="46">
        <f>'Balance Sheet'!C30/'Balance Sheet'!C$37</f>
        <v>0</v>
      </c>
      <c r="D72" s="46">
        <f>'Balance Sheet'!D30/'Balance Sheet'!D$37</f>
        <v>0</v>
      </c>
      <c r="E72" s="46">
        <f>'Balance Sheet'!E30/'Balance Sheet'!E$37</f>
        <v>3.7327086902306287E-3</v>
      </c>
      <c r="F72" s="46">
        <f>'Balance Sheet'!F30/'Balance Sheet'!F$37</f>
        <v>8.1857250051160758E-4</v>
      </c>
      <c r="G72" s="46">
        <f>'Balance Sheet'!G30/'Balance Sheet'!G$37</f>
        <v>5.6417768627761494E-4</v>
      </c>
      <c r="H72" s="46">
        <f>'Balance Sheet'!H30/'Balance Sheet'!H$37</f>
        <v>9.4968362791837365E-4</v>
      </c>
      <c r="I72" s="46">
        <f>'Balance Sheet'!I30/'Balance Sheet'!I$37</f>
        <v>9.4634056602079712E-4</v>
      </c>
      <c r="J72" s="46">
        <f>'Balance Sheet'!J30/'Balance Sheet'!J$37</f>
        <v>9.3895502226122086E-4</v>
      </c>
      <c r="K72" s="46">
        <f>'Balance Sheet'!K30/'Balance Sheet'!K$37</f>
        <v>9.2873597540963119E-4</v>
      </c>
      <c r="L72" s="46">
        <f>'Balance Sheet'!L30/'Balance Sheet'!L$37</f>
        <v>9.1660674059576856E-4</v>
      </c>
      <c r="M72" s="46">
        <f>'Balance Sheet'!M30/'Balance Sheet'!M$37</f>
        <v>9.0326429016557319E-4</v>
      </c>
      <c r="N72" s="46">
        <f>'Balance Sheet'!N30/'Balance Sheet'!N$37</f>
        <v>8.892313929755142E-4</v>
      </c>
      <c r="O72" s="46">
        <f>'Balance Sheet'!O30/'Balance Sheet'!O$37</f>
        <v>8.7489903902640781E-4</v>
      </c>
      <c r="P72" s="46">
        <f>'Balance Sheet'!P30/'Balance Sheet'!P$37</f>
        <v>8.6055951096487534E-4</v>
      </c>
      <c r="Q72" s="46">
        <f>'Balance Sheet'!Q30/'Balance Sheet'!Q$37</f>
        <v>8.4643153550452497E-4</v>
      </c>
    </row>
    <row r="73" spans="2:17" x14ac:dyDescent="0.25">
      <c r="B73" s="8" t="s">
        <v>48</v>
      </c>
      <c r="C73" s="46">
        <f>'Balance Sheet'!C31/'Balance Sheet'!C$37</f>
        <v>2.4533872132829426E-2</v>
      </c>
      <c r="D73" s="46">
        <f>'Balance Sheet'!D31/'Balance Sheet'!D$37</f>
        <v>5.1880790096157162E-2</v>
      </c>
      <c r="E73" s="46">
        <f>'Balance Sheet'!E31/'Balance Sheet'!E$37</f>
        <v>1.8732300807607596E-2</v>
      </c>
      <c r="F73" s="46">
        <f>'Balance Sheet'!F31/'Balance Sheet'!F$37</f>
        <v>1.6519742129890054E-3</v>
      </c>
      <c r="G73" s="46">
        <f>'Balance Sheet'!G31/'Balance Sheet'!G$37</f>
        <v>1.4684816331819262E-3</v>
      </c>
      <c r="H73" s="46">
        <f>'Balance Sheet'!H31/'Balance Sheet'!H$37</f>
        <v>1.8676438841657893E-2</v>
      </c>
      <c r="I73" s="46">
        <f>'Balance Sheet'!I31/'Balance Sheet'!I$37</f>
        <v>1.8610694325022575E-2</v>
      </c>
      <c r="J73" s="46">
        <f>'Balance Sheet'!J31/'Balance Sheet'!J$37</f>
        <v>1.846545052773773E-2</v>
      </c>
      <c r="K73" s="46">
        <f>'Balance Sheet'!K31/'Balance Sheet'!K$37</f>
        <v>1.8264483176155508E-2</v>
      </c>
      <c r="L73" s="46">
        <f>'Balance Sheet'!L31/'Balance Sheet'!L$37</f>
        <v>1.8025950147325952E-2</v>
      </c>
      <c r="M73" s="46">
        <f>'Balance Sheet'!M31/'Balance Sheet'!M$37</f>
        <v>1.7763558070499695E-2</v>
      </c>
      <c r="N73" s="46">
        <f>'Balance Sheet'!N31/'Balance Sheet'!N$37</f>
        <v>1.7487587696327956E-2</v>
      </c>
      <c r="O73" s="46">
        <f>'Balance Sheet'!O31/'Balance Sheet'!O$37</f>
        <v>1.7205728217951761E-2</v>
      </c>
      <c r="P73" s="46">
        <f>'Balance Sheet'!P31/'Balance Sheet'!P$37</f>
        <v>1.6923727653778125E-2</v>
      </c>
      <c r="Q73" s="46">
        <f>'Balance Sheet'!Q31/'Balance Sheet'!Q$37</f>
        <v>1.6645887474285893E-2</v>
      </c>
    </row>
    <row r="74" spans="2:17" x14ac:dyDescent="0.25">
      <c r="B74" t="s">
        <v>49</v>
      </c>
      <c r="C74" s="46">
        <f>'Balance Sheet'!C32/'Balance Sheet'!C$37</f>
        <v>0</v>
      </c>
      <c r="D74" s="46">
        <f>'Balance Sheet'!D32/'Balance Sheet'!D$37</f>
        <v>7.059252116692929E-3</v>
      </c>
      <c r="E74" s="46">
        <f>'Balance Sheet'!E32/'Balance Sheet'!E$37</f>
        <v>6.4655222645643232E-3</v>
      </c>
      <c r="F74" s="46">
        <f>'Balance Sheet'!F32/'Balance Sheet'!F$37</f>
        <v>7.0349781565707727E-3</v>
      </c>
      <c r="G74" s="46">
        <f>'Balance Sheet'!G32/'Balance Sheet'!G$37</f>
        <v>1.2498290370647643E-3</v>
      </c>
      <c r="H74" s="46">
        <f>'Balance Sheet'!H32/'Balance Sheet'!H$37</f>
        <v>4.1464923464102112E-3</v>
      </c>
      <c r="I74" s="46">
        <f>'Balance Sheet'!I32/'Balance Sheet'!I$37</f>
        <v>4.1318959269665469E-3</v>
      </c>
      <c r="J74" s="46">
        <f>'Balance Sheet'!J32/'Balance Sheet'!J$37</f>
        <v>4.0996492926423499E-3</v>
      </c>
      <c r="K74" s="46">
        <f>'Balance Sheet'!K32/'Balance Sheet'!K$37</f>
        <v>4.0550310657802083E-3</v>
      </c>
      <c r="L74" s="46">
        <f>'Balance Sheet'!L32/'Balance Sheet'!L$37</f>
        <v>4.0020726090426381E-3</v>
      </c>
      <c r="M74" s="46">
        <f>'Balance Sheet'!M32/'Balance Sheet'!M$37</f>
        <v>3.943817031116726E-3</v>
      </c>
      <c r="N74" s="46">
        <f>'Balance Sheet'!N32/'Balance Sheet'!N$37</f>
        <v>3.8825468364055852E-3</v>
      </c>
      <c r="O74" s="46">
        <f>'Balance Sheet'!O32/'Balance Sheet'!O$37</f>
        <v>3.8199691587359431E-3</v>
      </c>
      <c r="P74" s="46">
        <f>'Balance Sheet'!P32/'Balance Sheet'!P$37</f>
        <v>3.757360157579835E-3</v>
      </c>
      <c r="Q74" s="46">
        <f>'Balance Sheet'!Q32/'Balance Sheet'!Q$37</f>
        <v>3.6956748337578166E-3</v>
      </c>
    </row>
    <row r="75" spans="2:17" x14ac:dyDescent="0.25">
      <c r="B75" t="s">
        <v>50</v>
      </c>
      <c r="C75" s="46">
        <f>'Balance Sheet'!C33/'Balance Sheet'!C$37</f>
        <v>5.0237644078265512E-3</v>
      </c>
      <c r="D75" s="46">
        <f>'Balance Sheet'!D33/'Balance Sheet'!D$37</f>
        <v>4.7014975753723563E-3</v>
      </c>
      <c r="E75" s="46">
        <f>'Balance Sheet'!E33/'Balance Sheet'!E$37</f>
        <v>4.5158433264575982E-3</v>
      </c>
      <c r="F75" s="46">
        <f>'Balance Sheet'!F33/'Balance Sheet'!F$37</f>
        <v>3.2905032737956939E-2</v>
      </c>
      <c r="G75" s="46">
        <f>'Balance Sheet'!G33/'Balance Sheet'!G$37</f>
        <v>2.9082594893427103E-2</v>
      </c>
      <c r="H75" s="46">
        <f>'Balance Sheet'!H33/'Balance Sheet'!H$37</f>
        <v>1.5888349936680986E-2</v>
      </c>
      <c r="I75" s="46">
        <f>'Balance Sheet'!I33/'Balance Sheet'!I$37</f>
        <v>1.5832420008305675E-2</v>
      </c>
      <c r="J75" s="46">
        <f>'Balance Sheet'!J33/'Balance Sheet'!J$37</f>
        <v>1.5708858750350722E-2</v>
      </c>
      <c r="K75" s="46">
        <f>'Balance Sheet'!K33/'Balance Sheet'!K$37</f>
        <v>1.5537892559480102E-2</v>
      </c>
      <c r="L75" s="46">
        <f>'Balance Sheet'!L33/'Balance Sheet'!L$37</f>
        <v>1.5334968636689905E-2</v>
      </c>
      <c r="M75" s="46">
        <f>'Balance Sheet'!M33/'Balance Sheet'!M$37</f>
        <v>1.5111747434159094E-2</v>
      </c>
      <c r="N75" s="46">
        <f>'Balance Sheet'!N33/'Balance Sheet'!N$37</f>
        <v>1.4876974953485887E-2</v>
      </c>
      <c r="O75" s="46">
        <f>'Balance Sheet'!O33/'Balance Sheet'!O$37</f>
        <v>1.4637192516192627E-2</v>
      </c>
      <c r="P75" s="46">
        <f>'Balance Sheet'!P33/'Balance Sheet'!P$37</f>
        <v>1.4397290054919422E-2</v>
      </c>
      <c r="Q75" s="46">
        <f>'Balance Sheet'!Q33/'Balance Sheet'!Q$37</f>
        <v>1.4160926900483551E-2</v>
      </c>
    </row>
    <row r="76" spans="2:17" x14ac:dyDescent="0.25">
      <c r="C76" s="46"/>
      <c r="D76" s="46"/>
      <c r="E76" s="46"/>
      <c r="F76" s="46"/>
      <c r="G76" s="46"/>
      <c r="H76" s="46"/>
      <c r="I76" s="46"/>
      <c r="J76" s="46"/>
      <c r="K76" s="46"/>
      <c r="L76" s="46"/>
      <c r="M76" s="46"/>
      <c r="N76" s="46"/>
      <c r="O76" s="46"/>
      <c r="P76" s="46"/>
      <c r="Q76" s="46"/>
    </row>
    <row r="77" spans="2:17" x14ac:dyDescent="0.25">
      <c r="B77" s="9" t="s">
        <v>51</v>
      </c>
      <c r="C77" s="209">
        <f>'Balance Sheet'!C35/'Balance Sheet'!C$37</f>
        <v>0.30982715842589587</v>
      </c>
      <c r="D77" s="209">
        <f>'Balance Sheet'!D35/'Balance Sheet'!D$37</f>
        <v>0.34376978329293356</v>
      </c>
      <c r="E77" s="209">
        <f>'Balance Sheet'!E35/'Balance Sheet'!E$37</f>
        <v>0.28659814238599679</v>
      </c>
      <c r="F77" s="209">
        <f>'Balance Sheet'!F35/'Balance Sheet'!F$37</f>
        <v>0.29253685306327026</v>
      </c>
      <c r="G77" s="209">
        <f>'Balance Sheet'!G35/'Balance Sheet'!G$37</f>
        <v>0.26047013007579956</v>
      </c>
      <c r="H77" s="209">
        <f>'Balance Sheet'!H35/'Balance Sheet'!H$37</f>
        <v>0.2823516582845747</v>
      </c>
      <c r="I77" s="209">
        <f>'Balance Sheet'!I35/'Balance Sheet'!I$37</f>
        <v>0.30760580743169857</v>
      </c>
      <c r="J77" s="209">
        <f>'Balance Sheet'!J35/'Balance Sheet'!J$37</f>
        <v>0.32358258393692557</v>
      </c>
      <c r="K77" s="209">
        <f>'Balance Sheet'!K35/'Balance Sheet'!K$37</f>
        <v>0.33195605794154681</v>
      </c>
      <c r="L77" s="209">
        <f>'Balance Sheet'!L35/'Balance Sheet'!L$37</f>
        <v>0.33411452093786748</v>
      </c>
      <c r="M77" s="209">
        <f>'Balance Sheet'!M35/'Balance Sheet'!M$37</f>
        <v>0.33118337176706597</v>
      </c>
      <c r="N77" s="209">
        <f>'Balance Sheet'!N35/'Balance Sheet'!N$37</f>
        <v>0.32406167937274938</v>
      </c>
      <c r="O77" s="209">
        <f>'Balance Sheet'!O35/'Balance Sheet'!O$37</f>
        <v>0.31346070161367445</v>
      </c>
      <c r="P77" s="209">
        <f>'Balance Sheet'!P35/'Balance Sheet'!P$37</f>
        <v>0.29993902830963209</v>
      </c>
      <c r="Q77" s="209">
        <f>'Balance Sheet'!Q35/'Balance Sheet'!Q$37</f>
        <v>0.28393245517006138</v>
      </c>
    </row>
    <row r="78" spans="2:17" x14ac:dyDescent="0.25">
      <c r="C78" s="46"/>
      <c r="D78" s="46"/>
      <c r="E78" s="46"/>
      <c r="F78" s="46"/>
      <c r="G78" s="46"/>
      <c r="H78" s="46"/>
      <c r="I78" s="46"/>
      <c r="J78" s="46"/>
      <c r="K78" s="46"/>
      <c r="L78" s="46"/>
      <c r="M78" s="46"/>
      <c r="N78" s="46"/>
      <c r="O78" s="46"/>
      <c r="P78" s="46"/>
      <c r="Q78" s="46"/>
    </row>
    <row r="79" spans="2:17" x14ac:dyDescent="0.25">
      <c r="B79" s="10" t="s">
        <v>52</v>
      </c>
      <c r="C79" s="210">
        <f>'Balance Sheet'!C37/'Balance Sheet'!C$37</f>
        <v>1</v>
      </c>
      <c r="D79" s="210">
        <f>'Balance Sheet'!D37/'Balance Sheet'!D$37</f>
        <v>1</v>
      </c>
      <c r="E79" s="210">
        <f>'Balance Sheet'!E37/'Balance Sheet'!E$37</f>
        <v>1</v>
      </c>
      <c r="F79" s="210">
        <f>'Balance Sheet'!F37/'Balance Sheet'!F$37</f>
        <v>1</v>
      </c>
      <c r="G79" s="210">
        <f>'Balance Sheet'!G37/'Balance Sheet'!G$37</f>
        <v>1</v>
      </c>
      <c r="H79" s="210">
        <f>'Balance Sheet'!H37/'Balance Sheet'!H$37</f>
        <v>1</v>
      </c>
      <c r="I79" s="210">
        <f>'Balance Sheet'!I37/'Balance Sheet'!I$37</f>
        <v>1</v>
      </c>
      <c r="J79" s="210">
        <f>'Balance Sheet'!J37/'Balance Sheet'!J$37</f>
        <v>1</v>
      </c>
      <c r="K79" s="210">
        <f>'Balance Sheet'!K37/'Balance Sheet'!K$37</f>
        <v>1</v>
      </c>
      <c r="L79" s="210">
        <f>'Balance Sheet'!L37/'Balance Sheet'!L$37</f>
        <v>1</v>
      </c>
      <c r="M79" s="210">
        <f>'Balance Sheet'!M37/'Balance Sheet'!M$37</f>
        <v>1</v>
      </c>
      <c r="N79" s="210">
        <f>'Balance Sheet'!N37/'Balance Sheet'!N$37</f>
        <v>1</v>
      </c>
      <c r="O79" s="210">
        <f>'Balance Sheet'!O37/'Balance Sheet'!O$37</f>
        <v>1</v>
      </c>
      <c r="P79" s="210">
        <f>'Balance Sheet'!P37/'Balance Sheet'!P$37</f>
        <v>1</v>
      </c>
      <c r="Q79" s="210">
        <f>'Balance Sheet'!Q37/'Balance Sheet'!Q$37</f>
        <v>1</v>
      </c>
    </row>
    <row r="80" spans="2:17" x14ac:dyDescent="0.25">
      <c r="C80" s="46"/>
      <c r="D80" s="46"/>
      <c r="E80" s="46"/>
      <c r="F80" s="46"/>
      <c r="G80" s="46"/>
      <c r="H80" s="46"/>
      <c r="I80" s="46"/>
      <c r="J80" s="46"/>
      <c r="K80" s="46"/>
      <c r="L80" s="46"/>
      <c r="M80" s="46"/>
      <c r="N80" s="46"/>
      <c r="O80" s="46"/>
      <c r="P80" s="46"/>
      <c r="Q80" s="46"/>
    </row>
    <row r="81" spans="2:17" x14ac:dyDescent="0.25">
      <c r="B81" s="1" t="s">
        <v>53</v>
      </c>
      <c r="C81" s="46"/>
      <c r="D81" s="46"/>
      <c r="E81" s="46"/>
      <c r="F81" s="46"/>
      <c r="G81" s="46"/>
      <c r="H81" s="46"/>
      <c r="I81" s="46"/>
      <c r="J81" s="46"/>
      <c r="K81" s="46"/>
      <c r="L81" s="46"/>
      <c r="M81" s="46"/>
      <c r="N81" s="46"/>
      <c r="O81" s="46"/>
      <c r="P81" s="46"/>
      <c r="Q81" s="46"/>
    </row>
    <row r="82" spans="2:17" x14ac:dyDescent="0.25">
      <c r="B82" s="1" t="s">
        <v>54</v>
      </c>
      <c r="C82" s="46"/>
      <c r="D82" s="46"/>
      <c r="E82" s="46"/>
      <c r="F82" s="46"/>
      <c r="G82" s="46"/>
      <c r="H82" s="46"/>
      <c r="I82" s="46"/>
      <c r="J82" s="46"/>
      <c r="K82" s="46"/>
      <c r="L82" s="46"/>
      <c r="M82" s="46"/>
      <c r="N82" s="46"/>
      <c r="O82" s="46"/>
      <c r="P82" s="46"/>
      <c r="Q82" s="46"/>
    </row>
    <row r="83" spans="2:17" x14ac:dyDescent="0.25">
      <c r="B83" t="s">
        <v>55</v>
      </c>
      <c r="C83" s="46">
        <f>'Balance Sheet'!C41/'Balance Sheet'!C$37</f>
        <v>1.140063441546885E-2</v>
      </c>
      <c r="D83" s="46">
        <f>'Balance Sheet'!D41/'Balance Sheet'!D$37</f>
        <v>2.3087142658798146E-2</v>
      </c>
      <c r="E83" s="46">
        <f>'Balance Sheet'!E41/'Balance Sheet'!E$37</f>
        <v>2.1122492978591988E-2</v>
      </c>
      <c r="F83" s="46">
        <f>'Balance Sheet'!F41/'Balance Sheet'!F$37</f>
        <v>1.7918631125329577E-2</v>
      </c>
      <c r="G83" s="46">
        <f>'Balance Sheet'!G41/'Balance Sheet'!G$37</f>
        <v>1.6309864021480141E-2</v>
      </c>
      <c r="H83" s="46">
        <f>'Balance Sheet'!H41/'Balance Sheet'!H$37</f>
        <v>1.4950180770033418E-2</v>
      </c>
      <c r="I83" s="46">
        <f>'Balance Sheet'!I41/'Balance Sheet'!I$37</f>
        <v>1.3256896082470743E-2</v>
      </c>
      <c r="J83" s="46">
        <f>'Balance Sheet'!J41/'Balance Sheet'!J$37</f>
        <v>1.1808896750610464E-2</v>
      </c>
      <c r="K83" s="46">
        <f>'Balance Sheet'!K41/'Balance Sheet'!K$37</f>
        <v>1.0572873061898806E-2</v>
      </c>
      <c r="L83" s="46">
        <f>'Balance Sheet'!L41/'Balance Sheet'!L$37</f>
        <v>9.5175870978228567E-3</v>
      </c>
      <c r="M83" s="46">
        <f>'Balance Sheet'!M41/'Balance Sheet'!M$37</f>
        <v>8.6152209580692158E-3</v>
      </c>
      <c r="N83" s="46">
        <f>'Balance Sheet'!N41/'Balance Sheet'!N$37</f>
        <v>7.8417481028475542E-3</v>
      </c>
      <c r="O83" s="46">
        <f>'Balance Sheet'!O41/'Balance Sheet'!O$37</f>
        <v>7.1767977542912973E-3</v>
      </c>
      <c r="P83" s="46">
        <f>'Balance Sheet'!P41/'Balance Sheet'!P$37</f>
        <v>6.6032899210170309E-3</v>
      </c>
      <c r="Q83" s="46">
        <f>'Balance Sheet'!Q41/'Balance Sheet'!Q$37</f>
        <v>6.1069945599269478E-3</v>
      </c>
    </row>
    <row r="84" spans="2:17" x14ac:dyDescent="0.25">
      <c r="B84" t="s">
        <v>56</v>
      </c>
      <c r="C84" s="46">
        <f>'Balance Sheet'!C42/'Balance Sheet'!C$37</f>
        <v>0.4469933313093456</v>
      </c>
      <c r="D84" s="46">
        <f>'Balance Sheet'!D42/'Balance Sheet'!D$37</f>
        <v>0.55214637184757009</v>
      </c>
      <c r="E84" s="46">
        <f>'Balance Sheet'!E42/'Balance Sheet'!E$37</f>
        <v>0.55225326014753695</v>
      </c>
      <c r="F84" s="46">
        <f>'Balance Sheet'!F42/'Balance Sheet'!F$37</f>
        <v>0.5050355060765167</v>
      </c>
      <c r="G84" s="46">
        <f>'Balance Sheet'!G42/'Balance Sheet'!G$37</f>
        <v>0.488041592582728</v>
      </c>
      <c r="H84" s="46">
        <f>'Balance Sheet'!H42/'Balance Sheet'!H$37</f>
        <v>0.50617472479421055</v>
      </c>
      <c r="I84" s="46">
        <f>'Balance Sheet'!I42/'Balance Sheet'!I$37</f>
        <v>0.50955373832329875</v>
      </c>
      <c r="J84" s="46">
        <f>'Balance Sheet'!J42/'Balance Sheet'!J$37</f>
        <v>0.51472587573794226</v>
      </c>
      <c r="K84" s="46">
        <f>'Balance Sheet'!K42/'Balance Sheet'!K$37</f>
        <v>0.52111482286582611</v>
      </c>
      <c r="L84" s="46">
        <f>'Balance Sheet'!L42/'Balance Sheet'!L$37</f>
        <v>0.52828623876640879</v>
      </c>
      <c r="M84" s="46">
        <f>'Balance Sheet'!M42/'Balance Sheet'!M$37</f>
        <v>0.53591649514448214</v>
      </c>
      <c r="N84" s="46">
        <f>'Balance Sheet'!N42/'Balance Sheet'!N$37</f>
        <v>0.54376601392652113</v>
      </c>
      <c r="O84" s="46">
        <f>'Balance Sheet'!O42/'Balance Sheet'!O$37</f>
        <v>0.55165801036610984</v>
      </c>
      <c r="P84" s="46">
        <f>'Balance Sheet'!P42/'Balance Sheet'!P$37</f>
        <v>0.55946218181488938</v>
      </c>
      <c r="Q84" s="46">
        <f>'Balance Sheet'!Q42/'Balance Sheet'!Q$37</f>
        <v>0.56708246603276391</v>
      </c>
    </row>
    <row r="85" spans="2:17" x14ac:dyDescent="0.25">
      <c r="B85" t="s">
        <v>57</v>
      </c>
      <c r="C85" s="46">
        <f>'Balance Sheet'!C43/'Balance Sheet'!C$37</f>
        <v>1.6017420253138053E-3</v>
      </c>
      <c r="D85" s="46">
        <f>'Balance Sheet'!D43/'Balance Sheet'!D$37</f>
        <v>9.1711683941156778E-5</v>
      </c>
      <c r="E85" s="46">
        <f>'Balance Sheet'!E43/'Balance Sheet'!E$37</f>
        <v>8.3907282452889563E-5</v>
      </c>
      <c r="F85" s="46">
        <f>'Balance Sheet'!F43/'Balance Sheet'!F$37</f>
        <v>7.1180217435791966E-5</v>
      </c>
      <c r="G85" s="46">
        <f>'Balance Sheet'!G43/'Balance Sheet'!G$37</f>
        <v>8.9980492229284685E-6</v>
      </c>
      <c r="H85" s="46">
        <f>'Balance Sheet'!H43/'Balance Sheet'!H$37</f>
        <v>0</v>
      </c>
      <c r="I85" s="46">
        <f>'Balance Sheet'!I43/'Balance Sheet'!I$37</f>
        <v>0</v>
      </c>
      <c r="J85" s="46">
        <f>'Balance Sheet'!J43/'Balance Sheet'!J$37</f>
        <v>0</v>
      </c>
      <c r="K85" s="46">
        <f>'Balance Sheet'!K43/'Balance Sheet'!K$37</f>
        <v>0</v>
      </c>
      <c r="L85" s="46">
        <f>'Balance Sheet'!L43/'Balance Sheet'!L$37</f>
        <v>0</v>
      </c>
      <c r="M85" s="46">
        <f>'Balance Sheet'!M43/'Balance Sheet'!M$37</f>
        <v>0</v>
      </c>
      <c r="N85" s="46">
        <f>'Balance Sheet'!N43/'Balance Sheet'!N$37</f>
        <v>0</v>
      </c>
      <c r="O85" s="46">
        <f>'Balance Sheet'!O43/'Balance Sheet'!O$37</f>
        <v>0</v>
      </c>
      <c r="P85" s="46">
        <f>'Balance Sheet'!P43/'Balance Sheet'!P$37</f>
        <v>0</v>
      </c>
      <c r="Q85" s="46">
        <f>'Balance Sheet'!Q43/'Balance Sheet'!Q$37</f>
        <v>0</v>
      </c>
    </row>
    <row r="86" spans="2:17" x14ac:dyDescent="0.25">
      <c r="B86" s="10" t="s">
        <v>58</v>
      </c>
      <c r="C86" s="210">
        <f>'Balance Sheet'!C44/'Balance Sheet'!C$37</f>
        <v>0.45999570775012821</v>
      </c>
      <c r="D86" s="210">
        <f>'Balance Sheet'!D44/'Balance Sheet'!D$37</f>
        <v>0.57532522619030946</v>
      </c>
      <c r="E86" s="210">
        <f>'Balance Sheet'!E44/'Balance Sheet'!E$37</f>
        <v>0.57345966040858187</v>
      </c>
      <c r="F86" s="210">
        <f>'Balance Sheet'!F44/'Balance Sheet'!F$37</f>
        <v>0.52302531741928204</v>
      </c>
      <c r="G86" s="210">
        <f>'Balance Sheet'!G44/'Balance Sheet'!G$37</f>
        <v>0.50436045465343116</v>
      </c>
      <c r="H86" s="210">
        <f>'Balance Sheet'!H44/'Balance Sheet'!H$37</f>
        <v>0.52112490556424407</v>
      </c>
      <c r="I86" s="210">
        <f>'Balance Sheet'!I44/'Balance Sheet'!I$37</f>
        <v>0.52281063440576958</v>
      </c>
      <c r="J86" s="210">
        <f>'Balance Sheet'!J44/'Balance Sheet'!J$37</f>
        <v>0.52653477248855274</v>
      </c>
      <c r="K86" s="210">
        <f>'Balance Sheet'!K44/'Balance Sheet'!K$37</f>
        <v>0.53168769592772491</v>
      </c>
      <c r="L86" s="210">
        <f>'Balance Sheet'!L44/'Balance Sheet'!L$37</f>
        <v>0.53780382586423159</v>
      </c>
      <c r="M86" s="210">
        <f>'Balance Sheet'!M44/'Balance Sheet'!M$37</f>
        <v>0.54453171610255147</v>
      </c>
      <c r="N86" s="210">
        <f>'Balance Sheet'!N44/'Balance Sheet'!N$37</f>
        <v>0.55160776202936868</v>
      </c>
      <c r="O86" s="210">
        <f>'Balance Sheet'!O44/'Balance Sheet'!O$37</f>
        <v>0.55883480812040121</v>
      </c>
      <c r="P86" s="210">
        <f>'Balance Sheet'!P44/'Balance Sheet'!P$37</f>
        <v>0.56606547173590649</v>
      </c>
      <c r="Q86" s="210">
        <f>'Balance Sheet'!Q44/'Balance Sheet'!Q$37</f>
        <v>0.57318946059269082</v>
      </c>
    </row>
    <row r="87" spans="2:17" x14ac:dyDescent="0.25">
      <c r="C87" s="46"/>
      <c r="D87" s="46"/>
      <c r="E87" s="46"/>
      <c r="F87" s="46"/>
      <c r="G87" s="46"/>
      <c r="H87" s="46"/>
      <c r="I87" s="46"/>
      <c r="J87" s="46"/>
      <c r="K87" s="46"/>
      <c r="L87" s="46"/>
      <c r="M87" s="46"/>
      <c r="N87" s="46"/>
      <c r="O87" s="46"/>
      <c r="P87" s="46"/>
      <c r="Q87" s="46"/>
    </row>
    <row r="88" spans="2:17" x14ac:dyDescent="0.25">
      <c r="B88" s="1" t="s">
        <v>59</v>
      </c>
      <c r="C88" s="46"/>
      <c r="D88" s="46"/>
      <c r="E88" s="46"/>
      <c r="F88" s="46"/>
      <c r="G88" s="46"/>
      <c r="H88" s="46"/>
      <c r="I88" s="46"/>
      <c r="J88" s="46"/>
      <c r="K88" s="46"/>
      <c r="L88" s="46"/>
      <c r="M88" s="46"/>
      <c r="N88" s="46"/>
      <c r="O88" s="46"/>
      <c r="P88" s="46"/>
      <c r="Q88" s="46"/>
    </row>
    <row r="89" spans="2:17" x14ac:dyDescent="0.25">
      <c r="B89" s="1" t="s">
        <v>60</v>
      </c>
      <c r="C89" s="46"/>
      <c r="D89" s="46"/>
      <c r="E89" s="46"/>
      <c r="F89" s="46"/>
      <c r="G89" s="46"/>
      <c r="H89" s="46"/>
      <c r="I89" s="46"/>
      <c r="J89" s="46"/>
      <c r="K89" s="46"/>
      <c r="L89" s="46"/>
      <c r="M89" s="46"/>
      <c r="N89" s="46"/>
      <c r="O89" s="46"/>
      <c r="P89" s="46"/>
      <c r="Q89" s="46"/>
    </row>
    <row r="90" spans="2:17" x14ac:dyDescent="0.25">
      <c r="B90" t="s">
        <v>61</v>
      </c>
      <c r="C90" s="46"/>
      <c r="D90" s="46"/>
      <c r="E90" s="46"/>
      <c r="F90" s="46"/>
      <c r="G90" s="46"/>
      <c r="H90" s="46"/>
      <c r="I90" s="46"/>
      <c r="J90" s="46"/>
      <c r="K90" s="46"/>
      <c r="L90" s="46"/>
      <c r="M90" s="46"/>
      <c r="N90" s="46"/>
      <c r="O90" s="46"/>
      <c r="P90" s="46"/>
      <c r="Q90" s="46"/>
    </row>
    <row r="91" spans="2:17" x14ac:dyDescent="0.25">
      <c r="B91" t="s">
        <v>62</v>
      </c>
      <c r="C91" s="46">
        <f>'Balance Sheet'!C49/'Balance Sheet'!C$37</f>
        <v>0.16593864176463813</v>
      </c>
      <c r="D91" s="46">
        <f>'Balance Sheet'!D49/'Balance Sheet'!D$37</f>
        <v>0.11844181848983977</v>
      </c>
      <c r="E91" s="46">
        <f>'Balance Sheet'!E49/'Balance Sheet'!E$37</f>
        <v>7.3967765618991016E-2</v>
      </c>
      <c r="F91" s="46">
        <f>'Balance Sheet'!F49/'Balance Sheet'!F$37</f>
        <v>0.15065194158872264</v>
      </c>
      <c r="G91" s="46">
        <f>'Balance Sheet'!G49/'Balance Sheet'!G$37</f>
        <v>0.16803137079881081</v>
      </c>
      <c r="H91" s="46">
        <f>'Balance Sheet'!H49/'Balance Sheet'!H$37</f>
        <v>0.13918522352424029</v>
      </c>
      <c r="I91" s="46">
        <f>'Balance Sheet'!I49/'Balance Sheet'!I$37</f>
        <v>0.13869526581222888</v>
      </c>
      <c r="J91" s="46">
        <f>'Balance Sheet'!J49/'Balance Sheet'!J$37</f>
        <v>0.13761284369942708</v>
      </c>
      <c r="K91" s="46">
        <f>'Balance Sheet'!K49/'Balance Sheet'!K$37</f>
        <v>0.13611514459371454</v>
      </c>
      <c r="L91" s="46">
        <f>'Balance Sheet'!L49/'Balance Sheet'!L$37</f>
        <v>0.13433748916287819</v>
      </c>
      <c r="M91" s="46">
        <f>'Balance Sheet'!M49/'Balance Sheet'!M$37</f>
        <v>0.13238202537378627</v>
      </c>
      <c r="N91" s="46">
        <f>'Balance Sheet'!N49/'Balance Sheet'!N$37</f>
        <v>0.13032537000491123</v>
      </c>
      <c r="O91" s="46">
        <f>'Balance Sheet'!O49/'Balance Sheet'!O$37</f>
        <v>0.12822482638239194</v>
      </c>
      <c r="P91" s="46">
        <f>'Balance Sheet'!P49/'Balance Sheet'!P$37</f>
        <v>0.12612323132504505</v>
      </c>
      <c r="Q91" s="46">
        <f>'Balance Sheet'!Q49/'Balance Sheet'!Q$37</f>
        <v>0.12405264132582182</v>
      </c>
    </row>
    <row r="92" spans="2:17" x14ac:dyDescent="0.25">
      <c r="B92" t="s">
        <v>63</v>
      </c>
      <c r="C92" s="46">
        <f>'Balance Sheet'!C50/'Balance Sheet'!C$37</f>
        <v>0</v>
      </c>
      <c r="D92" s="46">
        <f>'Balance Sheet'!D50/'Balance Sheet'!D$37</f>
        <v>1.8991961216147882E-3</v>
      </c>
      <c r="E92" s="46">
        <f>'Balance Sheet'!E50/'Balance Sheet'!E$37</f>
        <v>2.9437471593888754E-3</v>
      </c>
      <c r="F92" s="46">
        <f>'Balance Sheet'!F50/'Balance Sheet'!F$37</f>
        <v>4.8748562802206977E-3</v>
      </c>
      <c r="G92" s="46">
        <f>'Balance Sheet'!G50/'Balance Sheet'!G$37</f>
        <v>4.2407805987661872E-3</v>
      </c>
      <c r="H92" s="46">
        <f>'Balance Sheet'!H50/'Balance Sheet'!H$37</f>
        <v>2.7790738562759286E-3</v>
      </c>
      <c r="I92" s="46">
        <f>'Balance Sheet'!I50/'Balance Sheet'!I$37</f>
        <v>2.7692910026535789E-3</v>
      </c>
      <c r="J92" s="46">
        <f>'Balance Sheet'!J50/'Balance Sheet'!J$37</f>
        <v>2.7476785719732595E-3</v>
      </c>
      <c r="K92" s="46">
        <f>'Balance Sheet'!K50/'Balance Sheet'!K$37</f>
        <v>2.7177744174670258E-3</v>
      </c>
      <c r="L92" s="46">
        <f>'Balance Sheet'!L50/'Balance Sheet'!L$37</f>
        <v>2.6822804504480061E-3</v>
      </c>
      <c r="M92" s="46">
        <f>'Balance Sheet'!M50/'Balance Sheet'!M$37</f>
        <v>2.6432362318480826E-3</v>
      </c>
      <c r="N92" s="46">
        <f>'Balance Sheet'!N50/'Balance Sheet'!N$37</f>
        <v>2.6021715482395192E-3</v>
      </c>
      <c r="O92" s="46">
        <f>'Balance Sheet'!O50/'Balance Sheet'!O$37</f>
        <v>2.5602305596956181E-3</v>
      </c>
      <c r="P92" s="46">
        <f>'Balance Sheet'!P50/'Balance Sheet'!P$37</f>
        <v>2.5182685774358111E-3</v>
      </c>
      <c r="Q92" s="46">
        <f>'Balance Sheet'!Q50/'Balance Sheet'!Q$37</f>
        <v>2.4769256648176081E-3</v>
      </c>
    </row>
    <row r="93" spans="2:17" x14ac:dyDescent="0.25">
      <c r="B93" t="s">
        <v>64</v>
      </c>
      <c r="C93" s="46">
        <f>'Balance Sheet'!C51/'Balance Sheet'!C$37</f>
        <v>2.9366579076852209E-2</v>
      </c>
      <c r="D93" s="46">
        <f>'Balance Sheet'!D51/'Balance Sheet'!D$37</f>
        <v>2.8479025410505326E-2</v>
      </c>
      <c r="E93" s="46">
        <f>'Balance Sheet'!E51/'Balance Sheet'!E$37</f>
        <v>2.5266580428626371E-2</v>
      </c>
      <c r="F93" s="46">
        <f>'Balance Sheet'!F51/'Balance Sheet'!F$37</f>
        <v>1.7329417103222187E-2</v>
      </c>
      <c r="G93" s="46">
        <f>'Balance Sheet'!G51/'Balance Sheet'!G$37</f>
        <v>1.0092212008436571E-2</v>
      </c>
      <c r="H93" s="46">
        <f>'Balance Sheet'!H51/'Balance Sheet'!H$37</f>
        <v>2.2006413312142203E-2</v>
      </c>
      <c r="I93" s="46">
        <f>'Balance Sheet'!I51/'Balance Sheet'!I$37</f>
        <v>2.1928946669901139E-2</v>
      </c>
      <c r="J93" s="46">
        <f>'Balance Sheet'!J51/'Balance Sheet'!J$37</f>
        <v>2.175780617244474E-2</v>
      </c>
      <c r="K93" s="46">
        <f>'Balance Sheet'!K51/'Balance Sheet'!K$37</f>
        <v>2.1521006714118648E-2</v>
      </c>
      <c r="L93" s="46">
        <f>'Balance Sheet'!L51/'Balance Sheet'!L$37</f>
        <v>2.1239943687835935E-2</v>
      </c>
      <c r="M93" s="46">
        <f>'Balance Sheet'!M51/'Balance Sheet'!M$37</f>
        <v>2.0930767589468064E-2</v>
      </c>
      <c r="N93" s="46">
        <f>'Balance Sheet'!N51/'Balance Sheet'!N$37</f>
        <v>2.0605592208474997E-2</v>
      </c>
      <c r="O93" s="46">
        <f>'Balance Sheet'!O51/'Balance Sheet'!O$37</f>
        <v>2.0273477706900096E-2</v>
      </c>
      <c r="P93" s="46">
        <f>'Balance Sheet'!P51/'Balance Sheet'!P$37</f>
        <v>1.9941196964191256E-2</v>
      </c>
      <c r="Q93" s="46">
        <f>'Balance Sheet'!Q51/'Balance Sheet'!Q$37</f>
        <v>1.9613818395050553E-2</v>
      </c>
    </row>
    <row r="94" spans="2:17" x14ac:dyDescent="0.25">
      <c r="B94" t="s">
        <v>65</v>
      </c>
      <c r="C94" s="46">
        <f>'Balance Sheet'!C52/'Balance Sheet'!C$37</f>
        <v>0</v>
      </c>
      <c r="D94" s="46">
        <f>'Balance Sheet'!D52/'Balance Sheet'!D$37</f>
        <v>0</v>
      </c>
      <c r="E94" s="46">
        <f>'Balance Sheet'!E52/'Balance Sheet'!E$37</f>
        <v>0</v>
      </c>
      <c r="F94" s="46">
        <f>'Balance Sheet'!F52/'Balance Sheet'!F$37</f>
        <v>1.3603330443284687E-3</v>
      </c>
      <c r="G94" s="46">
        <f>'Balance Sheet'!G52/'Balance Sheet'!G$37</f>
        <v>1.3668036769628343E-3</v>
      </c>
      <c r="H94" s="46">
        <f>'Balance Sheet'!H52/'Balance Sheet'!H$37</f>
        <v>7.2041085937322004E-4</v>
      </c>
      <c r="I94" s="46">
        <f>'Balance Sheet'!I52/'Balance Sheet'!I$37</f>
        <v>7.1787487999675132E-4</v>
      </c>
      <c r="J94" s="46">
        <f>'Balance Sheet'!J52/'Balance Sheet'!J$37</f>
        <v>7.1227235535553245E-4</v>
      </c>
      <c r="K94" s="46">
        <f>'Balance Sheet'!K52/'Balance Sheet'!K$37</f>
        <v>7.0452039237764517E-4</v>
      </c>
      <c r="L94" s="46">
        <f>'Balance Sheet'!L52/'Balance Sheet'!L$37</f>
        <v>6.9531939931119903E-4</v>
      </c>
      <c r="M94" s="46">
        <f>'Balance Sheet'!M52/'Balance Sheet'!M$37</f>
        <v>6.8519808533042592E-4</v>
      </c>
      <c r="N94" s="46">
        <f>'Balance Sheet'!N52/'Balance Sheet'!N$37</f>
        <v>6.745530123534962E-4</v>
      </c>
      <c r="O94" s="46">
        <f>'Balance Sheet'!O52/'Balance Sheet'!O$37</f>
        <v>6.6368077751466999E-4</v>
      </c>
      <c r="P94" s="46">
        <f>'Balance Sheet'!P52/'Balance Sheet'!P$37</f>
        <v>6.5280310053875091E-4</v>
      </c>
      <c r="Q94" s="46">
        <f>'Balance Sheet'!Q52/'Balance Sheet'!Q$37</f>
        <v>6.4208590310226997E-4</v>
      </c>
    </row>
    <row r="95" spans="2:17" x14ac:dyDescent="0.25">
      <c r="C95" s="46"/>
      <c r="D95" s="46"/>
      <c r="E95" s="46"/>
      <c r="F95" s="46"/>
      <c r="G95" s="46"/>
      <c r="H95" s="46"/>
      <c r="I95" s="46"/>
      <c r="J95" s="46"/>
      <c r="K95" s="46"/>
      <c r="L95" s="46"/>
      <c r="M95" s="46"/>
      <c r="N95" s="46"/>
      <c r="O95" s="46"/>
      <c r="P95" s="46"/>
      <c r="Q95" s="46"/>
    </row>
    <row r="96" spans="2:17" x14ac:dyDescent="0.25">
      <c r="B96" s="9" t="s">
        <v>66</v>
      </c>
      <c r="C96" s="209">
        <f>'Balance Sheet'!C54/'Balance Sheet'!C$37</f>
        <v>0.22591890788413019</v>
      </c>
      <c r="D96" s="209">
        <f>'Balance Sheet'!D54/'Balance Sheet'!D$37</f>
        <v>0.14882004002195987</v>
      </c>
      <c r="E96" s="209">
        <f>'Balance Sheet'!E54/'Balance Sheet'!E$37</f>
        <v>0.10217809320700626</v>
      </c>
      <c r="F96" s="209">
        <f>'Balance Sheet'!F54/'Balance Sheet'!F$37</f>
        <v>0.17421654801649397</v>
      </c>
      <c r="G96" s="209">
        <f>'Balance Sheet'!G54/'Balance Sheet'!G$37</f>
        <v>0.18373116708297643</v>
      </c>
      <c r="H96" s="209">
        <f>'Balance Sheet'!H54/'Balance Sheet'!H$37</f>
        <v>0.17173317096457558</v>
      </c>
      <c r="I96" s="209">
        <f>'Balance Sheet'!I54/'Balance Sheet'!I$37</f>
        <v>0.17112863846183032</v>
      </c>
      <c r="J96" s="209">
        <f>'Balance Sheet'!J54/'Balance Sheet'!J$37</f>
        <v>0.16979309595920786</v>
      </c>
      <c r="K96" s="209">
        <f>'Balance Sheet'!K54/'Balance Sheet'!K$37</f>
        <v>0.16794516548165953</v>
      </c>
      <c r="L96" s="209">
        <f>'Balance Sheet'!L54/'Balance Sheet'!L$37</f>
        <v>0.1657518119324104</v>
      </c>
      <c r="M96" s="209">
        <f>'Balance Sheet'!M54/'Balance Sheet'!M$37</f>
        <v>0.16333907020089553</v>
      </c>
      <c r="N96" s="209">
        <f>'Balance Sheet'!N54/'Balance Sheet'!N$37</f>
        <v>0.16080147361459757</v>
      </c>
      <c r="O96" s="209">
        <f>'Balance Sheet'!O54/'Balance Sheet'!O$37</f>
        <v>0.15820972566958796</v>
      </c>
      <c r="P96" s="209">
        <f>'Balance Sheet'!P54/'Balance Sheet'!P$37</f>
        <v>0.15561668041562246</v>
      </c>
      <c r="Q96" s="209">
        <f>'Balance Sheet'!Q54/'Balance Sheet'!Q$37</f>
        <v>0.1530618906374373</v>
      </c>
    </row>
    <row r="97" spans="2:17" x14ac:dyDescent="0.25">
      <c r="C97" s="46"/>
      <c r="D97" s="46"/>
      <c r="E97" s="46"/>
      <c r="F97" s="46"/>
      <c r="G97" s="46"/>
      <c r="H97" s="46"/>
      <c r="I97" s="46"/>
      <c r="J97" s="46"/>
      <c r="K97" s="46"/>
      <c r="L97" s="46"/>
      <c r="M97" s="46"/>
      <c r="N97" s="46"/>
      <c r="O97" s="46"/>
      <c r="P97" s="46"/>
      <c r="Q97" s="46"/>
    </row>
    <row r="98" spans="2:17" x14ac:dyDescent="0.25">
      <c r="B98" s="1" t="s">
        <v>67</v>
      </c>
      <c r="C98" s="46"/>
      <c r="D98" s="46"/>
      <c r="E98" s="46"/>
      <c r="F98" s="46"/>
      <c r="G98" s="46"/>
      <c r="H98" s="46"/>
      <c r="I98" s="46"/>
      <c r="J98" s="46"/>
      <c r="K98" s="46"/>
      <c r="L98" s="46"/>
      <c r="M98" s="46"/>
      <c r="N98" s="46"/>
      <c r="O98" s="46"/>
      <c r="P98" s="46"/>
      <c r="Q98" s="46"/>
    </row>
    <row r="99" spans="2:17" x14ac:dyDescent="0.25">
      <c r="B99" t="s">
        <v>61</v>
      </c>
      <c r="C99" s="46"/>
      <c r="D99" s="46"/>
      <c r="E99" s="46"/>
      <c r="F99" s="46"/>
      <c r="G99" s="46"/>
      <c r="H99" s="46"/>
      <c r="I99" s="46"/>
      <c r="J99" s="46"/>
      <c r="K99" s="46"/>
      <c r="L99" s="46"/>
      <c r="M99" s="46"/>
      <c r="N99" s="46"/>
      <c r="O99" s="46"/>
      <c r="P99" s="46"/>
      <c r="Q99" s="46"/>
    </row>
    <row r="100" spans="2:17" x14ac:dyDescent="0.25">
      <c r="B100" t="s">
        <v>62</v>
      </c>
      <c r="C100" s="46">
        <f>'Balance Sheet'!C58/'Balance Sheet'!C$37</f>
        <v>0.16018336282074097</v>
      </c>
      <c r="D100" s="46">
        <f>'Balance Sheet'!D58/'Balance Sheet'!D$37</f>
        <v>0.20865936624678852</v>
      </c>
      <c r="E100" s="46">
        <f>'Balance Sheet'!E58/'Balance Sheet'!E$37</f>
        <v>0.26096563297556202</v>
      </c>
      <c r="F100" s="46">
        <f>'Balance Sheet'!F58/'Balance Sheet'!F$37</f>
        <v>0.20171880452824814</v>
      </c>
      <c r="G100" s="46">
        <f>'Balance Sheet'!G58/'Balance Sheet'!G$37</f>
        <v>0.17295420352867499</v>
      </c>
      <c r="H100" s="46">
        <f>'Balance Sheet'!H58/'Balance Sheet'!H$37</f>
        <v>0.19855201063348124</v>
      </c>
      <c r="I100" s="46">
        <f>'Balance Sheet'!I58/'Balance Sheet'!I$37</f>
        <v>0.19785307085825213</v>
      </c>
      <c r="J100" s="46">
        <f>'Balance Sheet'!J58/'Balance Sheet'!J$37</f>
        <v>0.19630896235729833</v>
      </c>
      <c r="K100" s="46">
        <f>'Balance Sheet'!K58/'Balance Sheet'!K$37</f>
        <v>0.19417244842835096</v>
      </c>
      <c r="L100" s="46">
        <f>'Balance Sheet'!L58/'Balance Sheet'!L$37</f>
        <v>0.19163656817419011</v>
      </c>
      <c r="M100" s="46">
        <f>'Balance Sheet'!M58/'Balance Sheet'!M$37</f>
        <v>0.18884703881745096</v>
      </c>
      <c r="N100" s="46">
        <f>'Balance Sheet'!N58/'Balance Sheet'!N$37</f>
        <v>0.18591315655372659</v>
      </c>
      <c r="O100" s="46">
        <f>'Balance Sheet'!O58/'Balance Sheet'!O$37</f>
        <v>0.18291666634367273</v>
      </c>
      <c r="P100" s="46">
        <f>'Balance Sheet'!P58/'Balance Sheet'!P$37</f>
        <v>0.17991867622943522</v>
      </c>
      <c r="Q100" s="46">
        <f>'Balance Sheet'!Q58/'Balance Sheet'!Q$37</f>
        <v>0.17696491578609513</v>
      </c>
    </row>
    <row r="101" spans="2:17" x14ac:dyDescent="0.25">
      <c r="B101" t="s">
        <v>63</v>
      </c>
      <c r="C101" s="46">
        <f>'Balance Sheet'!C59/'Balance Sheet'!C$37</f>
        <v>0</v>
      </c>
      <c r="D101" s="46">
        <f>'Balance Sheet'!D59/'Balance Sheet'!D$37</f>
        <v>5.1842576894515016E-4</v>
      </c>
      <c r="E101" s="46">
        <f>'Balance Sheet'!E59/'Balance Sheet'!E$37</f>
        <v>9.346338962113531E-4</v>
      </c>
      <c r="F101" s="46">
        <f>'Balance Sheet'!F59/'Balance Sheet'!F$37</f>
        <v>8.9667301686476833E-4</v>
      </c>
      <c r="G101" s="46">
        <f>'Balance Sheet'!G59/'Balance Sheet'!G$37</f>
        <v>9.9968326866735281E-4</v>
      </c>
      <c r="H101" s="46">
        <f>'Balance Sheet'!H59/'Balance Sheet'!H$37</f>
        <v>6.5544376435334192E-4</v>
      </c>
      <c r="I101" s="46">
        <f>'Balance Sheet'!I59/'Balance Sheet'!I$37</f>
        <v>6.5313648115902507E-4</v>
      </c>
      <c r="J101" s="46">
        <f>'Balance Sheet'!J59/'Balance Sheet'!J$37</f>
        <v>6.480391956407061E-4</v>
      </c>
      <c r="K101" s="46">
        <f>'Balance Sheet'!K59/'Balance Sheet'!K$37</f>
        <v>6.4098630945881986E-4</v>
      </c>
      <c r="L101" s="46">
        <f>'Balance Sheet'!L59/'Balance Sheet'!L$37</f>
        <v>6.3261506761426E-4</v>
      </c>
      <c r="M101" s="46">
        <f>'Balance Sheet'!M59/'Balance Sheet'!M$37</f>
        <v>6.23406499962279E-4</v>
      </c>
      <c r="N101" s="46">
        <f>'Balance Sheet'!N59/'Balance Sheet'!N$37</f>
        <v>6.1372140622301292E-4</v>
      </c>
      <c r="O101" s="46">
        <f>'Balance Sheet'!O59/'Balance Sheet'!O$37</f>
        <v>6.0382963621847174E-4</v>
      </c>
      <c r="P101" s="46">
        <f>'Balance Sheet'!P59/'Balance Sheet'!P$37</f>
        <v>5.9393291485211261E-4</v>
      </c>
      <c r="Q101" s="46">
        <f>'Balance Sheet'!Q59/'Balance Sheet'!Q$37</f>
        <v>5.8418220088148119E-4</v>
      </c>
    </row>
    <row r="102" spans="2:17" x14ac:dyDescent="0.25">
      <c r="B102" t="s">
        <v>68</v>
      </c>
      <c r="C102" s="46">
        <f>'Balance Sheet'!C60/'Balance Sheet'!C$37</f>
        <v>7.5419279530155675E-2</v>
      </c>
      <c r="D102" s="46">
        <f>'Balance Sheet'!D60/'Balance Sheet'!D$37</f>
        <v>4.3926075287649885E-2</v>
      </c>
      <c r="E102" s="46">
        <f>'Balance Sheet'!E60/'Balance Sheet'!E$37</f>
        <v>2.5125569578948594E-2</v>
      </c>
      <c r="F102" s="46">
        <f>'Balance Sheet'!F60/'Balance Sheet'!F$37</f>
        <v>7.1666615588269894E-2</v>
      </c>
      <c r="G102" s="46">
        <f>'Balance Sheet'!G60/'Balance Sheet'!G$37</f>
        <v>0.11134905952389522</v>
      </c>
      <c r="H102" s="46">
        <f>'Balance Sheet'!H60/'Balance Sheet'!H$37</f>
        <v>6.7685611844641919E-2</v>
      </c>
      <c r="I102" s="46">
        <f>'Balance Sheet'!I60/'Balance Sheet'!I$37</f>
        <v>6.7447345980811077E-2</v>
      </c>
      <c r="J102" s="46">
        <f>'Balance Sheet'!J60/'Balance Sheet'!J$37</f>
        <v>6.6920965369967E-2</v>
      </c>
      <c r="K102" s="46">
        <f>'Balance Sheet'!K60/'Balance Sheet'!K$37</f>
        <v>6.6192636041878E-2</v>
      </c>
      <c r="L102" s="46">
        <f>'Balance Sheet'!L60/'Balance Sheet'!L$37</f>
        <v>6.5328164279441561E-2</v>
      </c>
      <c r="M102" s="46">
        <f>'Balance Sheet'!M60/'Balance Sheet'!M$37</f>
        <v>6.4377224519793302E-2</v>
      </c>
      <c r="N102" s="46">
        <f>'Balance Sheet'!N60/'Balance Sheet'!N$37</f>
        <v>6.3377075412933331E-2</v>
      </c>
      <c r="O102" s="46">
        <f>'Balance Sheet'!O60/'Balance Sheet'!O$37</f>
        <v>6.2355583499520445E-2</v>
      </c>
      <c r="P102" s="46">
        <f>'Balance Sheet'!P60/'Balance Sheet'!P$37</f>
        <v>6.133358027457736E-2</v>
      </c>
      <c r="Q102" s="46">
        <f>'Balance Sheet'!Q60/'Balance Sheet'!Q$37</f>
        <v>6.0326654773233346E-2</v>
      </c>
    </row>
    <row r="103" spans="2:17" x14ac:dyDescent="0.25">
      <c r="B103" t="s">
        <v>69</v>
      </c>
      <c r="C103" s="46">
        <f>'Balance Sheet'!C61/'Balance Sheet'!C$37</f>
        <v>0</v>
      </c>
      <c r="D103" s="46">
        <f>'Balance Sheet'!D61/'Balance Sheet'!D$37</f>
        <v>2.8405146553997171E-4</v>
      </c>
      <c r="E103" s="46">
        <f>'Balance Sheet'!E61/'Balance Sheet'!E$37</f>
        <v>2.2289037280471744E-2</v>
      </c>
      <c r="F103" s="46">
        <f>'Balance Sheet'!F61/'Balance Sheet'!F$37</f>
        <v>1.350051457365521E-2</v>
      </c>
      <c r="G103" s="46">
        <f>'Balance Sheet'!G61/'Balance Sheet'!G$37</f>
        <v>1.819945435829512E-2</v>
      </c>
      <c r="H103" s="46">
        <f>'Balance Sheet'!H61/'Balance Sheet'!H$37</f>
        <v>1.0650004003273624E-2</v>
      </c>
      <c r="I103" s="46">
        <f>'Balance Sheet'!I61/'Balance Sheet'!I$37</f>
        <v>1.0612514020772375E-2</v>
      </c>
      <c r="J103" s="46">
        <f>'Balance Sheet'!J61/'Balance Sheet'!J$37</f>
        <v>1.0529690574844127E-2</v>
      </c>
      <c r="K103" s="46">
        <f>'Balance Sheet'!K61/'Balance Sheet'!K$37</f>
        <v>1.0415091473965002E-2</v>
      </c>
      <c r="L103" s="46">
        <f>'Balance Sheet'!L61/'Balance Sheet'!L$37</f>
        <v>1.0279071018808345E-2</v>
      </c>
      <c r="M103" s="46">
        <f>'Balance Sheet'!M61/'Balance Sheet'!M$37</f>
        <v>1.0129445242057276E-2</v>
      </c>
      <c r="N103" s="46">
        <f>'Balance Sheet'!N61/'Balance Sheet'!N$37</f>
        <v>9.9720766122755461E-3</v>
      </c>
      <c r="O103" s="46">
        <f>'Balance Sheet'!O61/'Balance Sheet'!O$37</f>
        <v>9.8113497949996794E-3</v>
      </c>
      <c r="P103" s="46">
        <f>'Balance Sheet'!P61/'Balance Sheet'!P$37</f>
        <v>9.6505425253249188E-3</v>
      </c>
      <c r="Q103" s="46">
        <f>'Balance Sheet'!Q61/'Balance Sheet'!Q$37</f>
        <v>9.4921076626110247E-3</v>
      </c>
    </row>
    <row r="104" spans="2:17" x14ac:dyDescent="0.25">
      <c r="B104" t="s">
        <v>70</v>
      </c>
      <c r="C104" s="46">
        <f>'Balance Sheet'!C62/'Balance Sheet'!C$37</f>
        <v>7.323258759853854E-2</v>
      </c>
      <c r="D104" s="46">
        <f>'Balance Sheet'!D62/'Balance Sheet'!D$37</f>
        <v>1.8431500925396367E-2</v>
      </c>
      <c r="E104" s="46">
        <f>'Balance Sheet'!E62/'Balance Sheet'!E$37</f>
        <v>1.1567551189269191E-2</v>
      </c>
      <c r="F104" s="46">
        <f>'Balance Sheet'!F62/'Balance Sheet'!F$37</f>
        <v>1.235471079576517E-2</v>
      </c>
      <c r="G104" s="46">
        <f>'Balance Sheet'!G62/'Balance Sheet'!G$37</f>
        <v>6.9743879526918563E-3</v>
      </c>
      <c r="H104" s="46">
        <f>'Balance Sheet'!H62/'Balance Sheet'!H$37</f>
        <v>2.6211855088297556E-2</v>
      </c>
      <c r="I104" s="46">
        <f>'Balance Sheet'!I62/'Balance Sheet'!I$37</f>
        <v>2.6119584513724679E-2</v>
      </c>
      <c r="J104" s="46">
        <f>'Balance Sheet'!J62/'Balance Sheet'!J$37</f>
        <v>2.5915738941280068E-2</v>
      </c>
      <c r="K104" s="46">
        <f>'Balance Sheet'!K62/'Balance Sheet'!K$37</f>
        <v>2.5633686932232044E-2</v>
      </c>
      <c r="L104" s="46">
        <f>'Balance Sheet'!L62/'Balance Sheet'!L$37</f>
        <v>2.5298912554821983E-2</v>
      </c>
      <c r="M104" s="46">
        <f>'Balance Sheet'!M62/'Balance Sheet'!M$37</f>
        <v>2.4930652676565846E-2</v>
      </c>
      <c r="N104" s="46">
        <f>'Balance Sheet'!N62/'Balance Sheet'!N$37</f>
        <v>2.4543336041002634E-2</v>
      </c>
      <c r="O104" s="46">
        <f>'Balance Sheet'!O62/'Balance Sheet'!O$37</f>
        <v>2.4147754213808645E-2</v>
      </c>
      <c r="P104" s="46">
        <f>'Balance Sheet'!P62/'Balance Sheet'!P$37</f>
        <v>2.3751974376677691E-2</v>
      </c>
      <c r="Q104" s="46">
        <f>'Balance Sheet'!Q62/'Balance Sheet'!Q$37</f>
        <v>2.3362033522090739E-2</v>
      </c>
    </row>
    <row r="105" spans="2:17" x14ac:dyDescent="0.25">
      <c r="B105" t="s">
        <v>65</v>
      </c>
      <c r="C105" s="46">
        <f>'Balance Sheet'!C63/'Balance Sheet'!C$37</f>
        <v>5.2501544163063617E-3</v>
      </c>
      <c r="D105" s="46">
        <f>'Balance Sheet'!D63/'Balance Sheet'!D$37</f>
        <v>4.0353140934108979E-3</v>
      </c>
      <c r="E105" s="46">
        <f>'Balance Sheet'!E63/'Balance Sheet'!E$37</f>
        <v>3.479821463949003E-3</v>
      </c>
      <c r="F105" s="46">
        <f>'Balance Sheet'!F63/'Balance Sheet'!F$37</f>
        <v>2.6208160614206184E-3</v>
      </c>
      <c r="G105" s="46">
        <f>'Balance Sheet'!G63/'Balance Sheet'!G$37</f>
        <v>1.4315896313679194E-3</v>
      </c>
      <c r="H105" s="46">
        <f>'Balance Sheet'!H63/'Balance Sheet'!H$37</f>
        <v>3.386998137132698E-3</v>
      </c>
      <c r="I105" s="46">
        <f>'Balance Sheet'!I63/'Balance Sheet'!I$37</f>
        <v>3.3750752776808297E-3</v>
      </c>
      <c r="J105" s="46">
        <f>'Balance Sheet'!J63/'Balance Sheet'!J$37</f>
        <v>3.3487351132091862E-3</v>
      </c>
      <c r="K105" s="46">
        <f>'Balance Sheet'!K63/'Balance Sheet'!K$37</f>
        <v>3.3122894047310143E-3</v>
      </c>
      <c r="L105" s="46">
        <f>'Balance Sheet'!L63/'Balance Sheet'!L$37</f>
        <v>3.2690311084819304E-3</v>
      </c>
      <c r="M105" s="46">
        <f>'Balance Sheet'!M63/'Balance Sheet'!M$37</f>
        <v>3.2214459407235779E-3</v>
      </c>
      <c r="N105" s="46">
        <f>'Balance Sheet'!N63/'Balance Sheet'!N$37</f>
        <v>3.1713983298729148E-3</v>
      </c>
      <c r="O105" s="46">
        <f>'Balance Sheet'!O63/'Balance Sheet'!O$37</f>
        <v>3.1202827217911432E-3</v>
      </c>
      <c r="P105" s="46">
        <f>'Balance Sheet'!P63/'Balance Sheet'!P$37</f>
        <v>3.0691415276039493E-3</v>
      </c>
      <c r="Q105" s="46">
        <f>'Balance Sheet'!Q63/'Balance Sheet'!Q$37</f>
        <v>3.0187548249600922E-3</v>
      </c>
    </row>
    <row r="106" spans="2:17" x14ac:dyDescent="0.25">
      <c r="C106" s="46"/>
      <c r="D106" s="46"/>
      <c r="E106" s="46"/>
      <c r="F106" s="46"/>
      <c r="G106" s="46"/>
      <c r="H106" s="46"/>
      <c r="I106" s="46"/>
      <c r="J106" s="46"/>
      <c r="K106" s="46"/>
      <c r="L106" s="46"/>
      <c r="M106" s="46"/>
      <c r="N106" s="46"/>
      <c r="O106" s="46"/>
      <c r="P106" s="46"/>
      <c r="Q106" s="46"/>
    </row>
    <row r="107" spans="2:17" x14ac:dyDescent="0.25">
      <c r="B107" s="9" t="s">
        <v>71</v>
      </c>
      <c r="C107" s="209">
        <f>'Balance Sheet'!C65/'Balance Sheet'!C$37</f>
        <v>0.31408538436574152</v>
      </c>
      <c r="D107" s="209">
        <f>'Balance Sheet'!D65/'Balance Sheet'!D$37</f>
        <v>0.27585473378773073</v>
      </c>
      <c r="E107" s="209">
        <f>'Balance Sheet'!E65/'Balance Sheet'!E$37</f>
        <v>0.32436224638441191</v>
      </c>
      <c r="F107" s="209">
        <f>'Balance Sheet'!F65/'Balance Sheet'!F$37</f>
        <v>0.30275813456422379</v>
      </c>
      <c r="G107" s="209">
        <f>'Balance Sheet'!G65/'Balance Sheet'!G$37</f>
        <v>0.31190837826359247</v>
      </c>
      <c r="H107" s="209">
        <f>'Balance Sheet'!H65/'Balance Sheet'!H$37</f>
        <v>0.30714192347118041</v>
      </c>
      <c r="I107" s="209">
        <f>'Balance Sheet'!I65/'Balance Sheet'!I$37</f>
        <v>0.30606072713240012</v>
      </c>
      <c r="J107" s="209">
        <f>'Balance Sheet'!J65/'Balance Sheet'!J$37</f>
        <v>0.30367213155223943</v>
      </c>
      <c r="K107" s="209">
        <f>'Balance Sheet'!K65/'Balance Sheet'!K$37</f>
        <v>0.30036713859061587</v>
      </c>
      <c r="L107" s="209">
        <f>'Balance Sheet'!L65/'Balance Sheet'!L$37</f>
        <v>0.29644436220335818</v>
      </c>
      <c r="M107" s="209">
        <f>'Balance Sheet'!M65/'Balance Sheet'!M$37</f>
        <v>0.29212921369655331</v>
      </c>
      <c r="N107" s="209">
        <f>'Balance Sheet'!N65/'Balance Sheet'!N$37</f>
        <v>0.28759076435603403</v>
      </c>
      <c r="O107" s="209">
        <f>'Balance Sheet'!O65/'Balance Sheet'!O$37</f>
        <v>0.28295546621001111</v>
      </c>
      <c r="P107" s="209">
        <f>'Balance Sheet'!P65/'Balance Sheet'!P$37</f>
        <v>0.2783178478484713</v>
      </c>
      <c r="Q107" s="209">
        <f>'Balance Sheet'!Q65/'Balance Sheet'!Q$37</f>
        <v>0.27374864876987182</v>
      </c>
    </row>
    <row r="108" spans="2:17" x14ac:dyDescent="0.25">
      <c r="C108" s="46"/>
      <c r="D108" s="46"/>
      <c r="E108" s="46"/>
      <c r="F108" s="46"/>
      <c r="G108" s="46"/>
      <c r="H108" s="46"/>
      <c r="I108" s="46"/>
      <c r="J108" s="46"/>
      <c r="K108" s="46"/>
      <c r="L108" s="46"/>
      <c r="M108" s="46"/>
      <c r="N108" s="46"/>
      <c r="O108" s="46"/>
      <c r="P108" s="46"/>
      <c r="Q108" s="46"/>
    </row>
    <row r="109" spans="2:17" x14ac:dyDescent="0.25">
      <c r="B109" s="10" t="s">
        <v>72</v>
      </c>
      <c r="C109" s="210">
        <f>'Balance Sheet'!C67/'Balance Sheet'!C$37</f>
        <v>0.54000429224987168</v>
      </c>
      <c r="D109" s="210">
        <f>'Balance Sheet'!D67/'Balance Sheet'!D$37</f>
        <v>0.42467477380969065</v>
      </c>
      <c r="E109" s="210">
        <f>'Balance Sheet'!E67/'Balance Sheet'!E$37</f>
        <v>0.42654033959141818</v>
      </c>
      <c r="F109" s="210">
        <f>'Balance Sheet'!F67/'Balance Sheet'!F$37</f>
        <v>0.47697468258071779</v>
      </c>
      <c r="G109" s="210">
        <f>'Balance Sheet'!G67/'Balance Sheet'!G$37</f>
        <v>0.49563954534656895</v>
      </c>
      <c r="H109" s="210">
        <f>'Balance Sheet'!H67/'Balance Sheet'!H$37</f>
        <v>0.47887509443575599</v>
      </c>
      <c r="I109" s="210">
        <f>'Balance Sheet'!I67/'Balance Sheet'!I$37</f>
        <v>0.47718936559423042</v>
      </c>
      <c r="J109" s="210">
        <f>'Balance Sheet'!J67/'Balance Sheet'!J$37</f>
        <v>0.47346522751144732</v>
      </c>
      <c r="K109" s="210">
        <f>'Balance Sheet'!K67/'Balance Sheet'!K$37</f>
        <v>0.46831230407227542</v>
      </c>
      <c r="L109" s="210">
        <f>'Balance Sheet'!L67/'Balance Sheet'!L$37</f>
        <v>0.46219617413576858</v>
      </c>
      <c r="M109" s="210">
        <f>'Balance Sheet'!M67/'Balance Sheet'!M$37</f>
        <v>0.45546828389744887</v>
      </c>
      <c r="N109" s="210">
        <f>'Balance Sheet'!N67/'Balance Sheet'!N$37</f>
        <v>0.4483922379706316</v>
      </c>
      <c r="O109" s="210">
        <f>'Balance Sheet'!O67/'Balance Sheet'!O$37</f>
        <v>0.44116519187959907</v>
      </c>
      <c r="P109" s="210">
        <f>'Balance Sheet'!P67/'Balance Sheet'!P$37</f>
        <v>0.43393452826409379</v>
      </c>
      <c r="Q109" s="210">
        <f>'Balance Sheet'!Q67/'Balance Sheet'!Q$37</f>
        <v>0.42681053940730906</v>
      </c>
    </row>
    <row r="110" spans="2:17" x14ac:dyDescent="0.25">
      <c r="C110" s="46"/>
      <c r="D110" s="46"/>
      <c r="E110" s="46"/>
      <c r="F110" s="46"/>
      <c r="G110" s="46"/>
      <c r="H110" s="46"/>
      <c r="I110" s="46"/>
      <c r="J110" s="46"/>
      <c r="K110" s="46"/>
      <c r="L110" s="46"/>
      <c r="M110" s="46"/>
      <c r="N110" s="46"/>
      <c r="O110" s="46"/>
      <c r="P110" s="46"/>
      <c r="Q110" s="46"/>
    </row>
    <row r="111" spans="2:17" x14ac:dyDescent="0.25">
      <c r="B111" s="10" t="s">
        <v>73</v>
      </c>
      <c r="C111" s="210">
        <f>'Balance Sheet'!C69/'Balance Sheet'!C$37</f>
        <v>1</v>
      </c>
      <c r="D111" s="210">
        <f>'Balance Sheet'!D69/'Balance Sheet'!D$37</f>
        <v>1.0000000000000002</v>
      </c>
      <c r="E111" s="210">
        <f>'Balance Sheet'!E69/'Balance Sheet'!E$37</f>
        <v>1.0000000000000002</v>
      </c>
      <c r="F111" s="210">
        <f>'Balance Sheet'!F69/'Balance Sheet'!F$37</f>
        <v>1</v>
      </c>
      <c r="G111" s="210">
        <f>'Balance Sheet'!G69/'Balance Sheet'!G$37</f>
        <v>1</v>
      </c>
      <c r="H111" s="210">
        <f>'Balance Sheet'!H69/'Balance Sheet'!H$37</f>
        <v>1</v>
      </c>
      <c r="I111" s="210">
        <f>'Balance Sheet'!I69/'Balance Sheet'!I$37</f>
        <v>1</v>
      </c>
      <c r="J111" s="210">
        <f>'Balance Sheet'!J69/'Balance Sheet'!J$37</f>
        <v>1</v>
      </c>
      <c r="K111" s="210">
        <f>'Balance Sheet'!K69/'Balance Sheet'!K$37</f>
        <v>1.0000000000000004</v>
      </c>
      <c r="L111" s="210">
        <f>'Balance Sheet'!L69/'Balance Sheet'!L$37</f>
        <v>1.0000000000000002</v>
      </c>
      <c r="M111" s="210">
        <f>'Balance Sheet'!M69/'Balance Sheet'!M$37</f>
        <v>1.0000000000000002</v>
      </c>
      <c r="N111" s="210">
        <f>'Balance Sheet'!N69/'Balance Sheet'!N$37</f>
        <v>1.0000000000000002</v>
      </c>
      <c r="O111" s="210">
        <f>'Balance Sheet'!O69/'Balance Sheet'!O$37</f>
        <v>1.0000000000000002</v>
      </c>
      <c r="P111" s="210">
        <f>'Balance Sheet'!P69/'Balance Sheet'!P$37</f>
        <v>1.0000000000000002</v>
      </c>
      <c r="Q111" s="210">
        <f>'Balance Sheet'!Q69/'Balance Sheet'!Q$37</f>
        <v>0.99999999999999989</v>
      </c>
    </row>
  </sheetData>
  <mergeCells count="1">
    <mergeCell ref="B10:Q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492"/>
  <sheetViews>
    <sheetView showGridLines="0" topLeftCell="A3" workbookViewId="0">
      <pane ySplit="8" topLeftCell="A11" activePane="bottomLeft" state="frozen"/>
      <selection activeCell="A3" sqref="A3"/>
      <selection pane="bottomLeft" activeCell="B12" sqref="B12:C12"/>
    </sheetView>
  </sheetViews>
  <sheetFormatPr defaultRowHeight="15" x14ac:dyDescent="0.25"/>
  <cols>
    <col min="1" max="1" width="1.85546875" customWidth="1"/>
    <col min="2" max="2" width="10.140625" bestFit="1" customWidth="1"/>
    <col min="3" max="3" width="10.7109375" bestFit="1" customWidth="1"/>
    <col min="5" max="5" width="10.7109375" customWidth="1"/>
  </cols>
  <sheetData>
    <row r="1" spans="2:6" x14ac:dyDescent="0.25">
      <c r="B1" s="67"/>
      <c r="C1" s="67"/>
      <c r="D1" s="67"/>
      <c r="E1" s="67"/>
      <c r="F1" s="67"/>
    </row>
    <row r="9" spans="2:6" x14ac:dyDescent="0.25">
      <c r="B9" s="27" t="s">
        <v>344</v>
      </c>
    </row>
    <row r="10" spans="2:6" x14ac:dyDescent="0.25">
      <c r="B10" s="463" t="s">
        <v>143</v>
      </c>
      <c r="C10" s="463"/>
      <c r="D10" s="463"/>
      <c r="E10" s="463"/>
      <c r="F10" s="463"/>
    </row>
    <row r="12" spans="2:6" ht="15.75" thickBot="1" x14ac:dyDescent="0.3">
      <c r="B12" s="5" t="s">
        <v>144</v>
      </c>
      <c r="C12" s="69" t="s">
        <v>148</v>
      </c>
    </row>
    <row r="13" spans="2:6" x14ac:dyDescent="0.25">
      <c r="B13" s="395">
        <v>42235</v>
      </c>
      <c r="C13" s="396">
        <v>27931.64</v>
      </c>
      <c r="E13" s="70" t="s">
        <v>146</v>
      </c>
      <c r="F13" s="72">
        <f>YEARFRAC(B13,B2489)</f>
        <v>10</v>
      </c>
    </row>
    <row r="14" spans="2:6" ht="15.75" thickBot="1" x14ac:dyDescent="0.3">
      <c r="B14" s="293">
        <v>42236</v>
      </c>
      <c r="C14" s="397">
        <v>27607.82</v>
      </c>
      <c r="E14" s="71" t="s">
        <v>147</v>
      </c>
      <c r="F14" s="73">
        <f>_xlfn.RRI(F13,C13,C2489)</f>
        <v>0.11322510361130922</v>
      </c>
    </row>
    <row r="15" spans="2:6" x14ac:dyDescent="0.25">
      <c r="B15" s="293">
        <v>42237</v>
      </c>
      <c r="C15" s="397">
        <v>27366.07</v>
      </c>
    </row>
    <row r="16" spans="2:6" x14ac:dyDescent="0.25">
      <c r="B16" s="293">
        <v>42240</v>
      </c>
      <c r="C16" s="397">
        <v>25741.56</v>
      </c>
    </row>
    <row r="17" spans="2:3" x14ac:dyDescent="0.25">
      <c r="B17" s="293">
        <v>42241</v>
      </c>
      <c r="C17" s="397">
        <v>26032.38</v>
      </c>
    </row>
    <row r="18" spans="2:3" x14ac:dyDescent="0.25">
      <c r="B18" s="293">
        <v>42242</v>
      </c>
      <c r="C18" s="397">
        <v>25714.66</v>
      </c>
    </row>
    <row r="19" spans="2:3" x14ac:dyDescent="0.25">
      <c r="B19" s="293">
        <v>42243</v>
      </c>
      <c r="C19" s="397">
        <v>26231.19</v>
      </c>
    </row>
    <row r="20" spans="2:3" x14ac:dyDescent="0.25">
      <c r="B20" s="293">
        <v>42244</v>
      </c>
      <c r="C20" s="397">
        <v>26392.38</v>
      </c>
    </row>
    <row r="21" spans="2:3" x14ac:dyDescent="0.25">
      <c r="B21" s="293">
        <v>42247</v>
      </c>
      <c r="C21" s="397">
        <v>26283.09</v>
      </c>
    </row>
    <row r="22" spans="2:3" x14ac:dyDescent="0.25">
      <c r="B22" s="293">
        <v>42248</v>
      </c>
      <c r="C22" s="397">
        <v>25696.44</v>
      </c>
    </row>
    <row r="23" spans="2:3" x14ac:dyDescent="0.25">
      <c r="B23" s="293">
        <v>42249</v>
      </c>
      <c r="C23" s="397">
        <v>25453.56</v>
      </c>
    </row>
    <row r="24" spans="2:3" x14ac:dyDescent="0.25">
      <c r="B24" s="293">
        <v>42250</v>
      </c>
      <c r="C24" s="397">
        <v>25764.78</v>
      </c>
    </row>
    <row r="25" spans="2:3" x14ac:dyDescent="0.25">
      <c r="B25" s="293">
        <v>42251</v>
      </c>
      <c r="C25" s="397">
        <v>25201.9</v>
      </c>
    </row>
    <row r="26" spans="2:3" x14ac:dyDescent="0.25">
      <c r="B26" s="293">
        <v>42254</v>
      </c>
      <c r="C26" s="397">
        <v>24893.81</v>
      </c>
    </row>
    <row r="27" spans="2:3" x14ac:dyDescent="0.25">
      <c r="B27" s="293">
        <v>42255</v>
      </c>
      <c r="C27" s="397">
        <v>25317.87</v>
      </c>
    </row>
    <row r="28" spans="2:3" x14ac:dyDescent="0.25">
      <c r="B28" s="293">
        <v>42256</v>
      </c>
      <c r="C28" s="397">
        <v>25719.58</v>
      </c>
    </row>
    <row r="29" spans="2:3" x14ac:dyDescent="0.25">
      <c r="B29" s="293">
        <v>42257</v>
      </c>
      <c r="C29" s="397">
        <v>25622.17</v>
      </c>
    </row>
    <row r="30" spans="2:3" x14ac:dyDescent="0.25">
      <c r="B30" s="293">
        <v>42258</v>
      </c>
      <c r="C30" s="397">
        <v>25610.21</v>
      </c>
    </row>
    <row r="31" spans="2:3" x14ac:dyDescent="0.25">
      <c r="B31" s="293">
        <v>42261</v>
      </c>
      <c r="C31" s="397">
        <v>25856.7</v>
      </c>
    </row>
    <row r="32" spans="2:3" x14ac:dyDescent="0.25">
      <c r="B32" s="293">
        <v>42262</v>
      </c>
      <c r="C32" s="397">
        <v>25705.93</v>
      </c>
    </row>
    <row r="33" spans="2:3" x14ac:dyDescent="0.25">
      <c r="B33" s="293">
        <v>42263</v>
      </c>
      <c r="C33" s="397">
        <v>25963.97</v>
      </c>
    </row>
    <row r="34" spans="2:3" x14ac:dyDescent="0.25">
      <c r="B34" s="293">
        <v>42265</v>
      </c>
      <c r="C34" s="397">
        <v>26218.91</v>
      </c>
    </row>
    <row r="35" spans="2:3" x14ac:dyDescent="0.25">
      <c r="B35" s="293">
        <v>42268</v>
      </c>
      <c r="C35" s="397">
        <v>26192.98</v>
      </c>
    </row>
    <row r="36" spans="2:3" x14ac:dyDescent="0.25">
      <c r="B36" s="293">
        <v>42269</v>
      </c>
      <c r="C36" s="397">
        <v>25651.84</v>
      </c>
    </row>
    <row r="37" spans="2:3" x14ac:dyDescent="0.25">
      <c r="B37" s="293">
        <v>42270</v>
      </c>
      <c r="C37" s="397">
        <v>25822.99</v>
      </c>
    </row>
    <row r="38" spans="2:3" x14ac:dyDescent="0.25">
      <c r="B38" s="293">
        <v>42271</v>
      </c>
      <c r="C38" s="397">
        <v>25863.5</v>
      </c>
    </row>
    <row r="39" spans="2:3" x14ac:dyDescent="0.25">
      <c r="B39" s="293">
        <v>42275</v>
      </c>
      <c r="C39" s="397">
        <v>25616.84</v>
      </c>
    </row>
    <row r="40" spans="2:3" x14ac:dyDescent="0.25">
      <c r="B40" s="293">
        <v>42276</v>
      </c>
      <c r="C40" s="397">
        <v>25778.66</v>
      </c>
    </row>
    <row r="41" spans="2:3" x14ac:dyDescent="0.25">
      <c r="B41" s="293">
        <v>42277</v>
      </c>
      <c r="C41" s="397">
        <v>26154.83</v>
      </c>
    </row>
    <row r="42" spans="2:3" x14ac:dyDescent="0.25">
      <c r="B42" s="293">
        <v>42278</v>
      </c>
      <c r="C42" s="397">
        <v>26220.95</v>
      </c>
    </row>
    <row r="43" spans="2:3" x14ac:dyDescent="0.25">
      <c r="B43" s="293">
        <v>42282</v>
      </c>
      <c r="C43" s="397">
        <v>26785.55</v>
      </c>
    </row>
    <row r="44" spans="2:3" x14ac:dyDescent="0.25">
      <c r="B44" s="293">
        <v>42283</v>
      </c>
      <c r="C44" s="397">
        <v>26932.880000000001</v>
      </c>
    </row>
    <row r="45" spans="2:3" x14ac:dyDescent="0.25">
      <c r="B45" s="293">
        <v>42284</v>
      </c>
      <c r="C45" s="397">
        <v>27035.85</v>
      </c>
    </row>
    <row r="46" spans="2:3" x14ac:dyDescent="0.25">
      <c r="B46" s="293">
        <v>42285</v>
      </c>
      <c r="C46" s="397">
        <v>26845.81</v>
      </c>
    </row>
    <row r="47" spans="2:3" x14ac:dyDescent="0.25">
      <c r="B47" s="293">
        <v>42286</v>
      </c>
      <c r="C47" s="397">
        <v>27079.51</v>
      </c>
    </row>
    <row r="48" spans="2:3" x14ac:dyDescent="0.25">
      <c r="B48" s="293">
        <v>42289</v>
      </c>
      <c r="C48" s="397">
        <v>26904.11</v>
      </c>
    </row>
    <row r="49" spans="2:3" x14ac:dyDescent="0.25">
      <c r="B49" s="293">
        <v>42290</v>
      </c>
      <c r="C49" s="397">
        <v>26846.53</v>
      </c>
    </row>
    <row r="50" spans="2:3" x14ac:dyDescent="0.25">
      <c r="B50" s="293">
        <v>42291</v>
      </c>
      <c r="C50" s="397">
        <v>26779.66</v>
      </c>
    </row>
    <row r="51" spans="2:3" x14ac:dyDescent="0.25">
      <c r="B51" s="293">
        <v>42292</v>
      </c>
      <c r="C51" s="397">
        <v>27010.14</v>
      </c>
    </row>
    <row r="52" spans="2:3" x14ac:dyDescent="0.25">
      <c r="B52" s="293">
        <v>42293</v>
      </c>
      <c r="C52" s="397">
        <v>27214.6</v>
      </c>
    </row>
    <row r="53" spans="2:3" x14ac:dyDescent="0.25">
      <c r="B53" s="293">
        <v>42296</v>
      </c>
      <c r="C53" s="397">
        <v>27364.92</v>
      </c>
    </row>
    <row r="54" spans="2:3" x14ac:dyDescent="0.25">
      <c r="B54" s="293">
        <v>42297</v>
      </c>
      <c r="C54" s="397">
        <v>27306.83</v>
      </c>
    </row>
    <row r="55" spans="2:3" x14ac:dyDescent="0.25">
      <c r="B55" s="293">
        <v>42298</v>
      </c>
      <c r="C55" s="397">
        <v>27287.66</v>
      </c>
    </row>
    <row r="56" spans="2:3" x14ac:dyDescent="0.25">
      <c r="B56" s="293">
        <v>42300</v>
      </c>
      <c r="C56" s="397">
        <v>27470.81</v>
      </c>
    </row>
    <row r="57" spans="2:3" x14ac:dyDescent="0.25">
      <c r="B57" s="293">
        <v>42303</v>
      </c>
      <c r="C57" s="397">
        <v>27361.96</v>
      </c>
    </row>
    <row r="58" spans="2:3" x14ac:dyDescent="0.25">
      <c r="B58" s="293">
        <v>42304</v>
      </c>
      <c r="C58" s="397">
        <v>27253.439999999999</v>
      </c>
    </row>
    <row r="59" spans="2:3" x14ac:dyDescent="0.25">
      <c r="B59" s="293">
        <v>42305</v>
      </c>
      <c r="C59" s="397">
        <v>27039.759999999998</v>
      </c>
    </row>
    <row r="60" spans="2:3" x14ac:dyDescent="0.25">
      <c r="B60" s="293">
        <v>42306</v>
      </c>
      <c r="C60" s="397">
        <v>26838.14</v>
      </c>
    </row>
    <row r="61" spans="2:3" x14ac:dyDescent="0.25">
      <c r="B61" s="293">
        <v>42307</v>
      </c>
      <c r="C61" s="397">
        <v>26656.83</v>
      </c>
    </row>
    <row r="62" spans="2:3" x14ac:dyDescent="0.25">
      <c r="B62" s="293">
        <v>42310</v>
      </c>
      <c r="C62" s="397">
        <v>26559.15</v>
      </c>
    </row>
    <row r="63" spans="2:3" x14ac:dyDescent="0.25">
      <c r="B63" s="293">
        <v>42311</v>
      </c>
      <c r="C63" s="397">
        <v>26590.59</v>
      </c>
    </row>
    <row r="64" spans="2:3" x14ac:dyDescent="0.25">
      <c r="B64" s="293">
        <v>42312</v>
      </c>
      <c r="C64" s="397">
        <v>26552.92</v>
      </c>
    </row>
    <row r="65" spans="2:3" x14ac:dyDescent="0.25">
      <c r="B65" s="293">
        <v>42313</v>
      </c>
      <c r="C65" s="397">
        <v>26304.2</v>
      </c>
    </row>
    <row r="66" spans="2:3" x14ac:dyDescent="0.25">
      <c r="B66" s="293">
        <v>42314</v>
      </c>
      <c r="C66" s="397">
        <v>26265.24</v>
      </c>
    </row>
    <row r="67" spans="2:3" x14ac:dyDescent="0.25">
      <c r="B67" s="293">
        <v>42317</v>
      </c>
      <c r="C67" s="397">
        <v>26121.4</v>
      </c>
    </row>
    <row r="68" spans="2:3" x14ac:dyDescent="0.25">
      <c r="B68" s="293">
        <v>42318</v>
      </c>
      <c r="C68" s="397">
        <v>25743.26</v>
      </c>
    </row>
    <row r="69" spans="2:3" x14ac:dyDescent="0.25">
      <c r="B69" s="293">
        <v>42319</v>
      </c>
      <c r="C69" s="397">
        <v>25866.95</v>
      </c>
    </row>
    <row r="70" spans="2:3" x14ac:dyDescent="0.25">
      <c r="B70" s="293">
        <v>42321</v>
      </c>
      <c r="C70" s="397">
        <v>25610.53</v>
      </c>
    </row>
    <row r="71" spans="2:3" x14ac:dyDescent="0.25">
      <c r="B71" s="293">
        <v>42324</v>
      </c>
      <c r="C71" s="397">
        <v>25760.1</v>
      </c>
    </row>
    <row r="72" spans="2:3" x14ac:dyDescent="0.25">
      <c r="B72" s="293">
        <v>42325</v>
      </c>
      <c r="C72" s="397">
        <v>25864.47</v>
      </c>
    </row>
    <row r="73" spans="2:3" x14ac:dyDescent="0.25">
      <c r="B73" s="293">
        <v>42326</v>
      </c>
      <c r="C73" s="397">
        <v>25482.52</v>
      </c>
    </row>
    <row r="74" spans="2:3" x14ac:dyDescent="0.25">
      <c r="B74" s="293">
        <v>42327</v>
      </c>
      <c r="C74" s="397">
        <v>25841.919999999998</v>
      </c>
    </row>
    <row r="75" spans="2:3" x14ac:dyDescent="0.25">
      <c r="B75" s="293">
        <v>42328</v>
      </c>
      <c r="C75" s="397">
        <v>25868.49</v>
      </c>
    </row>
    <row r="76" spans="2:3" x14ac:dyDescent="0.25">
      <c r="B76" s="293">
        <v>42331</v>
      </c>
      <c r="C76" s="397">
        <v>25819.34</v>
      </c>
    </row>
    <row r="77" spans="2:3" x14ac:dyDescent="0.25">
      <c r="B77" s="293">
        <v>42332</v>
      </c>
      <c r="C77" s="397">
        <v>25775.74</v>
      </c>
    </row>
    <row r="78" spans="2:3" x14ac:dyDescent="0.25">
      <c r="B78" s="293">
        <v>42334</v>
      </c>
      <c r="C78" s="397">
        <v>25958.63</v>
      </c>
    </row>
    <row r="79" spans="2:3" x14ac:dyDescent="0.25">
      <c r="B79" s="293">
        <v>42335</v>
      </c>
      <c r="C79" s="397">
        <v>26128.2</v>
      </c>
    </row>
    <row r="80" spans="2:3" x14ac:dyDescent="0.25">
      <c r="B80" s="293">
        <v>42338</v>
      </c>
      <c r="C80" s="397">
        <v>26145.67</v>
      </c>
    </row>
    <row r="81" spans="2:3" x14ac:dyDescent="0.25">
      <c r="B81" s="293">
        <v>42339</v>
      </c>
      <c r="C81" s="397">
        <v>26169.41</v>
      </c>
    </row>
    <row r="82" spans="2:3" x14ac:dyDescent="0.25">
      <c r="B82" s="293">
        <v>42340</v>
      </c>
      <c r="C82" s="397">
        <v>26117.85</v>
      </c>
    </row>
    <row r="83" spans="2:3" x14ac:dyDescent="0.25">
      <c r="B83" s="293">
        <v>42341</v>
      </c>
      <c r="C83" s="397">
        <v>25886.62</v>
      </c>
    </row>
    <row r="84" spans="2:3" x14ac:dyDescent="0.25">
      <c r="B84" s="293">
        <v>42342</v>
      </c>
      <c r="C84" s="397">
        <v>25638.11</v>
      </c>
    </row>
    <row r="85" spans="2:3" x14ac:dyDescent="0.25">
      <c r="B85" s="293">
        <v>42345</v>
      </c>
      <c r="C85" s="397">
        <v>25530.11</v>
      </c>
    </row>
    <row r="86" spans="2:3" x14ac:dyDescent="0.25">
      <c r="B86" s="293">
        <v>42346</v>
      </c>
      <c r="C86" s="397">
        <v>25310.33</v>
      </c>
    </row>
    <row r="87" spans="2:3" x14ac:dyDescent="0.25">
      <c r="B87" s="293">
        <v>42347</v>
      </c>
      <c r="C87" s="397">
        <v>25036.05</v>
      </c>
    </row>
    <row r="88" spans="2:3" x14ac:dyDescent="0.25">
      <c r="B88" s="293">
        <v>42348</v>
      </c>
      <c r="C88" s="397">
        <v>25252.32</v>
      </c>
    </row>
    <row r="89" spans="2:3" x14ac:dyDescent="0.25">
      <c r="B89" s="293">
        <v>42349</v>
      </c>
      <c r="C89" s="397">
        <v>25044.43</v>
      </c>
    </row>
    <row r="90" spans="2:3" x14ac:dyDescent="0.25">
      <c r="B90" s="293">
        <v>42352</v>
      </c>
      <c r="C90" s="397">
        <v>25150.35</v>
      </c>
    </row>
    <row r="91" spans="2:3" x14ac:dyDescent="0.25">
      <c r="B91" s="293">
        <v>42353</v>
      </c>
      <c r="C91" s="397">
        <v>25320.44</v>
      </c>
    </row>
    <row r="92" spans="2:3" x14ac:dyDescent="0.25">
      <c r="B92" s="293">
        <v>42354</v>
      </c>
      <c r="C92" s="397">
        <v>25494.37</v>
      </c>
    </row>
    <row r="93" spans="2:3" x14ac:dyDescent="0.25">
      <c r="B93" s="293">
        <v>42355</v>
      </c>
      <c r="C93" s="397">
        <v>25803.78</v>
      </c>
    </row>
    <row r="94" spans="2:3" x14ac:dyDescent="0.25">
      <c r="B94" s="293">
        <v>42356</v>
      </c>
      <c r="C94" s="397">
        <v>25519.22</v>
      </c>
    </row>
    <row r="95" spans="2:3" x14ac:dyDescent="0.25">
      <c r="B95" s="293">
        <v>42359</v>
      </c>
      <c r="C95" s="397">
        <v>25735.9</v>
      </c>
    </row>
    <row r="96" spans="2:3" x14ac:dyDescent="0.25">
      <c r="B96" s="293">
        <v>42360</v>
      </c>
      <c r="C96" s="397">
        <v>25590.65</v>
      </c>
    </row>
    <row r="97" spans="2:3" x14ac:dyDescent="0.25">
      <c r="B97" s="293">
        <v>42361</v>
      </c>
      <c r="C97" s="397">
        <v>25850.3</v>
      </c>
    </row>
    <row r="98" spans="2:3" x14ac:dyDescent="0.25">
      <c r="B98" s="293">
        <v>42362</v>
      </c>
      <c r="C98" s="397">
        <v>25838.71</v>
      </c>
    </row>
    <row r="99" spans="2:3" x14ac:dyDescent="0.25">
      <c r="B99" s="293">
        <v>42366</v>
      </c>
      <c r="C99" s="397">
        <v>26034.13</v>
      </c>
    </row>
    <row r="100" spans="2:3" x14ac:dyDescent="0.25">
      <c r="B100" s="293">
        <v>42367</v>
      </c>
      <c r="C100" s="397">
        <v>26079.48</v>
      </c>
    </row>
    <row r="101" spans="2:3" x14ac:dyDescent="0.25">
      <c r="B101" s="293">
        <v>42368</v>
      </c>
      <c r="C101" s="397">
        <v>25960.03</v>
      </c>
    </row>
    <row r="102" spans="2:3" x14ac:dyDescent="0.25">
      <c r="B102" s="293">
        <v>42369</v>
      </c>
      <c r="C102" s="397">
        <v>26117.54</v>
      </c>
    </row>
    <row r="103" spans="2:3" x14ac:dyDescent="0.25">
      <c r="B103" s="293">
        <v>42370</v>
      </c>
      <c r="C103" s="397">
        <v>26160.9</v>
      </c>
    </row>
    <row r="104" spans="2:3" x14ac:dyDescent="0.25">
      <c r="B104" s="293">
        <v>42373</v>
      </c>
      <c r="C104" s="397">
        <v>25623.35</v>
      </c>
    </row>
    <row r="105" spans="2:3" x14ac:dyDescent="0.25">
      <c r="B105" s="293">
        <v>42374</v>
      </c>
      <c r="C105" s="397">
        <v>25580.34</v>
      </c>
    </row>
    <row r="106" spans="2:3" x14ac:dyDescent="0.25">
      <c r="B106" s="293">
        <v>42375</v>
      </c>
      <c r="C106" s="397">
        <v>25406.33</v>
      </c>
    </row>
    <row r="107" spans="2:3" x14ac:dyDescent="0.25">
      <c r="B107" s="293">
        <v>42376</v>
      </c>
      <c r="C107" s="397">
        <v>24851.83</v>
      </c>
    </row>
    <row r="108" spans="2:3" x14ac:dyDescent="0.25">
      <c r="B108" s="293">
        <v>42377</v>
      </c>
      <c r="C108" s="397">
        <v>24934.33</v>
      </c>
    </row>
    <row r="109" spans="2:3" x14ac:dyDescent="0.25">
      <c r="B109" s="293">
        <v>42380</v>
      </c>
      <c r="C109" s="397">
        <v>24825.040000000001</v>
      </c>
    </row>
    <row r="110" spans="2:3" x14ac:dyDescent="0.25">
      <c r="B110" s="293">
        <v>42381</v>
      </c>
      <c r="C110" s="397">
        <v>24682.03</v>
      </c>
    </row>
    <row r="111" spans="2:3" x14ac:dyDescent="0.25">
      <c r="B111" s="293">
        <v>42382</v>
      </c>
      <c r="C111" s="397">
        <v>24854.11</v>
      </c>
    </row>
    <row r="112" spans="2:3" x14ac:dyDescent="0.25">
      <c r="B112" s="293">
        <v>42383</v>
      </c>
      <c r="C112" s="397">
        <v>24772.97</v>
      </c>
    </row>
    <row r="113" spans="2:3" x14ac:dyDescent="0.25">
      <c r="B113" s="293">
        <v>42384</v>
      </c>
      <c r="C113" s="397">
        <v>24455.040000000001</v>
      </c>
    </row>
    <row r="114" spans="2:3" x14ac:dyDescent="0.25">
      <c r="B114" s="293">
        <v>42387</v>
      </c>
      <c r="C114" s="397">
        <v>24188.37</v>
      </c>
    </row>
    <row r="115" spans="2:3" x14ac:dyDescent="0.25">
      <c r="B115" s="293">
        <v>42388</v>
      </c>
      <c r="C115" s="397">
        <v>24479.84</v>
      </c>
    </row>
    <row r="116" spans="2:3" x14ac:dyDescent="0.25">
      <c r="B116" s="293">
        <v>42389</v>
      </c>
      <c r="C116" s="397">
        <v>24062.04</v>
      </c>
    </row>
    <row r="117" spans="2:3" x14ac:dyDescent="0.25">
      <c r="B117" s="293">
        <v>42390</v>
      </c>
      <c r="C117" s="397">
        <v>23962.21</v>
      </c>
    </row>
    <row r="118" spans="2:3" x14ac:dyDescent="0.25">
      <c r="B118" s="293">
        <v>42391</v>
      </c>
      <c r="C118" s="397">
        <v>24435.66</v>
      </c>
    </row>
    <row r="119" spans="2:3" x14ac:dyDescent="0.25">
      <c r="B119" s="293">
        <v>42394</v>
      </c>
      <c r="C119" s="397">
        <v>24485.95</v>
      </c>
    </row>
    <row r="120" spans="2:3" x14ac:dyDescent="0.25">
      <c r="B120" s="293">
        <v>42396</v>
      </c>
      <c r="C120" s="397">
        <v>24492.39</v>
      </c>
    </row>
    <row r="121" spans="2:3" x14ac:dyDescent="0.25">
      <c r="B121" s="293">
        <v>42397</v>
      </c>
      <c r="C121" s="397">
        <v>24469.57</v>
      </c>
    </row>
    <row r="122" spans="2:3" x14ac:dyDescent="0.25">
      <c r="B122" s="293">
        <v>42398</v>
      </c>
      <c r="C122" s="397">
        <v>24870.69</v>
      </c>
    </row>
    <row r="123" spans="2:3" x14ac:dyDescent="0.25">
      <c r="B123" s="293">
        <v>42401</v>
      </c>
      <c r="C123" s="397">
        <v>24824.83</v>
      </c>
    </row>
    <row r="124" spans="2:3" x14ac:dyDescent="0.25">
      <c r="B124" s="293">
        <v>42402</v>
      </c>
      <c r="C124" s="397">
        <v>24539</v>
      </c>
    </row>
    <row r="125" spans="2:3" x14ac:dyDescent="0.25">
      <c r="B125" s="293">
        <v>42403</v>
      </c>
      <c r="C125" s="397">
        <v>24223.32</v>
      </c>
    </row>
    <row r="126" spans="2:3" x14ac:dyDescent="0.25">
      <c r="B126" s="293">
        <v>42404</v>
      </c>
      <c r="C126" s="397">
        <v>24338.43</v>
      </c>
    </row>
    <row r="127" spans="2:3" x14ac:dyDescent="0.25">
      <c r="B127" s="293">
        <v>42405</v>
      </c>
      <c r="C127" s="397">
        <v>24616.97</v>
      </c>
    </row>
    <row r="128" spans="2:3" x14ac:dyDescent="0.25">
      <c r="B128" s="293">
        <v>42408</v>
      </c>
      <c r="C128" s="397">
        <v>24287.42</v>
      </c>
    </row>
    <row r="129" spans="2:3" x14ac:dyDescent="0.25">
      <c r="B129" s="293">
        <v>42409</v>
      </c>
      <c r="C129" s="397">
        <v>24020.98</v>
      </c>
    </row>
    <row r="130" spans="2:3" x14ac:dyDescent="0.25">
      <c r="B130" s="293">
        <v>42410</v>
      </c>
      <c r="C130" s="397">
        <v>23758.9</v>
      </c>
    </row>
    <row r="131" spans="2:3" x14ac:dyDescent="0.25">
      <c r="B131" s="293">
        <v>42411</v>
      </c>
      <c r="C131" s="397">
        <v>22951.83</v>
      </c>
    </row>
    <row r="132" spans="2:3" x14ac:dyDescent="0.25">
      <c r="B132" s="293">
        <v>42412</v>
      </c>
      <c r="C132" s="397">
        <v>22986.12</v>
      </c>
    </row>
    <row r="133" spans="2:3" x14ac:dyDescent="0.25">
      <c r="B133" s="293">
        <v>42415</v>
      </c>
      <c r="C133" s="397">
        <v>23554.12</v>
      </c>
    </row>
    <row r="134" spans="2:3" x14ac:dyDescent="0.25">
      <c r="B134" s="293">
        <v>42416</v>
      </c>
      <c r="C134" s="397">
        <v>23191.97</v>
      </c>
    </row>
    <row r="135" spans="2:3" x14ac:dyDescent="0.25">
      <c r="B135" s="293">
        <v>42417</v>
      </c>
      <c r="C135" s="397">
        <v>23381.87</v>
      </c>
    </row>
    <row r="136" spans="2:3" x14ac:dyDescent="0.25">
      <c r="B136" s="293">
        <v>42418</v>
      </c>
      <c r="C136" s="397">
        <v>23649.22</v>
      </c>
    </row>
    <row r="137" spans="2:3" x14ac:dyDescent="0.25">
      <c r="B137" s="293">
        <v>42419</v>
      </c>
      <c r="C137" s="397">
        <v>23709.15</v>
      </c>
    </row>
    <row r="138" spans="2:3" x14ac:dyDescent="0.25">
      <c r="B138" s="293">
        <v>42422</v>
      </c>
      <c r="C138" s="397">
        <v>23788.79</v>
      </c>
    </row>
    <row r="139" spans="2:3" x14ac:dyDescent="0.25">
      <c r="B139" s="293">
        <v>42423</v>
      </c>
      <c r="C139" s="397">
        <v>23410.18</v>
      </c>
    </row>
    <row r="140" spans="2:3" x14ac:dyDescent="0.25">
      <c r="B140" s="293">
        <v>42424</v>
      </c>
      <c r="C140" s="397">
        <v>23088.93</v>
      </c>
    </row>
    <row r="141" spans="2:3" x14ac:dyDescent="0.25">
      <c r="B141" s="293">
        <v>42425</v>
      </c>
      <c r="C141" s="397">
        <v>22976</v>
      </c>
    </row>
    <row r="142" spans="2:3" x14ac:dyDescent="0.25">
      <c r="B142" s="293">
        <v>42426</v>
      </c>
      <c r="C142" s="397">
        <v>23154.3</v>
      </c>
    </row>
    <row r="143" spans="2:3" x14ac:dyDescent="0.25">
      <c r="B143" s="293">
        <v>42429</v>
      </c>
      <c r="C143" s="397">
        <v>23002</v>
      </c>
    </row>
    <row r="144" spans="2:3" x14ac:dyDescent="0.25">
      <c r="B144" s="293">
        <v>42430</v>
      </c>
      <c r="C144" s="397">
        <v>23779.35</v>
      </c>
    </row>
    <row r="145" spans="2:3" x14ac:dyDescent="0.25">
      <c r="B145" s="293">
        <v>42431</v>
      </c>
      <c r="C145" s="397">
        <v>24242.98</v>
      </c>
    </row>
    <row r="146" spans="2:3" x14ac:dyDescent="0.25">
      <c r="B146" s="293">
        <v>42432</v>
      </c>
      <c r="C146" s="397">
        <v>24606.99</v>
      </c>
    </row>
    <row r="147" spans="2:3" x14ac:dyDescent="0.25">
      <c r="B147" s="293">
        <v>42433</v>
      </c>
      <c r="C147" s="397">
        <v>24646.48</v>
      </c>
    </row>
    <row r="148" spans="2:3" x14ac:dyDescent="0.25">
      <c r="B148" s="293">
        <v>42437</v>
      </c>
      <c r="C148" s="397">
        <v>24659.23</v>
      </c>
    </row>
    <row r="149" spans="2:3" x14ac:dyDescent="0.25">
      <c r="B149" s="293">
        <v>42438</v>
      </c>
      <c r="C149" s="397">
        <v>24793.96</v>
      </c>
    </row>
    <row r="150" spans="2:3" x14ac:dyDescent="0.25">
      <c r="B150" s="293">
        <v>42439</v>
      </c>
      <c r="C150" s="397">
        <v>24623.34</v>
      </c>
    </row>
    <row r="151" spans="2:3" x14ac:dyDescent="0.25">
      <c r="B151" s="293">
        <v>42440</v>
      </c>
      <c r="C151" s="397">
        <v>24717.99</v>
      </c>
    </row>
    <row r="152" spans="2:3" x14ac:dyDescent="0.25">
      <c r="B152" s="293">
        <v>42443</v>
      </c>
      <c r="C152" s="397">
        <v>24804.28</v>
      </c>
    </row>
    <row r="153" spans="2:3" x14ac:dyDescent="0.25">
      <c r="B153" s="293">
        <v>42444</v>
      </c>
      <c r="C153" s="397">
        <v>24551.17</v>
      </c>
    </row>
    <row r="154" spans="2:3" x14ac:dyDescent="0.25">
      <c r="B154" s="293">
        <v>42445</v>
      </c>
      <c r="C154" s="397">
        <v>24682.48</v>
      </c>
    </row>
    <row r="155" spans="2:3" x14ac:dyDescent="0.25">
      <c r="B155" s="293">
        <v>42446</v>
      </c>
      <c r="C155" s="397">
        <v>24677.37</v>
      </c>
    </row>
    <row r="156" spans="2:3" x14ac:dyDescent="0.25">
      <c r="B156" s="293">
        <v>42447</v>
      </c>
      <c r="C156" s="397">
        <v>24952.74</v>
      </c>
    </row>
    <row r="157" spans="2:3" x14ac:dyDescent="0.25">
      <c r="B157" s="293">
        <v>42450</v>
      </c>
      <c r="C157" s="397">
        <v>25285.37</v>
      </c>
    </row>
    <row r="158" spans="2:3" x14ac:dyDescent="0.25">
      <c r="B158" s="293">
        <v>42451</v>
      </c>
      <c r="C158" s="397">
        <v>25330.49</v>
      </c>
    </row>
    <row r="159" spans="2:3" x14ac:dyDescent="0.25">
      <c r="B159" s="293">
        <v>42452</v>
      </c>
      <c r="C159" s="397">
        <v>25337.56</v>
      </c>
    </row>
    <row r="160" spans="2:3" x14ac:dyDescent="0.25">
      <c r="B160" s="293">
        <v>42457</v>
      </c>
      <c r="C160" s="397">
        <v>24966.400000000001</v>
      </c>
    </row>
    <row r="161" spans="2:3" x14ac:dyDescent="0.25">
      <c r="B161" s="293">
        <v>42458</v>
      </c>
      <c r="C161" s="397">
        <v>24900.46</v>
      </c>
    </row>
    <row r="162" spans="2:3" x14ac:dyDescent="0.25">
      <c r="B162" s="293">
        <v>42459</v>
      </c>
      <c r="C162" s="397">
        <v>25338.58</v>
      </c>
    </row>
    <row r="163" spans="2:3" x14ac:dyDescent="0.25">
      <c r="B163" s="293">
        <v>42460</v>
      </c>
      <c r="C163" s="397">
        <v>25341.86</v>
      </c>
    </row>
    <row r="164" spans="2:3" x14ac:dyDescent="0.25">
      <c r="B164" s="293">
        <v>42461</v>
      </c>
      <c r="C164" s="397">
        <v>25269.64</v>
      </c>
    </row>
    <row r="165" spans="2:3" x14ac:dyDescent="0.25">
      <c r="B165" s="293">
        <v>42464</v>
      </c>
      <c r="C165" s="397">
        <v>25399.65</v>
      </c>
    </row>
    <row r="166" spans="2:3" x14ac:dyDescent="0.25">
      <c r="B166" s="293">
        <v>42465</v>
      </c>
      <c r="C166" s="397">
        <v>24883.59</v>
      </c>
    </row>
    <row r="167" spans="2:3" x14ac:dyDescent="0.25">
      <c r="B167" s="293">
        <v>42466</v>
      </c>
      <c r="C167" s="397">
        <v>24900.63</v>
      </c>
    </row>
    <row r="168" spans="2:3" x14ac:dyDescent="0.25">
      <c r="B168" s="293">
        <v>42467</v>
      </c>
      <c r="C168" s="397">
        <v>24685.42</v>
      </c>
    </row>
    <row r="169" spans="2:3" x14ac:dyDescent="0.25">
      <c r="B169" s="293">
        <v>42468</v>
      </c>
      <c r="C169" s="397">
        <v>24673.84</v>
      </c>
    </row>
    <row r="170" spans="2:3" x14ac:dyDescent="0.25">
      <c r="B170" s="293">
        <v>42471</v>
      </c>
      <c r="C170" s="397">
        <v>25022.16</v>
      </c>
    </row>
    <row r="171" spans="2:3" x14ac:dyDescent="0.25">
      <c r="B171" s="293">
        <v>42472</v>
      </c>
      <c r="C171" s="397">
        <v>25145.59</v>
      </c>
    </row>
    <row r="172" spans="2:3" x14ac:dyDescent="0.25">
      <c r="B172" s="293">
        <v>42473</v>
      </c>
      <c r="C172" s="397">
        <v>25626.75</v>
      </c>
    </row>
    <row r="173" spans="2:3" x14ac:dyDescent="0.25">
      <c r="B173" s="293">
        <v>42478</v>
      </c>
      <c r="C173" s="397">
        <v>25816.36</v>
      </c>
    </row>
    <row r="174" spans="2:3" x14ac:dyDescent="0.25">
      <c r="B174" s="293">
        <v>42480</v>
      </c>
      <c r="C174" s="397">
        <v>25844.18</v>
      </c>
    </row>
    <row r="175" spans="2:3" x14ac:dyDescent="0.25">
      <c r="B175" s="293">
        <v>42481</v>
      </c>
      <c r="C175" s="397">
        <v>25880.38</v>
      </c>
    </row>
    <row r="176" spans="2:3" x14ac:dyDescent="0.25">
      <c r="B176" s="293">
        <v>42482</v>
      </c>
      <c r="C176" s="397">
        <v>25838.14</v>
      </c>
    </row>
    <row r="177" spans="2:3" x14ac:dyDescent="0.25">
      <c r="B177" s="293">
        <v>42485</v>
      </c>
      <c r="C177" s="397">
        <v>25678.93</v>
      </c>
    </row>
    <row r="178" spans="2:3" x14ac:dyDescent="0.25">
      <c r="B178" s="293">
        <v>42486</v>
      </c>
      <c r="C178" s="397">
        <v>26007.3</v>
      </c>
    </row>
    <row r="179" spans="2:3" x14ac:dyDescent="0.25">
      <c r="B179" s="293">
        <v>42487</v>
      </c>
      <c r="C179" s="397">
        <v>26064.12</v>
      </c>
    </row>
    <row r="180" spans="2:3" x14ac:dyDescent="0.25">
      <c r="B180" s="293">
        <v>42488</v>
      </c>
      <c r="C180" s="397">
        <v>25603.1</v>
      </c>
    </row>
    <row r="181" spans="2:3" x14ac:dyDescent="0.25">
      <c r="B181" s="293">
        <v>42489</v>
      </c>
      <c r="C181" s="397">
        <v>25606.62</v>
      </c>
    </row>
    <row r="182" spans="2:3" x14ac:dyDescent="0.25">
      <c r="B182" s="293">
        <v>42492</v>
      </c>
      <c r="C182" s="397">
        <v>25436.97</v>
      </c>
    </row>
    <row r="183" spans="2:3" x14ac:dyDescent="0.25">
      <c r="B183" s="293">
        <v>42493</v>
      </c>
      <c r="C183" s="397">
        <v>25229.7</v>
      </c>
    </row>
    <row r="184" spans="2:3" x14ac:dyDescent="0.25">
      <c r="B184" s="293">
        <v>42494</v>
      </c>
      <c r="C184" s="397">
        <v>25101.73</v>
      </c>
    </row>
    <row r="185" spans="2:3" x14ac:dyDescent="0.25">
      <c r="B185" s="293">
        <v>42495</v>
      </c>
      <c r="C185" s="397">
        <v>25262.21</v>
      </c>
    </row>
    <row r="186" spans="2:3" x14ac:dyDescent="0.25">
      <c r="B186" s="293">
        <v>42496</v>
      </c>
      <c r="C186" s="397">
        <v>25228.5</v>
      </c>
    </row>
    <row r="187" spans="2:3" x14ac:dyDescent="0.25">
      <c r="B187" s="293">
        <v>42499</v>
      </c>
      <c r="C187" s="397">
        <v>25688.86</v>
      </c>
    </row>
    <row r="188" spans="2:3" x14ac:dyDescent="0.25">
      <c r="B188" s="293">
        <v>42500</v>
      </c>
      <c r="C188" s="397">
        <v>25772.53</v>
      </c>
    </row>
    <row r="189" spans="2:3" x14ac:dyDescent="0.25">
      <c r="B189" s="293">
        <v>42501</v>
      </c>
      <c r="C189" s="397">
        <v>25597.02</v>
      </c>
    </row>
    <row r="190" spans="2:3" x14ac:dyDescent="0.25">
      <c r="B190" s="293">
        <v>42502</v>
      </c>
      <c r="C190" s="397">
        <v>25790.22</v>
      </c>
    </row>
    <row r="191" spans="2:3" x14ac:dyDescent="0.25">
      <c r="B191" s="293">
        <v>42503</v>
      </c>
      <c r="C191" s="397">
        <v>25489.57</v>
      </c>
    </row>
    <row r="192" spans="2:3" x14ac:dyDescent="0.25">
      <c r="B192" s="293">
        <v>42506</v>
      </c>
      <c r="C192" s="397">
        <v>25653.23</v>
      </c>
    </row>
    <row r="193" spans="2:3" x14ac:dyDescent="0.25">
      <c r="B193" s="293">
        <v>42507</v>
      </c>
      <c r="C193" s="397">
        <v>25773.61</v>
      </c>
    </row>
    <row r="194" spans="2:3" x14ac:dyDescent="0.25">
      <c r="B194" s="293">
        <v>42508</v>
      </c>
      <c r="C194" s="397">
        <v>25704.61</v>
      </c>
    </row>
    <row r="195" spans="2:3" x14ac:dyDescent="0.25">
      <c r="B195" s="293">
        <v>42509</v>
      </c>
      <c r="C195" s="397">
        <v>25399.72</v>
      </c>
    </row>
    <row r="196" spans="2:3" x14ac:dyDescent="0.25">
      <c r="B196" s="293">
        <v>42510</v>
      </c>
      <c r="C196" s="397">
        <v>25301.9</v>
      </c>
    </row>
    <row r="197" spans="2:3" x14ac:dyDescent="0.25">
      <c r="B197" s="293">
        <v>42513</v>
      </c>
      <c r="C197" s="397">
        <v>25230.36</v>
      </c>
    </row>
    <row r="198" spans="2:3" x14ac:dyDescent="0.25">
      <c r="B198" s="293">
        <v>42514</v>
      </c>
      <c r="C198" s="397">
        <v>25305.47</v>
      </c>
    </row>
    <row r="199" spans="2:3" x14ac:dyDescent="0.25">
      <c r="B199" s="293">
        <v>42515</v>
      </c>
      <c r="C199" s="397">
        <v>25881.17</v>
      </c>
    </row>
    <row r="200" spans="2:3" x14ac:dyDescent="0.25">
      <c r="B200" s="293">
        <v>42516</v>
      </c>
      <c r="C200" s="397">
        <v>26366.68</v>
      </c>
    </row>
    <row r="201" spans="2:3" x14ac:dyDescent="0.25">
      <c r="B201" s="293">
        <v>42517</v>
      </c>
      <c r="C201" s="397">
        <v>26653.599999999999</v>
      </c>
    </row>
    <row r="202" spans="2:3" x14ac:dyDescent="0.25">
      <c r="B202" s="293">
        <v>42520</v>
      </c>
      <c r="C202" s="397">
        <v>26725.599999999999</v>
      </c>
    </row>
    <row r="203" spans="2:3" x14ac:dyDescent="0.25">
      <c r="B203" s="293">
        <v>42521</v>
      </c>
      <c r="C203" s="397">
        <v>26667.96</v>
      </c>
    </row>
    <row r="204" spans="2:3" x14ac:dyDescent="0.25">
      <c r="B204" s="293">
        <v>42522</v>
      </c>
      <c r="C204" s="397">
        <v>26713.93</v>
      </c>
    </row>
    <row r="205" spans="2:3" x14ac:dyDescent="0.25">
      <c r="B205" s="293">
        <v>42523</v>
      </c>
      <c r="C205" s="397">
        <v>26843.14</v>
      </c>
    </row>
    <row r="206" spans="2:3" x14ac:dyDescent="0.25">
      <c r="B206" s="293">
        <v>42524</v>
      </c>
      <c r="C206" s="397">
        <v>26843.03</v>
      </c>
    </row>
    <row r="207" spans="2:3" x14ac:dyDescent="0.25">
      <c r="B207" s="293">
        <v>42527</v>
      </c>
      <c r="C207" s="397">
        <v>26777.45</v>
      </c>
    </row>
    <row r="208" spans="2:3" x14ac:dyDescent="0.25">
      <c r="B208" s="293">
        <v>42528</v>
      </c>
      <c r="C208" s="397">
        <v>27009.67</v>
      </c>
    </row>
    <row r="209" spans="2:3" x14ac:dyDescent="0.25">
      <c r="B209" s="293">
        <v>42529</v>
      </c>
      <c r="C209" s="397">
        <v>27020.66</v>
      </c>
    </row>
    <row r="210" spans="2:3" x14ac:dyDescent="0.25">
      <c r="B210" s="293">
        <v>42530</v>
      </c>
      <c r="C210" s="397">
        <v>26763.46</v>
      </c>
    </row>
    <row r="211" spans="2:3" x14ac:dyDescent="0.25">
      <c r="B211" s="293">
        <v>42531</v>
      </c>
      <c r="C211" s="397">
        <v>26635.75</v>
      </c>
    </row>
    <row r="212" spans="2:3" x14ac:dyDescent="0.25">
      <c r="B212" s="293">
        <v>42534</v>
      </c>
      <c r="C212" s="397">
        <v>26396.77</v>
      </c>
    </row>
    <row r="213" spans="2:3" x14ac:dyDescent="0.25">
      <c r="B213" s="293">
        <v>42535</v>
      </c>
      <c r="C213" s="397">
        <v>26395.71</v>
      </c>
    </row>
    <row r="214" spans="2:3" x14ac:dyDescent="0.25">
      <c r="B214" s="293">
        <v>42536</v>
      </c>
      <c r="C214" s="397">
        <v>26726.34</v>
      </c>
    </row>
    <row r="215" spans="2:3" x14ac:dyDescent="0.25">
      <c r="B215" s="293">
        <v>42537</v>
      </c>
      <c r="C215" s="397">
        <v>26525.46</v>
      </c>
    </row>
    <row r="216" spans="2:3" x14ac:dyDescent="0.25">
      <c r="B216" s="293">
        <v>42538</v>
      </c>
      <c r="C216" s="397">
        <v>26625.91</v>
      </c>
    </row>
    <row r="217" spans="2:3" x14ac:dyDescent="0.25">
      <c r="B217" s="293">
        <v>42541</v>
      </c>
      <c r="C217" s="397">
        <v>26866.92</v>
      </c>
    </row>
    <row r="218" spans="2:3" x14ac:dyDescent="0.25">
      <c r="B218" s="293">
        <v>42542</v>
      </c>
      <c r="C218" s="397">
        <v>26812.78</v>
      </c>
    </row>
    <row r="219" spans="2:3" x14ac:dyDescent="0.25">
      <c r="B219" s="293">
        <v>42543</v>
      </c>
      <c r="C219" s="397">
        <v>26765.65</v>
      </c>
    </row>
    <row r="220" spans="2:3" x14ac:dyDescent="0.25">
      <c r="B220" s="293">
        <v>42544</v>
      </c>
      <c r="C220" s="397">
        <v>27002.22</v>
      </c>
    </row>
    <row r="221" spans="2:3" x14ac:dyDescent="0.25">
      <c r="B221" s="293">
        <v>42545</v>
      </c>
      <c r="C221" s="397">
        <v>26397.71</v>
      </c>
    </row>
    <row r="222" spans="2:3" x14ac:dyDescent="0.25">
      <c r="B222" s="293">
        <v>42548</v>
      </c>
      <c r="C222" s="397">
        <v>26402.959999999999</v>
      </c>
    </row>
    <row r="223" spans="2:3" x14ac:dyDescent="0.25">
      <c r="B223" s="293">
        <v>42549</v>
      </c>
      <c r="C223" s="397">
        <v>26524.55</v>
      </c>
    </row>
    <row r="224" spans="2:3" x14ac:dyDescent="0.25">
      <c r="B224" s="293">
        <v>42550</v>
      </c>
      <c r="C224" s="397">
        <v>26740.39</v>
      </c>
    </row>
    <row r="225" spans="2:3" x14ac:dyDescent="0.25">
      <c r="B225" s="293">
        <v>42551</v>
      </c>
      <c r="C225" s="397">
        <v>26999.72</v>
      </c>
    </row>
    <row r="226" spans="2:3" x14ac:dyDescent="0.25">
      <c r="B226" s="293">
        <v>42552</v>
      </c>
      <c r="C226" s="397">
        <v>27144.91</v>
      </c>
    </row>
    <row r="227" spans="2:3" x14ac:dyDescent="0.25">
      <c r="B227" s="293">
        <v>42555</v>
      </c>
      <c r="C227" s="397">
        <v>27278.76</v>
      </c>
    </row>
    <row r="228" spans="2:3" x14ac:dyDescent="0.25">
      <c r="B228" s="293">
        <v>42556</v>
      </c>
      <c r="C228" s="397">
        <v>27166.87</v>
      </c>
    </row>
    <row r="229" spans="2:3" x14ac:dyDescent="0.25">
      <c r="B229" s="293">
        <v>42558</v>
      </c>
      <c r="C229" s="397">
        <v>27201.49</v>
      </c>
    </row>
    <row r="230" spans="2:3" x14ac:dyDescent="0.25">
      <c r="B230" s="293">
        <v>42559</v>
      </c>
      <c r="C230" s="397">
        <v>27126.9</v>
      </c>
    </row>
    <row r="231" spans="2:3" x14ac:dyDescent="0.25">
      <c r="B231" s="293">
        <v>42562</v>
      </c>
      <c r="C231" s="397">
        <v>27626.69</v>
      </c>
    </row>
    <row r="232" spans="2:3" x14ac:dyDescent="0.25">
      <c r="B232" s="293">
        <v>42563</v>
      </c>
      <c r="C232" s="397">
        <v>27808.14</v>
      </c>
    </row>
    <row r="233" spans="2:3" x14ac:dyDescent="0.25">
      <c r="B233" s="293">
        <v>42564</v>
      </c>
      <c r="C233" s="397">
        <v>27815.18</v>
      </c>
    </row>
    <row r="234" spans="2:3" x14ac:dyDescent="0.25">
      <c r="B234" s="293">
        <v>42565</v>
      </c>
      <c r="C234" s="397">
        <v>27942.11</v>
      </c>
    </row>
    <row r="235" spans="2:3" x14ac:dyDescent="0.25">
      <c r="B235" s="293">
        <v>42566</v>
      </c>
      <c r="C235" s="397">
        <v>27836.5</v>
      </c>
    </row>
    <row r="236" spans="2:3" x14ac:dyDescent="0.25">
      <c r="B236" s="293">
        <v>42569</v>
      </c>
      <c r="C236" s="397">
        <v>27746.66</v>
      </c>
    </row>
    <row r="237" spans="2:3" x14ac:dyDescent="0.25">
      <c r="B237" s="293">
        <v>42570</v>
      </c>
      <c r="C237" s="397">
        <v>27787.62</v>
      </c>
    </row>
    <row r="238" spans="2:3" x14ac:dyDescent="0.25">
      <c r="B238" s="293">
        <v>42571</v>
      </c>
      <c r="C238" s="397">
        <v>27915.89</v>
      </c>
    </row>
    <row r="239" spans="2:3" x14ac:dyDescent="0.25">
      <c r="B239" s="293">
        <v>42572</v>
      </c>
      <c r="C239" s="397">
        <v>27710.52</v>
      </c>
    </row>
    <row r="240" spans="2:3" x14ac:dyDescent="0.25">
      <c r="B240" s="293">
        <v>42573</v>
      </c>
      <c r="C240" s="397">
        <v>27803.24</v>
      </c>
    </row>
    <row r="241" spans="2:3" x14ac:dyDescent="0.25">
      <c r="B241" s="293">
        <v>42576</v>
      </c>
      <c r="C241" s="397">
        <v>28095.34</v>
      </c>
    </row>
    <row r="242" spans="2:3" x14ac:dyDescent="0.25">
      <c r="B242" s="293">
        <v>42577</v>
      </c>
      <c r="C242" s="397">
        <v>27976.52</v>
      </c>
    </row>
    <row r="243" spans="2:3" x14ac:dyDescent="0.25">
      <c r="B243" s="293">
        <v>42578</v>
      </c>
      <c r="C243" s="397">
        <v>28024.33</v>
      </c>
    </row>
    <row r="244" spans="2:3" x14ac:dyDescent="0.25">
      <c r="B244" s="293">
        <v>42579</v>
      </c>
      <c r="C244" s="397">
        <v>28208.62</v>
      </c>
    </row>
    <row r="245" spans="2:3" x14ac:dyDescent="0.25">
      <c r="B245" s="293">
        <v>42580</v>
      </c>
      <c r="C245" s="397">
        <v>28051.86</v>
      </c>
    </row>
    <row r="246" spans="2:3" x14ac:dyDescent="0.25">
      <c r="B246" s="293">
        <v>42583</v>
      </c>
      <c r="C246" s="397">
        <v>28003.119999999999</v>
      </c>
    </row>
    <row r="247" spans="2:3" x14ac:dyDescent="0.25">
      <c r="B247" s="293">
        <v>42584</v>
      </c>
      <c r="C247" s="397">
        <v>27981.71</v>
      </c>
    </row>
    <row r="248" spans="2:3" x14ac:dyDescent="0.25">
      <c r="B248" s="293">
        <v>42585</v>
      </c>
      <c r="C248" s="397">
        <v>27697.51</v>
      </c>
    </row>
    <row r="249" spans="2:3" x14ac:dyDescent="0.25">
      <c r="B249" s="293">
        <v>42586</v>
      </c>
      <c r="C249" s="397">
        <v>27714.37</v>
      </c>
    </row>
    <row r="250" spans="2:3" x14ac:dyDescent="0.25">
      <c r="B250" s="293">
        <v>42587</v>
      </c>
      <c r="C250" s="397">
        <v>28078.35</v>
      </c>
    </row>
    <row r="251" spans="2:3" x14ac:dyDescent="0.25">
      <c r="B251" s="293">
        <v>42590</v>
      </c>
      <c r="C251" s="397">
        <v>28182.57</v>
      </c>
    </row>
    <row r="252" spans="2:3" x14ac:dyDescent="0.25">
      <c r="B252" s="293">
        <v>42591</v>
      </c>
      <c r="C252" s="397">
        <v>28085.16</v>
      </c>
    </row>
    <row r="253" spans="2:3" x14ac:dyDescent="0.25">
      <c r="B253" s="293">
        <v>42592</v>
      </c>
      <c r="C253" s="397">
        <v>27774.880000000001</v>
      </c>
    </row>
    <row r="254" spans="2:3" x14ac:dyDescent="0.25">
      <c r="B254" s="293">
        <v>42593</v>
      </c>
      <c r="C254" s="397">
        <v>27859.599999999999</v>
      </c>
    </row>
    <row r="255" spans="2:3" x14ac:dyDescent="0.25">
      <c r="B255" s="293">
        <v>42594</v>
      </c>
      <c r="C255" s="397">
        <v>28152.400000000001</v>
      </c>
    </row>
    <row r="256" spans="2:3" x14ac:dyDescent="0.25">
      <c r="B256" s="293">
        <v>42598</v>
      </c>
      <c r="C256" s="397">
        <v>28064.61</v>
      </c>
    </row>
    <row r="257" spans="2:3" x14ac:dyDescent="0.25">
      <c r="B257" s="293">
        <v>42599</v>
      </c>
      <c r="C257" s="397">
        <v>28005.37</v>
      </c>
    </row>
    <row r="258" spans="2:3" x14ac:dyDescent="0.25">
      <c r="B258" s="293">
        <v>42600</v>
      </c>
      <c r="C258" s="397">
        <v>28123.439999999999</v>
      </c>
    </row>
    <row r="259" spans="2:3" x14ac:dyDescent="0.25">
      <c r="B259" s="293">
        <v>42601</v>
      </c>
      <c r="C259" s="397">
        <v>28077</v>
      </c>
    </row>
    <row r="260" spans="2:3" x14ac:dyDescent="0.25">
      <c r="B260" s="293">
        <v>42604</v>
      </c>
      <c r="C260" s="397">
        <v>27985.54</v>
      </c>
    </row>
    <row r="261" spans="2:3" x14ac:dyDescent="0.25">
      <c r="B261" s="293">
        <v>42605</v>
      </c>
      <c r="C261" s="397">
        <v>27990.21</v>
      </c>
    </row>
    <row r="262" spans="2:3" x14ac:dyDescent="0.25">
      <c r="B262" s="293">
        <v>42606</v>
      </c>
      <c r="C262" s="397">
        <v>28059.94</v>
      </c>
    </row>
    <row r="263" spans="2:3" x14ac:dyDescent="0.25">
      <c r="B263" s="293">
        <v>42607</v>
      </c>
      <c r="C263" s="397">
        <v>27835.91</v>
      </c>
    </row>
    <row r="264" spans="2:3" x14ac:dyDescent="0.25">
      <c r="B264" s="293">
        <v>42608</v>
      </c>
      <c r="C264" s="397">
        <v>27782.25</v>
      </c>
    </row>
    <row r="265" spans="2:3" x14ac:dyDescent="0.25">
      <c r="B265" s="293">
        <v>42611</v>
      </c>
      <c r="C265" s="397">
        <v>27902.66</v>
      </c>
    </row>
    <row r="266" spans="2:3" x14ac:dyDescent="0.25">
      <c r="B266" s="293">
        <v>42612</v>
      </c>
      <c r="C266" s="397">
        <v>28343.01</v>
      </c>
    </row>
    <row r="267" spans="2:3" x14ac:dyDescent="0.25">
      <c r="B267" s="293">
        <v>42613</v>
      </c>
      <c r="C267" s="397">
        <v>28452.17</v>
      </c>
    </row>
    <row r="268" spans="2:3" x14ac:dyDescent="0.25">
      <c r="B268" s="293">
        <v>42614</v>
      </c>
      <c r="C268" s="397">
        <v>28423.48</v>
      </c>
    </row>
    <row r="269" spans="2:3" x14ac:dyDescent="0.25">
      <c r="B269" s="293">
        <v>42615</v>
      </c>
      <c r="C269" s="397">
        <v>28532.11</v>
      </c>
    </row>
    <row r="270" spans="2:3" x14ac:dyDescent="0.25">
      <c r="B270" s="293">
        <v>42619</v>
      </c>
      <c r="C270" s="397">
        <v>28978.02</v>
      </c>
    </row>
    <row r="271" spans="2:3" x14ac:dyDescent="0.25">
      <c r="B271" s="293">
        <v>42620</v>
      </c>
      <c r="C271" s="397">
        <v>28926.36</v>
      </c>
    </row>
    <row r="272" spans="2:3" x14ac:dyDescent="0.25">
      <c r="B272" s="293">
        <v>42621</v>
      </c>
      <c r="C272" s="397">
        <v>29045.279999999999</v>
      </c>
    </row>
    <row r="273" spans="2:3" x14ac:dyDescent="0.25">
      <c r="B273" s="293">
        <v>42622</v>
      </c>
      <c r="C273" s="397">
        <v>28797.25</v>
      </c>
    </row>
    <row r="274" spans="2:3" x14ac:dyDescent="0.25">
      <c r="B274" s="293">
        <v>42625</v>
      </c>
      <c r="C274" s="397">
        <v>28353.54</v>
      </c>
    </row>
    <row r="275" spans="2:3" x14ac:dyDescent="0.25">
      <c r="B275" s="293">
        <v>42627</v>
      </c>
      <c r="C275" s="397">
        <v>28372.23</v>
      </c>
    </row>
    <row r="276" spans="2:3" x14ac:dyDescent="0.25">
      <c r="B276" s="293">
        <v>42628</v>
      </c>
      <c r="C276" s="397">
        <v>28412.89</v>
      </c>
    </row>
    <row r="277" spans="2:3" x14ac:dyDescent="0.25">
      <c r="B277" s="293">
        <v>42629</v>
      </c>
      <c r="C277" s="397">
        <v>28599.03</v>
      </c>
    </row>
    <row r="278" spans="2:3" x14ac:dyDescent="0.25">
      <c r="B278" s="293">
        <v>42632</v>
      </c>
      <c r="C278" s="397">
        <v>28634.5</v>
      </c>
    </row>
    <row r="279" spans="2:3" x14ac:dyDescent="0.25">
      <c r="B279" s="293">
        <v>42633</v>
      </c>
      <c r="C279" s="397">
        <v>28523.200000000001</v>
      </c>
    </row>
    <row r="280" spans="2:3" x14ac:dyDescent="0.25">
      <c r="B280" s="293">
        <v>42634</v>
      </c>
      <c r="C280" s="397">
        <v>28507.42</v>
      </c>
    </row>
    <row r="281" spans="2:3" x14ac:dyDescent="0.25">
      <c r="B281" s="293">
        <v>42635</v>
      </c>
      <c r="C281" s="397">
        <v>28773.13</v>
      </c>
    </row>
    <row r="282" spans="2:3" x14ac:dyDescent="0.25">
      <c r="B282" s="293">
        <v>42636</v>
      </c>
      <c r="C282" s="397">
        <v>28668.22</v>
      </c>
    </row>
    <row r="283" spans="2:3" x14ac:dyDescent="0.25">
      <c r="B283" s="293">
        <v>42639</v>
      </c>
      <c r="C283" s="397">
        <v>28294.28</v>
      </c>
    </row>
    <row r="284" spans="2:3" x14ac:dyDescent="0.25">
      <c r="B284" s="293">
        <v>42640</v>
      </c>
      <c r="C284" s="397">
        <v>28223.7</v>
      </c>
    </row>
    <row r="285" spans="2:3" x14ac:dyDescent="0.25">
      <c r="B285" s="293">
        <v>42641</v>
      </c>
      <c r="C285" s="397">
        <v>28292.81</v>
      </c>
    </row>
    <row r="286" spans="2:3" x14ac:dyDescent="0.25">
      <c r="B286" s="293">
        <v>42642</v>
      </c>
      <c r="C286" s="397">
        <v>27827.53</v>
      </c>
    </row>
    <row r="287" spans="2:3" x14ac:dyDescent="0.25">
      <c r="B287" s="293">
        <v>42643</v>
      </c>
      <c r="C287" s="397">
        <v>27865.96</v>
      </c>
    </row>
    <row r="288" spans="2:3" x14ac:dyDescent="0.25">
      <c r="B288" s="293">
        <v>42646</v>
      </c>
      <c r="C288" s="397">
        <v>28243.29</v>
      </c>
    </row>
    <row r="289" spans="2:3" x14ac:dyDescent="0.25">
      <c r="B289" s="293">
        <v>42647</v>
      </c>
      <c r="C289" s="397">
        <v>28334.55</v>
      </c>
    </row>
    <row r="290" spans="2:3" x14ac:dyDescent="0.25">
      <c r="B290" s="293">
        <v>42648</v>
      </c>
      <c r="C290" s="397">
        <v>28220.98</v>
      </c>
    </row>
    <row r="291" spans="2:3" x14ac:dyDescent="0.25">
      <c r="B291" s="293">
        <v>42649</v>
      </c>
      <c r="C291" s="397">
        <v>28106.21</v>
      </c>
    </row>
    <row r="292" spans="2:3" x14ac:dyDescent="0.25">
      <c r="B292" s="293">
        <v>42650</v>
      </c>
      <c r="C292" s="397">
        <v>28061.14</v>
      </c>
    </row>
    <row r="293" spans="2:3" x14ac:dyDescent="0.25">
      <c r="B293" s="293">
        <v>42653</v>
      </c>
      <c r="C293" s="397">
        <v>28082.34</v>
      </c>
    </row>
    <row r="294" spans="2:3" x14ac:dyDescent="0.25">
      <c r="B294" s="293">
        <v>42656</v>
      </c>
      <c r="C294" s="397">
        <v>27643.11</v>
      </c>
    </row>
    <row r="295" spans="2:3" x14ac:dyDescent="0.25">
      <c r="B295" s="293">
        <v>42657</v>
      </c>
      <c r="C295" s="397">
        <v>27673.599999999999</v>
      </c>
    </row>
    <row r="296" spans="2:3" x14ac:dyDescent="0.25">
      <c r="B296" s="293">
        <v>42660</v>
      </c>
      <c r="C296" s="397">
        <v>27529.97</v>
      </c>
    </row>
    <row r="297" spans="2:3" x14ac:dyDescent="0.25">
      <c r="B297" s="293">
        <v>42661</v>
      </c>
      <c r="C297" s="397">
        <v>28050.880000000001</v>
      </c>
    </row>
    <row r="298" spans="2:3" x14ac:dyDescent="0.25">
      <c r="B298" s="293">
        <v>42662</v>
      </c>
      <c r="C298" s="397">
        <v>27984.37</v>
      </c>
    </row>
    <row r="299" spans="2:3" x14ac:dyDescent="0.25">
      <c r="B299" s="293">
        <v>42663</v>
      </c>
      <c r="C299" s="397">
        <v>28129.84</v>
      </c>
    </row>
    <row r="300" spans="2:3" x14ac:dyDescent="0.25">
      <c r="B300" s="293">
        <v>42664</v>
      </c>
      <c r="C300" s="397">
        <v>28077.18</v>
      </c>
    </row>
    <row r="301" spans="2:3" x14ac:dyDescent="0.25">
      <c r="B301" s="293">
        <v>42667</v>
      </c>
      <c r="C301" s="397">
        <v>28179.08</v>
      </c>
    </row>
    <row r="302" spans="2:3" x14ac:dyDescent="0.25">
      <c r="B302" s="293">
        <v>42668</v>
      </c>
      <c r="C302" s="397">
        <v>28091.42</v>
      </c>
    </row>
    <row r="303" spans="2:3" x14ac:dyDescent="0.25">
      <c r="B303" s="293">
        <v>42669</v>
      </c>
      <c r="C303" s="397">
        <v>27836.51</v>
      </c>
    </row>
    <row r="304" spans="2:3" x14ac:dyDescent="0.25">
      <c r="B304" s="293">
        <v>42670</v>
      </c>
      <c r="C304" s="397">
        <v>27915.9</v>
      </c>
    </row>
    <row r="305" spans="2:3" x14ac:dyDescent="0.25">
      <c r="B305" s="293">
        <v>42671</v>
      </c>
      <c r="C305" s="397">
        <v>27941.51</v>
      </c>
    </row>
    <row r="306" spans="2:3" x14ac:dyDescent="0.25">
      <c r="B306" s="293">
        <v>42673</v>
      </c>
      <c r="C306" s="397">
        <v>27930.21</v>
      </c>
    </row>
    <row r="307" spans="2:3" x14ac:dyDescent="0.25">
      <c r="B307" s="293">
        <v>42675</v>
      </c>
      <c r="C307" s="397">
        <v>27876.61</v>
      </c>
    </row>
    <row r="308" spans="2:3" x14ac:dyDescent="0.25">
      <c r="B308" s="293">
        <v>42676</v>
      </c>
      <c r="C308" s="397">
        <v>27527.22</v>
      </c>
    </row>
    <row r="309" spans="2:3" x14ac:dyDescent="0.25">
      <c r="B309" s="293">
        <v>42677</v>
      </c>
      <c r="C309" s="397">
        <v>27430.28</v>
      </c>
    </row>
    <row r="310" spans="2:3" x14ac:dyDescent="0.25">
      <c r="B310" s="293">
        <v>42678</v>
      </c>
      <c r="C310" s="397">
        <v>27274.15</v>
      </c>
    </row>
    <row r="311" spans="2:3" x14ac:dyDescent="0.25">
      <c r="B311" s="293">
        <v>42681</v>
      </c>
      <c r="C311" s="397">
        <v>27458.99</v>
      </c>
    </row>
    <row r="312" spans="2:3" x14ac:dyDescent="0.25">
      <c r="B312" s="293">
        <v>42682</v>
      </c>
      <c r="C312" s="397">
        <v>27591.14</v>
      </c>
    </row>
    <row r="313" spans="2:3" x14ac:dyDescent="0.25">
      <c r="B313" s="293">
        <v>42683</v>
      </c>
      <c r="C313" s="397">
        <v>27252.53</v>
      </c>
    </row>
    <row r="314" spans="2:3" x14ac:dyDescent="0.25">
      <c r="B314" s="293">
        <v>42684</v>
      </c>
      <c r="C314" s="397">
        <v>27517.68</v>
      </c>
    </row>
    <row r="315" spans="2:3" x14ac:dyDescent="0.25">
      <c r="B315" s="293">
        <v>42685</v>
      </c>
      <c r="C315" s="397">
        <v>26818.82</v>
      </c>
    </row>
    <row r="316" spans="2:3" x14ac:dyDescent="0.25">
      <c r="B316" s="293">
        <v>42689</v>
      </c>
      <c r="C316" s="397">
        <v>26304.63</v>
      </c>
    </row>
    <row r="317" spans="2:3" x14ac:dyDescent="0.25">
      <c r="B317" s="293">
        <v>42690</v>
      </c>
      <c r="C317" s="397">
        <v>26298.69</v>
      </c>
    </row>
    <row r="318" spans="2:3" x14ac:dyDescent="0.25">
      <c r="B318" s="293">
        <v>42691</v>
      </c>
      <c r="C318" s="397">
        <v>26227.62</v>
      </c>
    </row>
    <row r="319" spans="2:3" x14ac:dyDescent="0.25">
      <c r="B319" s="293">
        <v>42692</v>
      </c>
      <c r="C319" s="397">
        <v>26150.240000000002</v>
      </c>
    </row>
    <row r="320" spans="2:3" x14ac:dyDescent="0.25">
      <c r="B320" s="293">
        <v>42695</v>
      </c>
      <c r="C320" s="397">
        <v>25765.14</v>
      </c>
    </row>
    <row r="321" spans="2:3" x14ac:dyDescent="0.25">
      <c r="B321" s="293">
        <v>42696</v>
      </c>
      <c r="C321" s="397">
        <v>25960.78</v>
      </c>
    </row>
    <row r="322" spans="2:3" x14ac:dyDescent="0.25">
      <c r="B322" s="293">
        <v>42697</v>
      </c>
      <c r="C322" s="397">
        <v>26051.81</v>
      </c>
    </row>
    <row r="323" spans="2:3" x14ac:dyDescent="0.25">
      <c r="B323" s="293">
        <v>42698</v>
      </c>
      <c r="C323" s="397">
        <v>25860.17</v>
      </c>
    </row>
    <row r="324" spans="2:3" x14ac:dyDescent="0.25">
      <c r="B324" s="293">
        <v>42699</v>
      </c>
      <c r="C324" s="397">
        <v>26316.34</v>
      </c>
    </row>
    <row r="325" spans="2:3" x14ac:dyDescent="0.25">
      <c r="B325" s="293">
        <v>42702</v>
      </c>
      <c r="C325" s="397">
        <v>26350.17</v>
      </c>
    </row>
    <row r="326" spans="2:3" x14ac:dyDescent="0.25">
      <c r="B326" s="293">
        <v>42703</v>
      </c>
      <c r="C326" s="397">
        <v>26394.01</v>
      </c>
    </row>
    <row r="327" spans="2:3" x14ac:dyDescent="0.25">
      <c r="B327" s="293">
        <v>42704</v>
      </c>
      <c r="C327" s="397">
        <v>26652.81</v>
      </c>
    </row>
    <row r="328" spans="2:3" x14ac:dyDescent="0.25">
      <c r="B328" s="293">
        <v>42705</v>
      </c>
      <c r="C328" s="397">
        <v>26559.919999999998</v>
      </c>
    </row>
    <row r="329" spans="2:3" x14ac:dyDescent="0.25">
      <c r="B329" s="293">
        <v>42706</v>
      </c>
      <c r="C329" s="397">
        <v>26230.66</v>
      </c>
    </row>
    <row r="330" spans="2:3" x14ac:dyDescent="0.25">
      <c r="B330" s="293">
        <v>42709</v>
      </c>
      <c r="C330" s="397">
        <v>26349.1</v>
      </c>
    </row>
    <row r="331" spans="2:3" x14ac:dyDescent="0.25">
      <c r="B331" s="293">
        <v>42710</v>
      </c>
      <c r="C331" s="397">
        <v>26392.76</v>
      </c>
    </row>
    <row r="332" spans="2:3" x14ac:dyDescent="0.25">
      <c r="B332" s="293">
        <v>42711</v>
      </c>
      <c r="C332" s="397">
        <v>26236.87</v>
      </c>
    </row>
    <row r="333" spans="2:3" x14ac:dyDescent="0.25">
      <c r="B333" s="293">
        <v>42712</v>
      </c>
      <c r="C333" s="397">
        <v>26694.28</v>
      </c>
    </row>
    <row r="334" spans="2:3" x14ac:dyDescent="0.25">
      <c r="B334" s="293">
        <v>42713</v>
      </c>
      <c r="C334" s="397">
        <v>26747.18</v>
      </c>
    </row>
    <row r="335" spans="2:3" x14ac:dyDescent="0.25">
      <c r="B335" s="293">
        <v>42716</v>
      </c>
      <c r="C335" s="397">
        <v>26515.24</v>
      </c>
    </row>
    <row r="336" spans="2:3" x14ac:dyDescent="0.25">
      <c r="B336" s="293">
        <v>42717</v>
      </c>
      <c r="C336" s="397">
        <v>26697.82</v>
      </c>
    </row>
    <row r="337" spans="2:3" x14ac:dyDescent="0.25">
      <c r="B337" s="293">
        <v>42718</v>
      </c>
      <c r="C337" s="397">
        <v>26602.84</v>
      </c>
    </row>
    <row r="338" spans="2:3" x14ac:dyDescent="0.25">
      <c r="B338" s="293">
        <v>42719</v>
      </c>
      <c r="C338" s="397">
        <v>26519.07</v>
      </c>
    </row>
    <row r="339" spans="2:3" x14ac:dyDescent="0.25">
      <c r="B339" s="293">
        <v>42720</v>
      </c>
      <c r="C339" s="397">
        <v>26489.56</v>
      </c>
    </row>
    <row r="340" spans="2:3" x14ac:dyDescent="0.25">
      <c r="B340" s="293">
        <v>42723</v>
      </c>
      <c r="C340" s="397">
        <v>26374.7</v>
      </c>
    </row>
    <row r="341" spans="2:3" x14ac:dyDescent="0.25">
      <c r="B341" s="293">
        <v>42724</v>
      </c>
      <c r="C341" s="397">
        <v>26307.98</v>
      </c>
    </row>
    <row r="342" spans="2:3" x14ac:dyDescent="0.25">
      <c r="B342" s="293">
        <v>42725</v>
      </c>
      <c r="C342" s="397">
        <v>26242.38</v>
      </c>
    </row>
    <row r="343" spans="2:3" x14ac:dyDescent="0.25">
      <c r="B343" s="293">
        <v>42726</v>
      </c>
      <c r="C343" s="397">
        <v>25979.599999999999</v>
      </c>
    </row>
    <row r="344" spans="2:3" x14ac:dyDescent="0.25">
      <c r="B344" s="293">
        <v>42727</v>
      </c>
      <c r="C344" s="397">
        <v>26040.7</v>
      </c>
    </row>
    <row r="345" spans="2:3" x14ac:dyDescent="0.25">
      <c r="B345" s="293">
        <v>42730</v>
      </c>
      <c r="C345" s="397">
        <v>25807.1</v>
      </c>
    </row>
    <row r="346" spans="2:3" x14ac:dyDescent="0.25">
      <c r="B346" s="293">
        <v>42731</v>
      </c>
      <c r="C346" s="397">
        <v>26213.439999999999</v>
      </c>
    </row>
    <row r="347" spans="2:3" x14ac:dyDescent="0.25">
      <c r="B347" s="293">
        <v>42732</v>
      </c>
      <c r="C347" s="397">
        <v>26210.68</v>
      </c>
    </row>
    <row r="348" spans="2:3" x14ac:dyDescent="0.25">
      <c r="B348" s="293">
        <v>42733</v>
      </c>
      <c r="C348" s="397">
        <v>26366.15</v>
      </c>
    </row>
    <row r="349" spans="2:3" x14ac:dyDescent="0.25">
      <c r="B349" s="293">
        <v>42734</v>
      </c>
      <c r="C349" s="397">
        <v>26626.46</v>
      </c>
    </row>
    <row r="350" spans="2:3" x14ac:dyDescent="0.25">
      <c r="B350" s="293">
        <v>42737</v>
      </c>
      <c r="C350" s="397">
        <v>26595.45</v>
      </c>
    </row>
    <row r="351" spans="2:3" x14ac:dyDescent="0.25">
      <c r="B351" s="293">
        <v>42738</v>
      </c>
      <c r="C351" s="397">
        <v>26643.24</v>
      </c>
    </row>
    <row r="352" spans="2:3" x14ac:dyDescent="0.25">
      <c r="B352" s="293">
        <v>42739</v>
      </c>
      <c r="C352" s="397">
        <v>26633.13</v>
      </c>
    </row>
    <row r="353" spans="2:3" x14ac:dyDescent="0.25">
      <c r="B353" s="293">
        <v>42740</v>
      </c>
      <c r="C353" s="397">
        <v>26878.240000000002</v>
      </c>
    </row>
    <row r="354" spans="2:3" x14ac:dyDescent="0.25">
      <c r="B354" s="293">
        <v>42741</v>
      </c>
      <c r="C354" s="397">
        <v>26759.23</v>
      </c>
    </row>
    <row r="355" spans="2:3" x14ac:dyDescent="0.25">
      <c r="B355" s="293">
        <v>42744</v>
      </c>
      <c r="C355" s="397">
        <v>26726.55</v>
      </c>
    </row>
    <row r="356" spans="2:3" x14ac:dyDescent="0.25">
      <c r="B356" s="293">
        <v>42745</v>
      </c>
      <c r="C356" s="397">
        <v>26899.56</v>
      </c>
    </row>
    <row r="357" spans="2:3" x14ac:dyDescent="0.25">
      <c r="B357" s="293">
        <v>42746</v>
      </c>
      <c r="C357" s="397">
        <v>27140.41</v>
      </c>
    </row>
    <row r="358" spans="2:3" x14ac:dyDescent="0.25">
      <c r="B358" s="293">
        <v>42747</v>
      </c>
      <c r="C358" s="397">
        <v>27247.16</v>
      </c>
    </row>
    <row r="359" spans="2:3" x14ac:dyDescent="0.25">
      <c r="B359" s="293">
        <v>42748</v>
      </c>
      <c r="C359" s="397">
        <v>27238.06</v>
      </c>
    </row>
    <row r="360" spans="2:3" x14ac:dyDescent="0.25">
      <c r="B360" s="293">
        <v>42751</v>
      </c>
      <c r="C360" s="397">
        <v>27288.17</v>
      </c>
    </row>
    <row r="361" spans="2:3" x14ac:dyDescent="0.25">
      <c r="B361" s="293">
        <v>42752</v>
      </c>
      <c r="C361" s="397">
        <v>27235.66</v>
      </c>
    </row>
    <row r="362" spans="2:3" x14ac:dyDescent="0.25">
      <c r="B362" s="293">
        <v>42753</v>
      </c>
      <c r="C362" s="397">
        <v>27257.64</v>
      </c>
    </row>
    <row r="363" spans="2:3" x14ac:dyDescent="0.25">
      <c r="B363" s="293">
        <v>42754</v>
      </c>
      <c r="C363" s="397">
        <v>27308.6</v>
      </c>
    </row>
    <row r="364" spans="2:3" x14ac:dyDescent="0.25">
      <c r="B364" s="293">
        <v>42755</v>
      </c>
      <c r="C364" s="397">
        <v>27034.5</v>
      </c>
    </row>
    <row r="365" spans="2:3" x14ac:dyDescent="0.25">
      <c r="B365" s="293">
        <v>42758</v>
      </c>
      <c r="C365" s="397">
        <v>27117.34</v>
      </c>
    </row>
    <row r="366" spans="2:3" x14ac:dyDescent="0.25">
      <c r="B366" s="293">
        <v>42759</v>
      </c>
      <c r="C366" s="397">
        <v>27375.58</v>
      </c>
    </row>
    <row r="367" spans="2:3" x14ac:dyDescent="0.25">
      <c r="B367" s="293">
        <v>42760</v>
      </c>
      <c r="C367" s="397">
        <v>27708.14</v>
      </c>
    </row>
    <row r="368" spans="2:3" x14ac:dyDescent="0.25">
      <c r="B368" s="293">
        <v>42762</v>
      </c>
      <c r="C368" s="397">
        <v>27882.46</v>
      </c>
    </row>
    <row r="369" spans="2:3" x14ac:dyDescent="0.25">
      <c r="B369" s="293">
        <v>42765</v>
      </c>
      <c r="C369" s="397">
        <v>27849.56</v>
      </c>
    </row>
    <row r="370" spans="2:3" x14ac:dyDescent="0.25">
      <c r="B370" s="293">
        <v>42766</v>
      </c>
      <c r="C370" s="397">
        <v>27655.96</v>
      </c>
    </row>
    <row r="371" spans="2:3" x14ac:dyDescent="0.25">
      <c r="B371" s="293">
        <v>42767</v>
      </c>
      <c r="C371" s="397">
        <v>28141.64</v>
      </c>
    </row>
    <row r="372" spans="2:3" x14ac:dyDescent="0.25">
      <c r="B372" s="293">
        <v>42768</v>
      </c>
      <c r="C372" s="397">
        <v>28226.61</v>
      </c>
    </row>
    <row r="373" spans="2:3" x14ac:dyDescent="0.25">
      <c r="B373" s="293">
        <v>42769</v>
      </c>
      <c r="C373" s="397">
        <v>28240.52</v>
      </c>
    </row>
    <row r="374" spans="2:3" x14ac:dyDescent="0.25">
      <c r="B374" s="293">
        <v>42772</v>
      </c>
      <c r="C374" s="397">
        <v>28439.279999999999</v>
      </c>
    </row>
    <row r="375" spans="2:3" x14ac:dyDescent="0.25">
      <c r="B375" s="293">
        <v>42773</v>
      </c>
      <c r="C375" s="397">
        <v>28335.16</v>
      </c>
    </row>
    <row r="376" spans="2:3" x14ac:dyDescent="0.25">
      <c r="B376" s="293">
        <v>42774</v>
      </c>
      <c r="C376" s="397">
        <v>28289.919999999998</v>
      </c>
    </row>
    <row r="377" spans="2:3" x14ac:dyDescent="0.25">
      <c r="B377" s="293">
        <v>42775</v>
      </c>
      <c r="C377" s="397">
        <v>28329.7</v>
      </c>
    </row>
    <row r="378" spans="2:3" x14ac:dyDescent="0.25">
      <c r="B378" s="293">
        <v>42776</v>
      </c>
      <c r="C378" s="397">
        <v>28334.25</v>
      </c>
    </row>
    <row r="379" spans="2:3" x14ac:dyDescent="0.25">
      <c r="B379" s="293">
        <v>42779</v>
      </c>
      <c r="C379" s="397">
        <v>28351.62</v>
      </c>
    </row>
    <row r="380" spans="2:3" x14ac:dyDescent="0.25">
      <c r="B380" s="293">
        <v>42780</v>
      </c>
      <c r="C380" s="397">
        <v>28339.31</v>
      </c>
    </row>
    <row r="381" spans="2:3" x14ac:dyDescent="0.25">
      <c r="B381" s="293">
        <v>42781</v>
      </c>
      <c r="C381" s="397">
        <v>28155.56</v>
      </c>
    </row>
    <row r="382" spans="2:3" x14ac:dyDescent="0.25">
      <c r="B382" s="293">
        <v>42782</v>
      </c>
      <c r="C382" s="397">
        <v>28301.27</v>
      </c>
    </row>
    <row r="383" spans="2:3" x14ac:dyDescent="0.25">
      <c r="B383" s="293">
        <v>42783</v>
      </c>
      <c r="C383" s="397">
        <v>28468.75</v>
      </c>
    </row>
    <row r="384" spans="2:3" x14ac:dyDescent="0.25">
      <c r="B384" s="293">
        <v>42786</v>
      </c>
      <c r="C384" s="397">
        <v>28661.58</v>
      </c>
    </row>
    <row r="385" spans="2:3" x14ac:dyDescent="0.25">
      <c r="B385" s="293">
        <v>42787</v>
      </c>
      <c r="C385" s="397">
        <v>28761.59</v>
      </c>
    </row>
    <row r="386" spans="2:3" x14ac:dyDescent="0.25">
      <c r="B386" s="293">
        <v>42788</v>
      </c>
      <c r="C386" s="397">
        <v>28864.71</v>
      </c>
    </row>
    <row r="387" spans="2:3" x14ac:dyDescent="0.25">
      <c r="B387" s="293">
        <v>42789</v>
      </c>
      <c r="C387" s="397">
        <v>28892.97</v>
      </c>
    </row>
    <row r="388" spans="2:3" x14ac:dyDescent="0.25">
      <c r="B388" s="293">
        <v>42793</v>
      </c>
      <c r="C388" s="397">
        <v>28812.880000000001</v>
      </c>
    </row>
    <row r="389" spans="2:3" x14ac:dyDescent="0.25">
      <c r="B389" s="293">
        <v>42794</v>
      </c>
      <c r="C389" s="397">
        <v>28743.32</v>
      </c>
    </row>
    <row r="390" spans="2:3" x14ac:dyDescent="0.25">
      <c r="B390" s="293">
        <v>42795</v>
      </c>
      <c r="C390" s="397">
        <v>28984.49</v>
      </c>
    </row>
    <row r="391" spans="2:3" x14ac:dyDescent="0.25">
      <c r="B391" s="293">
        <v>42796</v>
      </c>
      <c r="C391" s="397">
        <v>28839.79</v>
      </c>
    </row>
    <row r="392" spans="2:3" x14ac:dyDescent="0.25">
      <c r="B392" s="293">
        <v>42797</v>
      </c>
      <c r="C392" s="397">
        <v>28832.45</v>
      </c>
    </row>
    <row r="393" spans="2:3" x14ac:dyDescent="0.25">
      <c r="B393" s="293">
        <v>42800</v>
      </c>
      <c r="C393" s="397">
        <v>29048.19</v>
      </c>
    </row>
    <row r="394" spans="2:3" x14ac:dyDescent="0.25">
      <c r="B394" s="293">
        <v>42801</v>
      </c>
      <c r="C394" s="397">
        <v>28999.56</v>
      </c>
    </row>
    <row r="395" spans="2:3" x14ac:dyDescent="0.25">
      <c r="B395" s="293">
        <v>42802</v>
      </c>
      <c r="C395" s="397">
        <v>28901.94</v>
      </c>
    </row>
    <row r="396" spans="2:3" x14ac:dyDescent="0.25">
      <c r="B396" s="293">
        <v>42803</v>
      </c>
      <c r="C396" s="397">
        <v>28929.13</v>
      </c>
    </row>
    <row r="397" spans="2:3" x14ac:dyDescent="0.25">
      <c r="B397" s="293">
        <v>42804</v>
      </c>
      <c r="C397" s="397">
        <v>28946.23</v>
      </c>
    </row>
    <row r="398" spans="2:3" x14ac:dyDescent="0.25">
      <c r="B398" s="293">
        <v>42808</v>
      </c>
      <c r="C398" s="397">
        <v>29442.63</v>
      </c>
    </row>
    <row r="399" spans="2:3" x14ac:dyDescent="0.25">
      <c r="B399" s="293">
        <v>42809</v>
      </c>
      <c r="C399" s="397">
        <v>29398.11</v>
      </c>
    </row>
    <row r="400" spans="2:3" x14ac:dyDescent="0.25">
      <c r="B400" s="293">
        <v>42810</v>
      </c>
      <c r="C400" s="397">
        <v>29585.85</v>
      </c>
    </row>
    <row r="401" spans="2:3" x14ac:dyDescent="0.25">
      <c r="B401" s="293">
        <v>42811</v>
      </c>
      <c r="C401" s="397">
        <v>29648.99</v>
      </c>
    </row>
    <row r="402" spans="2:3" x14ac:dyDescent="0.25">
      <c r="B402" s="293">
        <v>42814</v>
      </c>
      <c r="C402" s="397">
        <v>29518.74</v>
      </c>
    </row>
    <row r="403" spans="2:3" x14ac:dyDescent="0.25">
      <c r="B403" s="293">
        <v>42815</v>
      </c>
      <c r="C403" s="397">
        <v>29485.45</v>
      </c>
    </row>
    <row r="404" spans="2:3" x14ac:dyDescent="0.25">
      <c r="B404" s="293">
        <v>42816</v>
      </c>
      <c r="C404" s="397">
        <v>29167.68</v>
      </c>
    </row>
    <row r="405" spans="2:3" x14ac:dyDescent="0.25">
      <c r="B405" s="293">
        <v>42817</v>
      </c>
      <c r="C405" s="397">
        <v>29332.16</v>
      </c>
    </row>
    <row r="406" spans="2:3" x14ac:dyDescent="0.25">
      <c r="B406" s="293">
        <v>42818</v>
      </c>
      <c r="C406" s="397">
        <v>29421.4</v>
      </c>
    </row>
    <row r="407" spans="2:3" x14ac:dyDescent="0.25">
      <c r="B407" s="293">
        <v>42821</v>
      </c>
      <c r="C407" s="397">
        <v>29237.15</v>
      </c>
    </row>
    <row r="408" spans="2:3" x14ac:dyDescent="0.25">
      <c r="B408" s="293">
        <v>42822</v>
      </c>
      <c r="C408" s="397">
        <v>29409.52</v>
      </c>
    </row>
    <row r="409" spans="2:3" x14ac:dyDescent="0.25">
      <c r="B409" s="293">
        <v>42823</v>
      </c>
      <c r="C409" s="397">
        <v>29531.43</v>
      </c>
    </row>
    <row r="410" spans="2:3" x14ac:dyDescent="0.25">
      <c r="B410" s="293">
        <v>42824</v>
      </c>
      <c r="C410" s="397">
        <v>29647.42</v>
      </c>
    </row>
    <row r="411" spans="2:3" x14ac:dyDescent="0.25">
      <c r="B411" s="293">
        <v>42825</v>
      </c>
      <c r="C411" s="397">
        <v>29620.5</v>
      </c>
    </row>
    <row r="412" spans="2:3" x14ac:dyDescent="0.25">
      <c r="B412" s="293">
        <v>42828</v>
      </c>
      <c r="C412" s="397">
        <v>29910.22</v>
      </c>
    </row>
    <row r="413" spans="2:3" x14ac:dyDescent="0.25">
      <c r="B413" s="293">
        <v>42830</v>
      </c>
      <c r="C413" s="397">
        <v>29974.240000000002</v>
      </c>
    </row>
    <row r="414" spans="2:3" x14ac:dyDescent="0.25">
      <c r="B414" s="293">
        <v>42831</v>
      </c>
      <c r="C414" s="397">
        <v>29927.34</v>
      </c>
    </row>
    <row r="415" spans="2:3" x14ac:dyDescent="0.25">
      <c r="B415" s="293">
        <v>42832</v>
      </c>
      <c r="C415" s="397">
        <v>29706.61</v>
      </c>
    </row>
    <row r="416" spans="2:3" x14ac:dyDescent="0.25">
      <c r="B416" s="293">
        <v>42835</v>
      </c>
      <c r="C416" s="397">
        <v>29575.74</v>
      </c>
    </row>
    <row r="417" spans="2:3" x14ac:dyDescent="0.25">
      <c r="B417" s="293">
        <v>42836</v>
      </c>
      <c r="C417" s="397">
        <v>29788.35</v>
      </c>
    </row>
    <row r="418" spans="2:3" x14ac:dyDescent="0.25">
      <c r="B418" s="293">
        <v>42837</v>
      </c>
      <c r="C418" s="397">
        <v>29643.48</v>
      </c>
    </row>
    <row r="419" spans="2:3" x14ac:dyDescent="0.25">
      <c r="B419" s="293">
        <v>42838</v>
      </c>
      <c r="C419" s="397">
        <v>29461.45</v>
      </c>
    </row>
    <row r="420" spans="2:3" x14ac:dyDescent="0.25">
      <c r="B420" s="293">
        <v>42842</v>
      </c>
      <c r="C420" s="397">
        <v>29413.66</v>
      </c>
    </row>
    <row r="421" spans="2:3" x14ac:dyDescent="0.25">
      <c r="B421" s="293">
        <v>42843</v>
      </c>
      <c r="C421" s="397">
        <v>29319.1</v>
      </c>
    </row>
    <row r="422" spans="2:3" x14ac:dyDescent="0.25">
      <c r="B422" s="293">
        <v>42844</v>
      </c>
      <c r="C422" s="397">
        <v>29336.57</v>
      </c>
    </row>
    <row r="423" spans="2:3" x14ac:dyDescent="0.25">
      <c r="B423" s="293">
        <v>42845</v>
      </c>
      <c r="C423" s="397">
        <v>29422.39</v>
      </c>
    </row>
    <row r="424" spans="2:3" x14ac:dyDescent="0.25">
      <c r="B424" s="293">
        <v>42846</v>
      </c>
      <c r="C424" s="397">
        <v>29365.3</v>
      </c>
    </row>
    <row r="425" spans="2:3" x14ac:dyDescent="0.25">
      <c r="B425" s="293">
        <v>42849</v>
      </c>
      <c r="C425" s="397">
        <v>29655.84</v>
      </c>
    </row>
    <row r="426" spans="2:3" x14ac:dyDescent="0.25">
      <c r="B426" s="293">
        <v>42850</v>
      </c>
      <c r="C426" s="397">
        <v>29943.24</v>
      </c>
    </row>
    <row r="427" spans="2:3" x14ac:dyDescent="0.25">
      <c r="B427" s="293">
        <v>42851</v>
      </c>
      <c r="C427" s="397">
        <v>30133.35</v>
      </c>
    </row>
    <row r="428" spans="2:3" x14ac:dyDescent="0.25">
      <c r="B428" s="293">
        <v>42852</v>
      </c>
      <c r="C428" s="397">
        <v>30029.74</v>
      </c>
    </row>
    <row r="429" spans="2:3" x14ac:dyDescent="0.25">
      <c r="B429" s="293">
        <v>42853</v>
      </c>
      <c r="C429" s="397">
        <v>29918.400000000001</v>
      </c>
    </row>
    <row r="430" spans="2:3" x14ac:dyDescent="0.25">
      <c r="B430" s="293">
        <v>42857</v>
      </c>
      <c r="C430" s="397">
        <v>29921.18</v>
      </c>
    </row>
    <row r="431" spans="2:3" x14ac:dyDescent="0.25">
      <c r="B431" s="293">
        <v>42858</v>
      </c>
      <c r="C431" s="397">
        <v>29894.799999999999</v>
      </c>
    </row>
    <row r="432" spans="2:3" x14ac:dyDescent="0.25">
      <c r="B432" s="293">
        <v>42859</v>
      </c>
      <c r="C432" s="397">
        <v>30126.21</v>
      </c>
    </row>
    <row r="433" spans="2:3" x14ac:dyDescent="0.25">
      <c r="B433" s="293">
        <v>42860</v>
      </c>
      <c r="C433" s="397">
        <v>29858.799999999999</v>
      </c>
    </row>
    <row r="434" spans="2:3" x14ac:dyDescent="0.25">
      <c r="B434" s="293">
        <v>42863</v>
      </c>
      <c r="C434" s="397">
        <v>29926.15</v>
      </c>
    </row>
    <row r="435" spans="2:3" x14ac:dyDescent="0.25">
      <c r="B435" s="293">
        <v>42864</v>
      </c>
      <c r="C435" s="397">
        <v>29933.25</v>
      </c>
    </row>
    <row r="436" spans="2:3" x14ac:dyDescent="0.25">
      <c r="B436" s="293">
        <v>42865</v>
      </c>
      <c r="C436" s="397">
        <v>30248.17</v>
      </c>
    </row>
    <row r="437" spans="2:3" x14ac:dyDescent="0.25">
      <c r="B437" s="293">
        <v>42866</v>
      </c>
      <c r="C437" s="397">
        <v>30250.98</v>
      </c>
    </row>
    <row r="438" spans="2:3" x14ac:dyDescent="0.25">
      <c r="B438" s="293">
        <v>42867</v>
      </c>
      <c r="C438" s="397">
        <v>30188.15</v>
      </c>
    </row>
    <row r="439" spans="2:3" x14ac:dyDescent="0.25">
      <c r="B439" s="293">
        <v>42870</v>
      </c>
      <c r="C439" s="397">
        <v>30322.12</v>
      </c>
    </row>
    <row r="440" spans="2:3" x14ac:dyDescent="0.25">
      <c r="B440" s="293">
        <v>42871</v>
      </c>
      <c r="C440" s="397">
        <v>30582.6</v>
      </c>
    </row>
    <row r="441" spans="2:3" x14ac:dyDescent="0.25">
      <c r="B441" s="293">
        <v>42872</v>
      </c>
      <c r="C441" s="397">
        <v>30658.77</v>
      </c>
    </row>
    <row r="442" spans="2:3" x14ac:dyDescent="0.25">
      <c r="B442" s="293">
        <v>42873</v>
      </c>
      <c r="C442" s="397">
        <v>30434.79</v>
      </c>
    </row>
    <row r="443" spans="2:3" x14ac:dyDescent="0.25">
      <c r="B443" s="293">
        <v>42874</v>
      </c>
      <c r="C443" s="397">
        <v>30464.92</v>
      </c>
    </row>
    <row r="444" spans="2:3" x14ac:dyDescent="0.25">
      <c r="B444" s="293">
        <v>42877</v>
      </c>
      <c r="C444" s="397">
        <v>30570.97</v>
      </c>
    </row>
    <row r="445" spans="2:3" x14ac:dyDescent="0.25">
      <c r="B445" s="293">
        <v>42878</v>
      </c>
      <c r="C445" s="397">
        <v>30365.25</v>
      </c>
    </row>
    <row r="446" spans="2:3" x14ac:dyDescent="0.25">
      <c r="B446" s="293">
        <v>42879</v>
      </c>
      <c r="C446" s="397">
        <v>30301.64</v>
      </c>
    </row>
    <row r="447" spans="2:3" x14ac:dyDescent="0.25">
      <c r="B447" s="293">
        <v>42880</v>
      </c>
      <c r="C447" s="397">
        <v>30750.03</v>
      </c>
    </row>
    <row r="448" spans="2:3" x14ac:dyDescent="0.25">
      <c r="B448" s="293">
        <v>42881</v>
      </c>
      <c r="C448" s="397">
        <v>31028.21</v>
      </c>
    </row>
    <row r="449" spans="2:3" x14ac:dyDescent="0.25">
      <c r="B449" s="293">
        <v>42884</v>
      </c>
      <c r="C449" s="397">
        <v>31109.279999999999</v>
      </c>
    </row>
    <row r="450" spans="2:3" x14ac:dyDescent="0.25">
      <c r="B450" s="293">
        <v>42885</v>
      </c>
      <c r="C450" s="397">
        <v>31159.4</v>
      </c>
    </row>
    <row r="451" spans="2:3" x14ac:dyDescent="0.25">
      <c r="B451" s="293">
        <v>42886</v>
      </c>
      <c r="C451" s="397">
        <v>31145.8</v>
      </c>
    </row>
    <row r="452" spans="2:3" x14ac:dyDescent="0.25">
      <c r="B452" s="293">
        <v>42887</v>
      </c>
      <c r="C452" s="397">
        <v>31137.59</v>
      </c>
    </row>
    <row r="453" spans="2:3" x14ac:dyDescent="0.25">
      <c r="B453" s="293">
        <v>42888</v>
      </c>
      <c r="C453" s="397">
        <v>31273.29</v>
      </c>
    </row>
    <row r="454" spans="2:3" x14ac:dyDescent="0.25">
      <c r="B454" s="293">
        <v>42891</v>
      </c>
      <c r="C454" s="397">
        <v>31309.49</v>
      </c>
    </row>
    <row r="455" spans="2:3" x14ac:dyDescent="0.25">
      <c r="B455" s="293">
        <v>42892</v>
      </c>
      <c r="C455" s="397">
        <v>31190.560000000001</v>
      </c>
    </row>
    <row r="456" spans="2:3" x14ac:dyDescent="0.25">
      <c r="B456" s="293">
        <v>42893</v>
      </c>
      <c r="C456" s="397">
        <v>31271.279999999999</v>
      </c>
    </row>
    <row r="457" spans="2:3" x14ac:dyDescent="0.25">
      <c r="B457" s="293">
        <v>42894</v>
      </c>
      <c r="C457" s="397">
        <v>31213.360000000001</v>
      </c>
    </row>
    <row r="458" spans="2:3" x14ac:dyDescent="0.25">
      <c r="B458" s="293">
        <v>42895</v>
      </c>
      <c r="C458" s="397">
        <v>31262.06</v>
      </c>
    </row>
    <row r="459" spans="2:3" x14ac:dyDescent="0.25">
      <c r="B459" s="293">
        <v>42898</v>
      </c>
      <c r="C459" s="397">
        <v>31095.7</v>
      </c>
    </row>
    <row r="460" spans="2:3" x14ac:dyDescent="0.25">
      <c r="B460" s="293">
        <v>42899</v>
      </c>
      <c r="C460" s="397">
        <v>31103.49</v>
      </c>
    </row>
    <row r="461" spans="2:3" x14ac:dyDescent="0.25">
      <c r="B461" s="293">
        <v>42900</v>
      </c>
      <c r="C461" s="397">
        <v>31155.91</v>
      </c>
    </row>
    <row r="462" spans="2:3" x14ac:dyDescent="0.25">
      <c r="B462" s="293">
        <v>42901</v>
      </c>
      <c r="C462" s="397">
        <v>31075.73</v>
      </c>
    </row>
    <row r="463" spans="2:3" x14ac:dyDescent="0.25">
      <c r="B463" s="293">
        <v>42902</v>
      </c>
      <c r="C463" s="397">
        <v>31056.400000000001</v>
      </c>
    </row>
    <row r="464" spans="2:3" x14ac:dyDescent="0.25">
      <c r="B464" s="293">
        <v>42905</v>
      </c>
      <c r="C464" s="397">
        <v>31311.57</v>
      </c>
    </row>
    <row r="465" spans="2:3" x14ac:dyDescent="0.25">
      <c r="B465" s="293">
        <v>42906</v>
      </c>
      <c r="C465" s="397">
        <v>31297.53</v>
      </c>
    </row>
    <row r="466" spans="2:3" x14ac:dyDescent="0.25">
      <c r="B466" s="293">
        <v>42907</v>
      </c>
      <c r="C466" s="397">
        <v>31283.64</v>
      </c>
    </row>
    <row r="467" spans="2:3" x14ac:dyDescent="0.25">
      <c r="B467" s="293">
        <v>42908</v>
      </c>
      <c r="C467" s="397">
        <v>31290.74</v>
      </c>
    </row>
    <row r="468" spans="2:3" x14ac:dyDescent="0.25">
      <c r="B468" s="293">
        <v>42909</v>
      </c>
      <c r="C468" s="397">
        <v>31138.21</v>
      </c>
    </row>
    <row r="469" spans="2:3" x14ac:dyDescent="0.25">
      <c r="B469" s="293">
        <v>42913</v>
      </c>
      <c r="C469" s="397">
        <v>30958.25</v>
      </c>
    </row>
    <row r="470" spans="2:3" x14ac:dyDescent="0.25">
      <c r="B470" s="293">
        <v>42914</v>
      </c>
      <c r="C470" s="397">
        <v>30834.32</v>
      </c>
    </row>
    <row r="471" spans="2:3" x14ac:dyDescent="0.25">
      <c r="B471" s="293">
        <v>42915</v>
      </c>
      <c r="C471" s="397">
        <v>30857.52</v>
      </c>
    </row>
    <row r="472" spans="2:3" x14ac:dyDescent="0.25">
      <c r="B472" s="293">
        <v>42916</v>
      </c>
      <c r="C472" s="397">
        <v>30921.61</v>
      </c>
    </row>
    <row r="473" spans="2:3" x14ac:dyDescent="0.25">
      <c r="B473" s="293">
        <v>42919</v>
      </c>
      <c r="C473" s="397">
        <v>31221.62</v>
      </c>
    </row>
    <row r="474" spans="2:3" x14ac:dyDescent="0.25">
      <c r="B474" s="293">
        <v>42920</v>
      </c>
      <c r="C474" s="397">
        <v>31209.79</v>
      </c>
    </row>
    <row r="475" spans="2:3" x14ac:dyDescent="0.25">
      <c r="B475" s="293">
        <v>42921</v>
      </c>
      <c r="C475" s="397">
        <v>31245.56</v>
      </c>
    </row>
    <row r="476" spans="2:3" x14ac:dyDescent="0.25">
      <c r="B476" s="293">
        <v>42922</v>
      </c>
      <c r="C476" s="397">
        <v>31369.34</v>
      </c>
    </row>
    <row r="477" spans="2:3" x14ac:dyDescent="0.25">
      <c r="B477" s="293">
        <v>42923</v>
      </c>
      <c r="C477" s="397">
        <v>31360.63</v>
      </c>
    </row>
    <row r="478" spans="2:3" x14ac:dyDescent="0.25">
      <c r="B478" s="293">
        <v>42926</v>
      </c>
      <c r="C478" s="397">
        <v>31715.64</v>
      </c>
    </row>
    <row r="479" spans="2:3" x14ac:dyDescent="0.25">
      <c r="B479" s="293">
        <v>42927</v>
      </c>
      <c r="C479" s="397">
        <v>31747.09</v>
      </c>
    </row>
    <row r="480" spans="2:3" x14ac:dyDescent="0.25">
      <c r="B480" s="293">
        <v>42928</v>
      </c>
      <c r="C480" s="397">
        <v>31804.82</v>
      </c>
    </row>
    <row r="481" spans="2:3" x14ac:dyDescent="0.25">
      <c r="B481" s="293">
        <v>42929</v>
      </c>
      <c r="C481" s="397">
        <v>32037.38</v>
      </c>
    </row>
    <row r="482" spans="2:3" x14ac:dyDescent="0.25">
      <c r="B482" s="293">
        <v>42930</v>
      </c>
      <c r="C482" s="397">
        <v>32020.75</v>
      </c>
    </row>
    <row r="483" spans="2:3" x14ac:dyDescent="0.25">
      <c r="B483" s="293">
        <v>42933</v>
      </c>
      <c r="C483" s="397">
        <v>32074.78</v>
      </c>
    </row>
    <row r="484" spans="2:3" x14ac:dyDescent="0.25">
      <c r="B484" s="293">
        <v>42934</v>
      </c>
      <c r="C484" s="397">
        <v>31710.99</v>
      </c>
    </row>
    <row r="485" spans="2:3" x14ac:dyDescent="0.25">
      <c r="B485" s="293">
        <v>42935</v>
      </c>
      <c r="C485" s="397">
        <v>31955.35</v>
      </c>
    </row>
    <row r="486" spans="2:3" x14ac:dyDescent="0.25">
      <c r="B486" s="293">
        <v>42936</v>
      </c>
      <c r="C486" s="397">
        <v>31904.400000000001</v>
      </c>
    </row>
    <row r="487" spans="2:3" x14ac:dyDescent="0.25">
      <c r="B487" s="293">
        <v>42937</v>
      </c>
      <c r="C487" s="397">
        <v>32028.89</v>
      </c>
    </row>
    <row r="488" spans="2:3" x14ac:dyDescent="0.25">
      <c r="B488" s="293">
        <v>42940</v>
      </c>
      <c r="C488" s="397">
        <v>32245.87</v>
      </c>
    </row>
    <row r="489" spans="2:3" x14ac:dyDescent="0.25">
      <c r="B489" s="293">
        <v>42941</v>
      </c>
      <c r="C489" s="397">
        <v>32228.27</v>
      </c>
    </row>
    <row r="490" spans="2:3" x14ac:dyDescent="0.25">
      <c r="B490" s="293">
        <v>42942</v>
      </c>
      <c r="C490" s="397">
        <v>32382.46</v>
      </c>
    </row>
    <row r="491" spans="2:3" x14ac:dyDescent="0.25">
      <c r="B491" s="293">
        <v>42943</v>
      </c>
      <c r="C491" s="397">
        <v>32383.3</v>
      </c>
    </row>
    <row r="492" spans="2:3" x14ac:dyDescent="0.25">
      <c r="B492" s="293">
        <v>42944</v>
      </c>
      <c r="C492" s="397">
        <v>32309.88</v>
      </c>
    </row>
    <row r="493" spans="2:3" x14ac:dyDescent="0.25">
      <c r="B493" s="293">
        <v>42947</v>
      </c>
      <c r="C493" s="397">
        <v>32514.94</v>
      </c>
    </row>
    <row r="494" spans="2:3" x14ac:dyDescent="0.25">
      <c r="B494" s="293">
        <v>42948</v>
      </c>
      <c r="C494" s="397">
        <v>32575.17</v>
      </c>
    </row>
    <row r="495" spans="2:3" x14ac:dyDescent="0.25">
      <c r="B495" s="293">
        <v>42949</v>
      </c>
      <c r="C495" s="397">
        <v>32476.74</v>
      </c>
    </row>
    <row r="496" spans="2:3" x14ac:dyDescent="0.25">
      <c r="B496" s="293">
        <v>42950</v>
      </c>
      <c r="C496" s="397">
        <v>32237.88</v>
      </c>
    </row>
    <row r="497" spans="2:3" x14ac:dyDescent="0.25">
      <c r="B497" s="293">
        <v>42951</v>
      </c>
      <c r="C497" s="397">
        <v>32325.41</v>
      </c>
    </row>
    <row r="498" spans="2:3" x14ac:dyDescent="0.25">
      <c r="B498" s="293">
        <v>42954</v>
      </c>
      <c r="C498" s="397">
        <v>32273.67</v>
      </c>
    </row>
    <row r="499" spans="2:3" x14ac:dyDescent="0.25">
      <c r="B499" s="293">
        <v>42955</v>
      </c>
      <c r="C499" s="397">
        <v>32014.19</v>
      </c>
    </row>
    <row r="500" spans="2:3" x14ac:dyDescent="0.25">
      <c r="B500" s="293">
        <v>42956</v>
      </c>
      <c r="C500" s="397">
        <v>31797.84</v>
      </c>
    </row>
    <row r="501" spans="2:3" x14ac:dyDescent="0.25">
      <c r="B501" s="293">
        <v>42957</v>
      </c>
      <c r="C501" s="397">
        <v>31531.33</v>
      </c>
    </row>
    <row r="502" spans="2:3" x14ac:dyDescent="0.25">
      <c r="B502" s="293">
        <v>42958</v>
      </c>
      <c r="C502" s="397">
        <v>31213.59</v>
      </c>
    </row>
    <row r="503" spans="2:3" x14ac:dyDescent="0.25">
      <c r="B503" s="293">
        <v>42961</v>
      </c>
      <c r="C503" s="397">
        <v>31449.03</v>
      </c>
    </row>
    <row r="504" spans="2:3" x14ac:dyDescent="0.25">
      <c r="B504" s="293">
        <v>42963</v>
      </c>
      <c r="C504" s="397">
        <v>31770.89</v>
      </c>
    </row>
    <row r="505" spans="2:3" x14ac:dyDescent="0.25">
      <c r="B505" s="293">
        <v>42964</v>
      </c>
      <c r="C505" s="397">
        <v>31795.46</v>
      </c>
    </row>
    <row r="506" spans="2:3" x14ac:dyDescent="0.25">
      <c r="B506" s="293">
        <v>42965</v>
      </c>
      <c r="C506" s="397">
        <v>31524.68</v>
      </c>
    </row>
    <row r="507" spans="2:3" x14ac:dyDescent="0.25">
      <c r="B507" s="293">
        <v>42968</v>
      </c>
      <c r="C507" s="397">
        <v>31258.85</v>
      </c>
    </row>
    <row r="508" spans="2:3" x14ac:dyDescent="0.25">
      <c r="B508" s="293">
        <v>42969</v>
      </c>
      <c r="C508" s="397">
        <v>31291.85</v>
      </c>
    </row>
    <row r="509" spans="2:3" x14ac:dyDescent="0.25">
      <c r="B509" s="293">
        <v>42970</v>
      </c>
      <c r="C509" s="397">
        <v>31568.01</v>
      </c>
    </row>
    <row r="510" spans="2:3" x14ac:dyDescent="0.25">
      <c r="B510" s="293">
        <v>42971</v>
      </c>
      <c r="C510" s="397">
        <v>31596.06</v>
      </c>
    </row>
    <row r="511" spans="2:3" x14ac:dyDescent="0.25">
      <c r="B511" s="293">
        <v>42975</v>
      </c>
      <c r="C511" s="397">
        <v>31750.82</v>
      </c>
    </row>
    <row r="512" spans="2:3" x14ac:dyDescent="0.25">
      <c r="B512" s="293">
        <v>42976</v>
      </c>
      <c r="C512" s="397">
        <v>31388.39</v>
      </c>
    </row>
    <row r="513" spans="2:3" x14ac:dyDescent="0.25">
      <c r="B513" s="293">
        <v>42977</v>
      </c>
      <c r="C513" s="397">
        <v>31646.46</v>
      </c>
    </row>
    <row r="514" spans="2:3" x14ac:dyDescent="0.25">
      <c r="B514" s="293">
        <v>42978</v>
      </c>
      <c r="C514" s="397">
        <v>31730.49</v>
      </c>
    </row>
    <row r="515" spans="2:3" x14ac:dyDescent="0.25">
      <c r="B515" s="293">
        <v>42979</v>
      </c>
      <c r="C515" s="397">
        <v>31892.23</v>
      </c>
    </row>
    <row r="516" spans="2:3" x14ac:dyDescent="0.25">
      <c r="B516" s="293">
        <v>42982</v>
      </c>
      <c r="C516" s="397">
        <v>31702.25</v>
      </c>
    </row>
    <row r="517" spans="2:3" x14ac:dyDescent="0.25">
      <c r="B517" s="293">
        <v>42983</v>
      </c>
      <c r="C517" s="397">
        <v>31809.55</v>
      </c>
    </row>
    <row r="518" spans="2:3" x14ac:dyDescent="0.25">
      <c r="B518" s="293">
        <v>42984</v>
      </c>
      <c r="C518" s="397">
        <v>31661.97</v>
      </c>
    </row>
    <row r="519" spans="2:3" x14ac:dyDescent="0.25">
      <c r="B519" s="293">
        <v>42985</v>
      </c>
      <c r="C519" s="397">
        <v>31662.74</v>
      </c>
    </row>
    <row r="520" spans="2:3" x14ac:dyDescent="0.25">
      <c r="B520" s="293">
        <v>42986</v>
      </c>
      <c r="C520" s="397">
        <v>31687.52</v>
      </c>
    </row>
    <row r="521" spans="2:3" x14ac:dyDescent="0.25">
      <c r="B521" s="293">
        <v>42989</v>
      </c>
      <c r="C521" s="397">
        <v>31882.16</v>
      </c>
    </row>
    <row r="522" spans="2:3" x14ac:dyDescent="0.25">
      <c r="B522" s="293">
        <v>42990</v>
      </c>
      <c r="C522" s="397">
        <v>32158.66</v>
      </c>
    </row>
    <row r="523" spans="2:3" x14ac:dyDescent="0.25">
      <c r="B523" s="293">
        <v>42991</v>
      </c>
      <c r="C523" s="397">
        <v>32186.41</v>
      </c>
    </row>
    <row r="524" spans="2:3" x14ac:dyDescent="0.25">
      <c r="B524" s="293">
        <v>42992</v>
      </c>
      <c r="C524" s="397">
        <v>32241.93</v>
      </c>
    </row>
    <row r="525" spans="2:3" x14ac:dyDescent="0.25">
      <c r="B525" s="293">
        <v>42993</v>
      </c>
      <c r="C525" s="397">
        <v>32272.61</v>
      </c>
    </row>
    <row r="526" spans="2:3" x14ac:dyDescent="0.25">
      <c r="B526" s="293">
        <v>42996</v>
      </c>
      <c r="C526" s="397">
        <v>32423.759999999998</v>
      </c>
    </row>
    <row r="527" spans="2:3" x14ac:dyDescent="0.25">
      <c r="B527" s="293">
        <v>42997</v>
      </c>
      <c r="C527" s="397">
        <v>32402.37</v>
      </c>
    </row>
    <row r="528" spans="2:3" x14ac:dyDescent="0.25">
      <c r="B528" s="293">
        <v>42998</v>
      </c>
      <c r="C528" s="397">
        <v>32400.51</v>
      </c>
    </row>
    <row r="529" spans="2:3" x14ac:dyDescent="0.25">
      <c r="B529" s="293">
        <v>42999</v>
      </c>
      <c r="C529" s="397">
        <v>32370.04</v>
      </c>
    </row>
    <row r="530" spans="2:3" x14ac:dyDescent="0.25">
      <c r="B530" s="293">
        <v>43000</v>
      </c>
      <c r="C530" s="397">
        <v>31922.44</v>
      </c>
    </row>
    <row r="531" spans="2:3" x14ac:dyDescent="0.25">
      <c r="B531" s="293">
        <v>43003</v>
      </c>
      <c r="C531" s="397">
        <v>31626.63</v>
      </c>
    </row>
    <row r="532" spans="2:3" x14ac:dyDescent="0.25">
      <c r="B532" s="293">
        <v>43004</v>
      </c>
      <c r="C532" s="397">
        <v>31599.759999999998</v>
      </c>
    </row>
    <row r="533" spans="2:3" x14ac:dyDescent="0.25">
      <c r="B533" s="293">
        <v>43005</v>
      </c>
      <c r="C533" s="397">
        <v>31159.81</v>
      </c>
    </row>
    <row r="534" spans="2:3" x14ac:dyDescent="0.25">
      <c r="B534" s="293">
        <v>43006</v>
      </c>
      <c r="C534" s="397">
        <v>31282.48</v>
      </c>
    </row>
    <row r="535" spans="2:3" x14ac:dyDescent="0.25">
      <c r="B535" s="293">
        <v>43007</v>
      </c>
      <c r="C535" s="397">
        <v>31283.72</v>
      </c>
    </row>
    <row r="536" spans="2:3" x14ac:dyDescent="0.25">
      <c r="B536" s="293">
        <v>43011</v>
      </c>
      <c r="C536" s="397">
        <v>31497.38</v>
      </c>
    </row>
    <row r="537" spans="2:3" x14ac:dyDescent="0.25">
      <c r="B537" s="293">
        <v>43012</v>
      </c>
      <c r="C537" s="397">
        <v>31671.71</v>
      </c>
    </row>
    <row r="538" spans="2:3" x14ac:dyDescent="0.25">
      <c r="B538" s="293">
        <v>43013</v>
      </c>
      <c r="C538" s="397">
        <v>31592.03</v>
      </c>
    </row>
    <row r="539" spans="2:3" x14ac:dyDescent="0.25">
      <c r="B539" s="293">
        <v>43014</v>
      </c>
      <c r="C539" s="397">
        <v>31814.22</v>
      </c>
    </row>
    <row r="540" spans="2:3" x14ac:dyDescent="0.25">
      <c r="B540" s="293">
        <v>43017</v>
      </c>
      <c r="C540" s="397">
        <v>31846.89</v>
      </c>
    </row>
    <row r="541" spans="2:3" x14ac:dyDescent="0.25">
      <c r="B541" s="293">
        <v>43018</v>
      </c>
      <c r="C541" s="397">
        <v>31924.41</v>
      </c>
    </row>
    <row r="542" spans="2:3" x14ac:dyDescent="0.25">
      <c r="B542" s="293">
        <v>43019</v>
      </c>
      <c r="C542" s="397">
        <v>31833.99</v>
      </c>
    </row>
    <row r="543" spans="2:3" x14ac:dyDescent="0.25">
      <c r="B543" s="293">
        <v>43020</v>
      </c>
      <c r="C543" s="397">
        <v>32182.22</v>
      </c>
    </row>
    <row r="544" spans="2:3" x14ac:dyDescent="0.25">
      <c r="B544" s="293">
        <v>43021</v>
      </c>
      <c r="C544" s="397">
        <v>32432.69</v>
      </c>
    </row>
    <row r="545" spans="2:3" x14ac:dyDescent="0.25">
      <c r="B545" s="293">
        <v>43024</v>
      </c>
      <c r="C545" s="397">
        <v>32633.64</v>
      </c>
    </row>
    <row r="546" spans="2:3" x14ac:dyDescent="0.25">
      <c r="B546" s="293">
        <v>43025</v>
      </c>
      <c r="C546" s="397">
        <v>32609.16</v>
      </c>
    </row>
    <row r="547" spans="2:3" x14ac:dyDescent="0.25">
      <c r="B547" s="293">
        <v>43026</v>
      </c>
      <c r="C547" s="397">
        <v>32584.35</v>
      </c>
    </row>
    <row r="548" spans="2:3" x14ac:dyDescent="0.25">
      <c r="B548" s="293">
        <v>43027</v>
      </c>
      <c r="C548" s="397">
        <v>32389.96</v>
      </c>
    </row>
    <row r="549" spans="2:3" x14ac:dyDescent="0.25">
      <c r="B549" s="293">
        <v>43031</v>
      </c>
      <c r="C549" s="397">
        <v>32506.720000000001</v>
      </c>
    </row>
    <row r="550" spans="2:3" x14ac:dyDescent="0.25">
      <c r="B550" s="293">
        <v>43032</v>
      </c>
      <c r="C550" s="397">
        <v>32607.34</v>
      </c>
    </row>
    <row r="551" spans="2:3" x14ac:dyDescent="0.25">
      <c r="B551" s="293">
        <v>43033</v>
      </c>
      <c r="C551" s="397">
        <v>33042.5</v>
      </c>
    </row>
    <row r="552" spans="2:3" x14ac:dyDescent="0.25">
      <c r="B552" s="293">
        <v>43034</v>
      </c>
      <c r="C552" s="397">
        <v>33147.129999999997</v>
      </c>
    </row>
    <row r="553" spans="2:3" x14ac:dyDescent="0.25">
      <c r="B553" s="293">
        <v>43035</v>
      </c>
      <c r="C553" s="397">
        <v>33157.22</v>
      </c>
    </row>
    <row r="554" spans="2:3" x14ac:dyDescent="0.25">
      <c r="B554" s="293">
        <v>43038</v>
      </c>
      <c r="C554" s="397">
        <v>33266.160000000003</v>
      </c>
    </row>
    <row r="555" spans="2:3" x14ac:dyDescent="0.25">
      <c r="B555" s="293">
        <v>43039</v>
      </c>
      <c r="C555" s="397">
        <v>33213.129999999997</v>
      </c>
    </row>
    <row r="556" spans="2:3" x14ac:dyDescent="0.25">
      <c r="B556" s="293">
        <v>43040</v>
      </c>
      <c r="C556" s="397">
        <v>33600.269999999997</v>
      </c>
    </row>
    <row r="557" spans="2:3" x14ac:dyDescent="0.25">
      <c r="B557" s="293">
        <v>43041</v>
      </c>
      <c r="C557" s="397">
        <v>33573.22</v>
      </c>
    </row>
    <row r="558" spans="2:3" x14ac:dyDescent="0.25">
      <c r="B558" s="293">
        <v>43042</v>
      </c>
      <c r="C558" s="397">
        <v>33685.56</v>
      </c>
    </row>
    <row r="559" spans="2:3" x14ac:dyDescent="0.25">
      <c r="B559" s="293">
        <v>43045</v>
      </c>
      <c r="C559" s="397">
        <v>33731.19</v>
      </c>
    </row>
    <row r="560" spans="2:3" x14ac:dyDescent="0.25">
      <c r="B560" s="293">
        <v>43046</v>
      </c>
      <c r="C560" s="397">
        <v>33370.76</v>
      </c>
    </row>
    <row r="561" spans="2:3" x14ac:dyDescent="0.25">
      <c r="B561" s="293">
        <v>43047</v>
      </c>
      <c r="C561" s="397">
        <v>33218.81</v>
      </c>
    </row>
    <row r="562" spans="2:3" x14ac:dyDescent="0.25">
      <c r="B562" s="293">
        <v>43048</v>
      </c>
      <c r="C562" s="397">
        <v>33250.93</v>
      </c>
    </row>
    <row r="563" spans="2:3" x14ac:dyDescent="0.25">
      <c r="B563" s="293">
        <v>43049</v>
      </c>
      <c r="C563" s="397">
        <v>33314.559999999998</v>
      </c>
    </row>
    <row r="564" spans="2:3" x14ac:dyDescent="0.25">
      <c r="B564" s="293">
        <v>43052</v>
      </c>
      <c r="C564" s="397">
        <v>33033.56</v>
      </c>
    </row>
    <row r="565" spans="2:3" x14ac:dyDescent="0.25">
      <c r="B565" s="293">
        <v>43053</v>
      </c>
      <c r="C565" s="397">
        <v>32941.870000000003</v>
      </c>
    </row>
    <row r="566" spans="2:3" x14ac:dyDescent="0.25">
      <c r="B566" s="293">
        <v>43054</v>
      </c>
      <c r="C566" s="397">
        <v>32760.44</v>
      </c>
    </row>
    <row r="567" spans="2:3" x14ac:dyDescent="0.25">
      <c r="B567" s="293">
        <v>43055</v>
      </c>
      <c r="C567" s="397">
        <v>33106.82</v>
      </c>
    </row>
    <row r="568" spans="2:3" x14ac:dyDescent="0.25">
      <c r="B568" s="293">
        <v>43056</v>
      </c>
      <c r="C568" s="397">
        <v>33342.800000000003</v>
      </c>
    </row>
    <row r="569" spans="2:3" x14ac:dyDescent="0.25">
      <c r="B569" s="293">
        <v>43059</v>
      </c>
      <c r="C569" s="397">
        <v>33359.9</v>
      </c>
    </row>
    <row r="570" spans="2:3" x14ac:dyDescent="0.25">
      <c r="B570" s="293">
        <v>43060</v>
      </c>
      <c r="C570" s="397">
        <v>33478.35</v>
      </c>
    </row>
    <row r="571" spans="2:3" x14ac:dyDescent="0.25">
      <c r="B571" s="293">
        <v>43061</v>
      </c>
      <c r="C571" s="397">
        <v>33561.550000000003</v>
      </c>
    </row>
    <row r="572" spans="2:3" x14ac:dyDescent="0.25">
      <c r="B572" s="293">
        <v>43062</v>
      </c>
      <c r="C572" s="397">
        <v>33588.080000000002</v>
      </c>
    </row>
    <row r="573" spans="2:3" x14ac:dyDescent="0.25">
      <c r="B573" s="293">
        <v>43063</v>
      </c>
      <c r="C573" s="397">
        <v>33679.24</v>
      </c>
    </row>
    <row r="574" spans="2:3" x14ac:dyDescent="0.25">
      <c r="B574" s="293">
        <v>43066</v>
      </c>
      <c r="C574" s="397">
        <v>33724.44</v>
      </c>
    </row>
    <row r="575" spans="2:3" x14ac:dyDescent="0.25">
      <c r="B575" s="293">
        <v>43067</v>
      </c>
      <c r="C575" s="397">
        <v>33618.589999999997</v>
      </c>
    </row>
    <row r="576" spans="2:3" x14ac:dyDescent="0.25">
      <c r="B576" s="293">
        <v>43068</v>
      </c>
      <c r="C576" s="397">
        <v>33602.76</v>
      </c>
    </row>
    <row r="577" spans="2:3" x14ac:dyDescent="0.25">
      <c r="B577" s="293">
        <v>43069</v>
      </c>
      <c r="C577" s="397">
        <v>33149.35</v>
      </c>
    </row>
    <row r="578" spans="2:3" x14ac:dyDescent="0.25">
      <c r="B578" s="293">
        <v>43070</v>
      </c>
      <c r="C578" s="397">
        <v>32832.94</v>
      </c>
    </row>
    <row r="579" spans="2:3" x14ac:dyDescent="0.25">
      <c r="B579" s="293">
        <v>43073</v>
      </c>
      <c r="C579" s="397">
        <v>32869.72</v>
      </c>
    </row>
    <row r="580" spans="2:3" x14ac:dyDescent="0.25">
      <c r="B580" s="293">
        <v>43074</v>
      </c>
      <c r="C580" s="397">
        <v>32802.44</v>
      </c>
    </row>
    <row r="581" spans="2:3" x14ac:dyDescent="0.25">
      <c r="B581" s="293">
        <v>43075</v>
      </c>
      <c r="C581" s="397">
        <v>32597.18</v>
      </c>
    </row>
    <row r="582" spans="2:3" x14ac:dyDescent="0.25">
      <c r="B582" s="293">
        <v>43076</v>
      </c>
      <c r="C582" s="397">
        <v>32949.21</v>
      </c>
    </row>
    <row r="583" spans="2:3" x14ac:dyDescent="0.25">
      <c r="B583" s="293">
        <v>43077</v>
      </c>
      <c r="C583" s="397">
        <v>33250.300000000003</v>
      </c>
    </row>
    <row r="584" spans="2:3" x14ac:dyDescent="0.25">
      <c r="B584" s="293">
        <v>43080</v>
      </c>
      <c r="C584" s="397">
        <v>33455.79</v>
      </c>
    </row>
    <row r="585" spans="2:3" x14ac:dyDescent="0.25">
      <c r="B585" s="293">
        <v>43081</v>
      </c>
      <c r="C585" s="397">
        <v>33227.99</v>
      </c>
    </row>
    <row r="586" spans="2:3" x14ac:dyDescent="0.25">
      <c r="B586" s="293">
        <v>43082</v>
      </c>
      <c r="C586" s="397">
        <v>33053.040000000001</v>
      </c>
    </row>
    <row r="587" spans="2:3" x14ac:dyDescent="0.25">
      <c r="B587" s="293">
        <v>43083</v>
      </c>
      <c r="C587" s="397">
        <v>33246.699999999997</v>
      </c>
    </row>
    <row r="588" spans="2:3" x14ac:dyDescent="0.25">
      <c r="B588" s="293">
        <v>43084</v>
      </c>
      <c r="C588" s="397">
        <v>33462.97</v>
      </c>
    </row>
    <row r="589" spans="2:3" x14ac:dyDescent="0.25">
      <c r="B589" s="293">
        <v>43087</v>
      </c>
      <c r="C589" s="397">
        <v>33601.68</v>
      </c>
    </row>
    <row r="590" spans="2:3" x14ac:dyDescent="0.25">
      <c r="B590" s="293">
        <v>43088</v>
      </c>
      <c r="C590" s="397">
        <v>33836.74</v>
      </c>
    </row>
    <row r="591" spans="2:3" x14ac:dyDescent="0.25">
      <c r="B591" s="293">
        <v>43089</v>
      </c>
      <c r="C591" s="397">
        <v>33777.379999999997</v>
      </c>
    </row>
    <row r="592" spans="2:3" x14ac:dyDescent="0.25">
      <c r="B592" s="293">
        <v>43090</v>
      </c>
      <c r="C592" s="397">
        <v>33756.28</v>
      </c>
    </row>
    <row r="593" spans="2:3" x14ac:dyDescent="0.25">
      <c r="B593" s="293">
        <v>43091</v>
      </c>
      <c r="C593" s="397">
        <v>33940.300000000003</v>
      </c>
    </row>
    <row r="594" spans="2:3" x14ac:dyDescent="0.25">
      <c r="B594" s="293">
        <v>43095</v>
      </c>
      <c r="C594" s="397">
        <v>34010.61</v>
      </c>
    </row>
    <row r="595" spans="2:3" x14ac:dyDescent="0.25">
      <c r="B595" s="293">
        <v>43096</v>
      </c>
      <c r="C595" s="397">
        <v>33911.81</v>
      </c>
    </row>
    <row r="596" spans="2:3" x14ac:dyDescent="0.25">
      <c r="B596" s="293">
        <v>43097</v>
      </c>
      <c r="C596" s="397">
        <v>33848.03</v>
      </c>
    </row>
    <row r="597" spans="2:3" x14ac:dyDescent="0.25">
      <c r="B597" s="293">
        <v>43098</v>
      </c>
      <c r="C597" s="397">
        <v>34056.83</v>
      </c>
    </row>
    <row r="598" spans="2:3" x14ac:dyDescent="0.25">
      <c r="B598" s="293">
        <v>43101</v>
      </c>
      <c r="C598" s="397">
        <v>33812.75</v>
      </c>
    </row>
    <row r="599" spans="2:3" x14ac:dyDescent="0.25">
      <c r="B599" s="293">
        <v>43102</v>
      </c>
      <c r="C599" s="397">
        <v>33812.26</v>
      </c>
    </row>
    <row r="600" spans="2:3" x14ac:dyDescent="0.25">
      <c r="B600" s="293">
        <v>43103</v>
      </c>
      <c r="C600" s="397">
        <v>33793.379999999997</v>
      </c>
    </row>
    <row r="601" spans="2:3" x14ac:dyDescent="0.25">
      <c r="B601" s="293">
        <v>43104</v>
      </c>
      <c r="C601" s="397">
        <v>33969.64</v>
      </c>
    </row>
    <row r="602" spans="2:3" x14ac:dyDescent="0.25">
      <c r="B602" s="293">
        <v>43105</v>
      </c>
      <c r="C602" s="397">
        <v>34153.85</v>
      </c>
    </row>
    <row r="603" spans="2:3" x14ac:dyDescent="0.25">
      <c r="B603" s="293">
        <v>43108</v>
      </c>
      <c r="C603" s="397">
        <v>34352.79</v>
      </c>
    </row>
    <row r="604" spans="2:3" x14ac:dyDescent="0.25">
      <c r="B604" s="293">
        <v>43109</v>
      </c>
      <c r="C604" s="397">
        <v>34443.19</v>
      </c>
    </row>
    <row r="605" spans="2:3" x14ac:dyDescent="0.25">
      <c r="B605" s="293">
        <v>43110</v>
      </c>
      <c r="C605" s="397">
        <v>34433.07</v>
      </c>
    </row>
    <row r="606" spans="2:3" x14ac:dyDescent="0.25">
      <c r="B606" s="293">
        <v>43111</v>
      </c>
      <c r="C606" s="397">
        <v>34503.49</v>
      </c>
    </row>
    <row r="607" spans="2:3" x14ac:dyDescent="0.25">
      <c r="B607" s="293">
        <v>43112</v>
      </c>
      <c r="C607" s="397">
        <v>34592.39</v>
      </c>
    </row>
    <row r="608" spans="2:3" x14ac:dyDescent="0.25">
      <c r="B608" s="293">
        <v>43115</v>
      </c>
      <c r="C608" s="397">
        <v>34843.51</v>
      </c>
    </row>
    <row r="609" spans="2:3" x14ac:dyDescent="0.25">
      <c r="B609" s="293">
        <v>43116</v>
      </c>
      <c r="C609" s="397">
        <v>34771.050000000003</v>
      </c>
    </row>
    <row r="610" spans="2:3" x14ac:dyDescent="0.25">
      <c r="B610" s="293">
        <v>43117</v>
      </c>
      <c r="C610" s="397">
        <v>35081.82</v>
      </c>
    </row>
    <row r="611" spans="2:3" x14ac:dyDescent="0.25">
      <c r="B611" s="293">
        <v>43118</v>
      </c>
      <c r="C611" s="397">
        <v>35260.29</v>
      </c>
    </row>
    <row r="612" spans="2:3" x14ac:dyDescent="0.25">
      <c r="B612" s="293">
        <v>43119</v>
      </c>
      <c r="C612" s="397">
        <v>35511.58</v>
      </c>
    </row>
    <row r="613" spans="2:3" x14ac:dyDescent="0.25">
      <c r="B613" s="293">
        <v>43122</v>
      </c>
      <c r="C613" s="397">
        <v>35798.01</v>
      </c>
    </row>
    <row r="614" spans="2:3" x14ac:dyDescent="0.25">
      <c r="B614" s="293">
        <v>43123</v>
      </c>
      <c r="C614" s="397">
        <v>36139.980000000003</v>
      </c>
    </row>
    <row r="615" spans="2:3" x14ac:dyDescent="0.25">
      <c r="B615" s="293">
        <v>43124</v>
      </c>
      <c r="C615" s="397">
        <v>36161.64</v>
      </c>
    </row>
    <row r="616" spans="2:3" x14ac:dyDescent="0.25">
      <c r="B616" s="293">
        <v>43125</v>
      </c>
      <c r="C616" s="397">
        <v>36050.44</v>
      </c>
    </row>
    <row r="617" spans="2:3" x14ac:dyDescent="0.25">
      <c r="B617" s="293">
        <v>43129</v>
      </c>
      <c r="C617" s="397">
        <v>36283.25</v>
      </c>
    </row>
    <row r="618" spans="2:3" x14ac:dyDescent="0.25">
      <c r="B618" s="293">
        <v>43130</v>
      </c>
      <c r="C618" s="397">
        <v>36033.730000000003</v>
      </c>
    </row>
    <row r="619" spans="2:3" x14ac:dyDescent="0.25">
      <c r="B619" s="293">
        <v>43131</v>
      </c>
      <c r="C619" s="397">
        <v>35965.019999999997</v>
      </c>
    </row>
    <row r="620" spans="2:3" x14ac:dyDescent="0.25">
      <c r="B620" s="293">
        <v>43132</v>
      </c>
      <c r="C620" s="397">
        <v>35906.660000000003</v>
      </c>
    </row>
    <row r="621" spans="2:3" x14ac:dyDescent="0.25">
      <c r="B621" s="293">
        <v>43133</v>
      </c>
      <c r="C621" s="397">
        <v>35066.75</v>
      </c>
    </row>
    <row r="622" spans="2:3" x14ac:dyDescent="0.25">
      <c r="B622" s="293">
        <v>43136</v>
      </c>
      <c r="C622" s="397">
        <v>34757.160000000003</v>
      </c>
    </row>
    <row r="623" spans="2:3" x14ac:dyDescent="0.25">
      <c r="B623" s="293">
        <v>43137</v>
      </c>
      <c r="C623" s="397">
        <v>34195.94</v>
      </c>
    </row>
    <row r="624" spans="2:3" x14ac:dyDescent="0.25">
      <c r="B624" s="293">
        <v>43138</v>
      </c>
      <c r="C624" s="397">
        <v>34082.71</v>
      </c>
    </row>
    <row r="625" spans="2:3" x14ac:dyDescent="0.25">
      <c r="B625" s="293">
        <v>43139</v>
      </c>
      <c r="C625" s="397">
        <v>34413.160000000003</v>
      </c>
    </row>
    <row r="626" spans="2:3" x14ac:dyDescent="0.25">
      <c r="B626" s="293">
        <v>43140</v>
      </c>
      <c r="C626" s="397">
        <v>34005.760000000002</v>
      </c>
    </row>
    <row r="627" spans="2:3" x14ac:dyDescent="0.25">
      <c r="B627" s="293">
        <v>43143</v>
      </c>
      <c r="C627" s="397">
        <v>34300.47</v>
      </c>
    </row>
    <row r="628" spans="2:3" x14ac:dyDescent="0.25">
      <c r="B628" s="293">
        <v>43145</v>
      </c>
      <c r="C628" s="397">
        <v>34155.949999999997</v>
      </c>
    </row>
    <row r="629" spans="2:3" x14ac:dyDescent="0.25">
      <c r="B629" s="293">
        <v>43146</v>
      </c>
      <c r="C629" s="397">
        <v>34297.47</v>
      </c>
    </row>
    <row r="630" spans="2:3" x14ac:dyDescent="0.25">
      <c r="B630" s="293">
        <v>43147</v>
      </c>
      <c r="C630" s="397">
        <v>34010.76</v>
      </c>
    </row>
    <row r="631" spans="2:3" x14ac:dyDescent="0.25">
      <c r="B631" s="293">
        <v>43150</v>
      </c>
      <c r="C631" s="397">
        <v>33774.660000000003</v>
      </c>
    </row>
    <row r="632" spans="2:3" x14ac:dyDescent="0.25">
      <c r="B632" s="293">
        <v>43151</v>
      </c>
      <c r="C632" s="397">
        <v>33703.589999999997</v>
      </c>
    </row>
    <row r="633" spans="2:3" x14ac:dyDescent="0.25">
      <c r="B633" s="293">
        <v>43152</v>
      </c>
      <c r="C633" s="397">
        <v>33844.86</v>
      </c>
    </row>
    <row r="634" spans="2:3" x14ac:dyDescent="0.25">
      <c r="B634" s="293">
        <v>43153</v>
      </c>
      <c r="C634" s="397">
        <v>33819.5</v>
      </c>
    </row>
    <row r="635" spans="2:3" x14ac:dyDescent="0.25">
      <c r="B635" s="293">
        <v>43154</v>
      </c>
      <c r="C635" s="397">
        <v>34142.15</v>
      </c>
    </row>
    <row r="636" spans="2:3" x14ac:dyDescent="0.25">
      <c r="B636" s="293">
        <v>43157</v>
      </c>
      <c r="C636" s="397">
        <v>34445.75</v>
      </c>
    </row>
    <row r="637" spans="2:3" x14ac:dyDescent="0.25">
      <c r="B637" s="293">
        <v>43158</v>
      </c>
      <c r="C637" s="397">
        <v>34346.39</v>
      </c>
    </row>
    <row r="638" spans="2:3" x14ac:dyDescent="0.25">
      <c r="B638" s="293">
        <v>43159</v>
      </c>
      <c r="C638" s="397">
        <v>34184.04</v>
      </c>
    </row>
    <row r="639" spans="2:3" x14ac:dyDescent="0.25">
      <c r="B639" s="293">
        <v>43160</v>
      </c>
      <c r="C639" s="397">
        <v>34046.94</v>
      </c>
    </row>
    <row r="640" spans="2:3" x14ac:dyDescent="0.25">
      <c r="B640" s="293">
        <v>43164</v>
      </c>
      <c r="C640" s="397">
        <v>33746.78</v>
      </c>
    </row>
    <row r="641" spans="2:3" x14ac:dyDescent="0.25">
      <c r="B641" s="293">
        <v>43165</v>
      </c>
      <c r="C641" s="397">
        <v>33317.199999999997</v>
      </c>
    </row>
    <row r="642" spans="2:3" x14ac:dyDescent="0.25">
      <c r="B642" s="293">
        <v>43166</v>
      </c>
      <c r="C642" s="397">
        <v>33033.089999999997</v>
      </c>
    </row>
    <row r="643" spans="2:3" x14ac:dyDescent="0.25">
      <c r="B643" s="293">
        <v>43167</v>
      </c>
      <c r="C643" s="397">
        <v>33351.57</v>
      </c>
    </row>
    <row r="644" spans="2:3" x14ac:dyDescent="0.25">
      <c r="B644" s="293">
        <v>43168</v>
      </c>
      <c r="C644" s="397">
        <v>33307.14</v>
      </c>
    </row>
    <row r="645" spans="2:3" x14ac:dyDescent="0.25">
      <c r="B645" s="293">
        <v>43171</v>
      </c>
      <c r="C645" s="397">
        <v>33917.94</v>
      </c>
    </row>
    <row r="646" spans="2:3" x14ac:dyDescent="0.25">
      <c r="B646" s="293">
        <v>43172</v>
      </c>
      <c r="C646" s="397">
        <v>33856.78</v>
      </c>
    </row>
    <row r="647" spans="2:3" x14ac:dyDescent="0.25">
      <c r="B647" s="293">
        <v>43173</v>
      </c>
      <c r="C647" s="397">
        <v>33835.74</v>
      </c>
    </row>
    <row r="648" spans="2:3" x14ac:dyDescent="0.25">
      <c r="B648" s="293">
        <v>43174</v>
      </c>
      <c r="C648" s="397">
        <v>33685.54</v>
      </c>
    </row>
    <row r="649" spans="2:3" x14ac:dyDescent="0.25">
      <c r="B649" s="293">
        <v>43175</v>
      </c>
      <c r="C649" s="397">
        <v>33176</v>
      </c>
    </row>
    <row r="650" spans="2:3" x14ac:dyDescent="0.25">
      <c r="B650" s="293">
        <v>43178</v>
      </c>
      <c r="C650" s="397">
        <v>32923.120000000003</v>
      </c>
    </row>
    <row r="651" spans="2:3" x14ac:dyDescent="0.25">
      <c r="B651" s="293">
        <v>43179</v>
      </c>
      <c r="C651" s="397">
        <v>32996.76</v>
      </c>
    </row>
    <row r="652" spans="2:3" x14ac:dyDescent="0.25">
      <c r="B652" s="293">
        <v>43180</v>
      </c>
      <c r="C652" s="397">
        <v>33136.18</v>
      </c>
    </row>
    <row r="653" spans="2:3" x14ac:dyDescent="0.25">
      <c r="B653" s="293">
        <v>43181</v>
      </c>
      <c r="C653" s="397">
        <v>33006.269999999997</v>
      </c>
    </row>
    <row r="654" spans="2:3" x14ac:dyDescent="0.25">
      <c r="B654" s="293">
        <v>43182</v>
      </c>
      <c r="C654" s="397">
        <v>32596.54</v>
      </c>
    </row>
    <row r="655" spans="2:3" x14ac:dyDescent="0.25">
      <c r="B655" s="293">
        <v>43185</v>
      </c>
      <c r="C655" s="397">
        <v>33066.410000000003</v>
      </c>
    </row>
    <row r="656" spans="2:3" x14ac:dyDescent="0.25">
      <c r="B656" s="293">
        <v>43186</v>
      </c>
      <c r="C656" s="397">
        <v>33174.39</v>
      </c>
    </row>
    <row r="657" spans="2:3" x14ac:dyDescent="0.25">
      <c r="B657" s="293">
        <v>43187</v>
      </c>
      <c r="C657" s="397">
        <v>32968.68</v>
      </c>
    </row>
    <row r="658" spans="2:3" x14ac:dyDescent="0.25">
      <c r="B658" s="293">
        <v>43192</v>
      </c>
      <c r="C658" s="397">
        <v>33255.360000000001</v>
      </c>
    </row>
    <row r="659" spans="2:3" x14ac:dyDescent="0.25">
      <c r="B659" s="293">
        <v>43193</v>
      </c>
      <c r="C659" s="397">
        <v>33370.629999999997</v>
      </c>
    </row>
    <row r="660" spans="2:3" x14ac:dyDescent="0.25">
      <c r="B660" s="293">
        <v>43194</v>
      </c>
      <c r="C660" s="397">
        <v>33019.07</v>
      </c>
    </row>
    <row r="661" spans="2:3" x14ac:dyDescent="0.25">
      <c r="B661" s="293">
        <v>43195</v>
      </c>
      <c r="C661" s="397">
        <v>33596.800000000003</v>
      </c>
    </row>
    <row r="662" spans="2:3" x14ac:dyDescent="0.25">
      <c r="B662" s="293">
        <v>43196</v>
      </c>
      <c r="C662" s="397">
        <v>33626.97</v>
      </c>
    </row>
    <row r="663" spans="2:3" x14ac:dyDescent="0.25">
      <c r="B663" s="293">
        <v>43199</v>
      </c>
      <c r="C663" s="397">
        <v>33788.54</v>
      </c>
    </row>
    <row r="664" spans="2:3" x14ac:dyDescent="0.25">
      <c r="B664" s="293">
        <v>43200</v>
      </c>
      <c r="C664" s="397">
        <v>33880.25</v>
      </c>
    </row>
    <row r="665" spans="2:3" x14ac:dyDescent="0.25">
      <c r="B665" s="293">
        <v>43201</v>
      </c>
      <c r="C665" s="397">
        <v>33940.44</v>
      </c>
    </row>
    <row r="666" spans="2:3" x14ac:dyDescent="0.25">
      <c r="B666" s="293">
        <v>43202</v>
      </c>
      <c r="C666" s="397">
        <v>34101.129999999997</v>
      </c>
    </row>
    <row r="667" spans="2:3" x14ac:dyDescent="0.25">
      <c r="B667" s="293">
        <v>43203</v>
      </c>
      <c r="C667" s="397">
        <v>34192.65</v>
      </c>
    </row>
    <row r="668" spans="2:3" x14ac:dyDescent="0.25">
      <c r="B668" s="293">
        <v>43206</v>
      </c>
      <c r="C668" s="397">
        <v>34305.43</v>
      </c>
    </row>
    <row r="669" spans="2:3" x14ac:dyDescent="0.25">
      <c r="B669" s="293">
        <v>43207</v>
      </c>
      <c r="C669" s="397">
        <v>34395.06</v>
      </c>
    </row>
    <row r="670" spans="2:3" x14ac:dyDescent="0.25">
      <c r="B670" s="293">
        <v>43208</v>
      </c>
      <c r="C670" s="397">
        <v>34331.68</v>
      </c>
    </row>
    <row r="671" spans="2:3" x14ac:dyDescent="0.25">
      <c r="B671" s="293">
        <v>43209</v>
      </c>
      <c r="C671" s="397">
        <v>34427.29</v>
      </c>
    </row>
    <row r="672" spans="2:3" x14ac:dyDescent="0.25">
      <c r="B672" s="293">
        <v>43210</v>
      </c>
      <c r="C672" s="397">
        <v>34415.58</v>
      </c>
    </row>
    <row r="673" spans="2:3" x14ac:dyDescent="0.25">
      <c r="B673" s="293">
        <v>43213</v>
      </c>
      <c r="C673" s="397">
        <v>34450.769999999997</v>
      </c>
    </row>
    <row r="674" spans="2:3" x14ac:dyDescent="0.25">
      <c r="B674" s="293">
        <v>43214</v>
      </c>
      <c r="C674" s="397">
        <v>34616.639999999999</v>
      </c>
    </row>
    <row r="675" spans="2:3" x14ac:dyDescent="0.25">
      <c r="B675" s="293">
        <v>43215</v>
      </c>
      <c r="C675" s="397">
        <v>34501.269999999997</v>
      </c>
    </row>
    <row r="676" spans="2:3" x14ac:dyDescent="0.25">
      <c r="B676" s="293">
        <v>43216</v>
      </c>
      <c r="C676" s="397">
        <v>34713.599999999999</v>
      </c>
    </row>
    <row r="677" spans="2:3" x14ac:dyDescent="0.25">
      <c r="B677" s="293">
        <v>43217</v>
      </c>
      <c r="C677" s="397">
        <v>34969.699999999997</v>
      </c>
    </row>
    <row r="678" spans="2:3" x14ac:dyDescent="0.25">
      <c r="B678" s="293">
        <v>43220</v>
      </c>
      <c r="C678" s="397">
        <v>35160.36</v>
      </c>
    </row>
    <row r="679" spans="2:3" x14ac:dyDescent="0.25">
      <c r="B679" s="293">
        <v>43222</v>
      </c>
      <c r="C679" s="397">
        <v>35176.42</v>
      </c>
    </row>
    <row r="680" spans="2:3" x14ac:dyDescent="0.25">
      <c r="B680" s="293">
        <v>43223</v>
      </c>
      <c r="C680" s="397">
        <v>35103.14</v>
      </c>
    </row>
    <row r="681" spans="2:3" x14ac:dyDescent="0.25">
      <c r="B681" s="293">
        <v>43224</v>
      </c>
      <c r="C681" s="397">
        <v>34915.379999999997</v>
      </c>
    </row>
    <row r="682" spans="2:3" x14ac:dyDescent="0.25">
      <c r="B682" s="293">
        <v>43227</v>
      </c>
      <c r="C682" s="397">
        <v>35208.14</v>
      </c>
    </row>
    <row r="683" spans="2:3" x14ac:dyDescent="0.25">
      <c r="B683" s="293">
        <v>43228</v>
      </c>
      <c r="C683" s="397">
        <v>35216.32</v>
      </c>
    </row>
    <row r="684" spans="2:3" x14ac:dyDescent="0.25">
      <c r="B684" s="293">
        <v>43229</v>
      </c>
      <c r="C684" s="397">
        <v>35319.35</v>
      </c>
    </row>
    <row r="685" spans="2:3" x14ac:dyDescent="0.25">
      <c r="B685" s="293">
        <v>43230</v>
      </c>
      <c r="C685" s="397">
        <v>35246.269999999997</v>
      </c>
    </row>
    <row r="686" spans="2:3" x14ac:dyDescent="0.25">
      <c r="B686" s="293">
        <v>43231</v>
      </c>
      <c r="C686" s="397">
        <v>35535.79</v>
      </c>
    </row>
    <row r="687" spans="2:3" x14ac:dyDescent="0.25">
      <c r="B687" s="293">
        <v>43234</v>
      </c>
      <c r="C687" s="397">
        <v>35556.71</v>
      </c>
    </row>
    <row r="688" spans="2:3" x14ac:dyDescent="0.25">
      <c r="B688" s="293">
        <v>43235</v>
      </c>
      <c r="C688" s="397">
        <v>35543.94</v>
      </c>
    </row>
    <row r="689" spans="2:3" x14ac:dyDescent="0.25">
      <c r="B689" s="293">
        <v>43236</v>
      </c>
      <c r="C689" s="397">
        <v>35387.879999999997</v>
      </c>
    </row>
    <row r="690" spans="2:3" x14ac:dyDescent="0.25">
      <c r="B690" s="293">
        <v>43237</v>
      </c>
      <c r="C690" s="397">
        <v>35149.120000000003</v>
      </c>
    </row>
    <row r="691" spans="2:3" x14ac:dyDescent="0.25">
      <c r="B691" s="293">
        <v>43238</v>
      </c>
      <c r="C691" s="397">
        <v>34848.300000000003</v>
      </c>
    </row>
    <row r="692" spans="2:3" x14ac:dyDescent="0.25">
      <c r="B692" s="293">
        <v>43241</v>
      </c>
      <c r="C692" s="397">
        <v>34616.129999999997</v>
      </c>
    </row>
    <row r="693" spans="2:3" x14ac:dyDescent="0.25">
      <c r="B693" s="293">
        <v>43242</v>
      </c>
      <c r="C693" s="397">
        <v>34651.24</v>
      </c>
    </row>
    <row r="694" spans="2:3" x14ac:dyDescent="0.25">
      <c r="B694" s="293">
        <v>43243</v>
      </c>
      <c r="C694" s="397">
        <v>34344.910000000003</v>
      </c>
    </row>
    <row r="695" spans="2:3" x14ac:dyDescent="0.25">
      <c r="B695" s="293">
        <v>43244</v>
      </c>
      <c r="C695" s="397">
        <v>34663.11</v>
      </c>
    </row>
    <row r="696" spans="2:3" x14ac:dyDescent="0.25">
      <c r="B696" s="293">
        <v>43245</v>
      </c>
      <c r="C696" s="397">
        <v>34924.870000000003</v>
      </c>
    </row>
    <row r="697" spans="2:3" x14ac:dyDescent="0.25">
      <c r="B697" s="293">
        <v>43248</v>
      </c>
      <c r="C697" s="397">
        <v>35165.480000000003</v>
      </c>
    </row>
    <row r="698" spans="2:3" x14ac:dyDescent="0.25">
      <c r="B698" s="293">
        <v>43249</v>
      </c>
      <c r="C698" s="397">
        <v>34949.24</v>
      </c>
    </row>
    <row r="699" spans="2:3" x14ac:dyDescent="0.25">
      <c r="B699" s="293">
        <v>43250</v>
      </c>
      <c r="C699" s="397">
        <v>34906.11</v>
      </c>
    </row>
    <row r="700" spans="2:3" x14ac:dyDescent="0.25">
      <c r="B700" s="293">
        <v>43251</v>
      </c>
      <c r="C700" s="397">
        <v>35322.379999999997</v>
      </c>
    </row>
    <row r="701" spans="2:3" x14ac:dyDescent="0.25">
      <c r="B701" s="293">
        <v>43252</v>
      </c>
      <c r="C701" s="397">
        <v>35227.26</v>
      </c>
    </row>
    <row r="702" spans="2:3" x14ac:dyDescent="0.25">
      <c r="B702" s="293">
        <v>43255</v>
      </c>
      <c r="C702" s="397">
        <v>35011.89</v>
      </c>
    </row>
    <row r="703" spans="2:3" x14ac:dyDescent="0.25">
      <c r="B703" s="293">
        <v>43256</v>
      </c>
      <c r="C703" s="397">
        <v>34903.21</v>
      </c>
    </row>
    <row r="704" spans="2:3" x14ac:dyDescent="0.25">
      <c r="B704" s="293">
        <v>43257</v>
      </c>
      <c r="C704" s="397">
        <v>35178.879999999997</v>
      </c>
    </row>
    <row r="705" spans="2:3" x14ac:dyDescent="0.25">
      <c r="B705" s="293">
        <v>43258</v>
      </c>
      <c r="C705" s="397">
        <v>35463.08</v>
      </c>
    </row>
    <row r="706" spans="2:3" x14ac:dyDescent="0.25">
      <c r="B706" s="293">
        <v>43259</v>
      </c>
      <c r="C706" s="397">
        <v>35443.67</v>
      </c>
    </row>
    <row r="707" spans="2:3" x14ac:dyDescent="0.25">
      <c r="B707" s="293">
        <v>43262</v>
      </c>
      <c r="C707" s="397">
        <v>35483.47</v>
      </c>
    </row>
    <row r="708" spans="2:3" x14ac:dyDescent="0.25">
      <c r="B708" s="293">
        <v>43263</v>
      </c>
      <c r="C708" s="397">
        <v>35692.519999999997</v>
      </c>
    </row>
    <row r="709" spans="2:3" x14ac:dyDescent="0.25">
      <c r="B709" s="293">
        <v>43264</v>
      </c>
      <c r="C709" s="397">
        <v>35739.160000000003</v>
      </c>
    </row>
    <row r="710" spans="2:3" x14ac:dyDescent="0.25">
      <c r="B710" s="293">
        <v>43265</v>
      </c>
      <c r="C710" s="397">
        <v>35599.82</v>
      </c>
    </row>
    <row r="711" spans="2:3" x14ac:dyDescent="0.25">
      <c r="B711" s="293">
        <v>43266</v>
      </c>
      <c r="C711" s="397">
        <v>35622.14</v>
      </c>
    </row>
    <row r="712" spans="2:3" x14ac:dyDescent="0.25">
      <c r="B712" s="293">
        <v>43269</v>
      </c>
      <c r="C712" s="397">
        <v>35548.26</v>
      </c>
    </row>
    <row r="713" spans="2:3" x14ac:dyDescent="0.25">
      <c r="B713" s="293">
        <v>43270</v>
      </c>
      <c r="C713" s="397">
        <v>35286.74</v>
      </c>
    </row>
    <row r="714" spans="2:3" x14ac:dyDescent="0.25">
      <c r="B714" s="293">
        <v>43271</v>
      </c>
      <c r="C714" s="397">
        <v>35547.33</v>
      </c>
    </row>
    <row r="715" spans="2:3" x14ac:dyDescent="0.25">
      <c r="B715" s="293">
        <v>43272</v>
      </c>
      <c r="C715" s="397">
        <v>35432.39</v>
      </c>
    </row>
    <row r="716" spans="2:3" x14ac:dyDescent="0.25">
      <c r="B716" s="293">
        <v>43273</v>
      </c>
      <c r="C716" s="397">
        <v>35689.599999999999</v>
      </c>
    </row>
    <row r="717" spans="2:3" x14ac:dyDescent="0.25">
      <c r="B717" s="293">
        <v>43276</v>
      </c>
      <c r="C717" s="397">
        <v>35470.35</v>
      </c>
    </row>
    <row r="718" spans="2:3" x14ac:dyDescent="0.25">
      <c r="B718" s="293">
        <v>43277</v>
      </c>
      <c r="C718" s="397">
        <v>35490.04</v>
      </c>
    </row>
    <row r="719" spans="2:3" x14ac:dyDescent="0.25">
      <c r="B719" s="293">
        <v>43278</v>
      </c>
      <c r="C719" s="397">
        <v>35217.11</v>
      </c>
    </row>
    <row r="720" spans="2:3" x14ac:dyDescent="0.25">
      <c r="B720" s="293">
        <v>43279</v>
      </c>
      <c r="C720" s="397">
        <v>35037.64</v>
      </c>
    </row>
    <row r="721" spans="2:3" x14ac:dyDescent="0.25">
      <c r="B721" s="293">
        <v>43280</v>
      </c>
      <c r="C721" s="397">
        <v>35423.480000000003</v>
      </c>
    </row>
    <row r="722" spans="2:3" x14ac:dyDescent="0.25">
      <c r="B722" s="293">
        <v>43283</v>
      </c>
      <c r="C722" s="397">
        <v>35264.410000000003</v>
      </c>
    </row>
    <row r="723" spans="2:3" x14ac:dyDescent="0.25">
      <c r="B723" s="293">
        <v>43284</v>
      </c>
      <c r="C723" s="397">
        <v>35378.6</v>
      </c>
    </row>
    <row r="724" spans="2:3" x14ac:dyDescent="0.25">
      <c r="B724" s="293">
        <v>43285</v>
      </c>
      <c r="C724" s="397">
        <v>35645.4</v>
      </c>
    </row>
    <row r="725" spans="2:3" x14ac:dyDescent="0.25">
      <c r="B725" s="293">
        <v>43286</v>
      </c>
      <c r="C725" s="397">
        <v>35574.550000000003</v>
      </c>
    </row>
    <row r="726" spans="2:3" x14ac:dyDescent="0.25">
      <c r="B726" s="293">
        <v>43287</v>
      </c>
      <c r="C726" s="397">
        <v>35657.86</v>
      </c>
    </row>
    <row r="727" spans="2:3" x14ac:dyDescent="0.25">
      <c r="B727" s="293">
        <v>43290</v>
      </c>
      <c r="C727" s="397">
        <v>35934.720000000001</v>
      </c>
    </row>
    <row r="728" spans="2:3" x14ac:dyDescent="0.25">
      <c r="B728" s="293">
        <v>43291</v>
      </c>
      <c r="C728" s="397">
        <v>36239.620000000003</v>
      </c>
    </row>
    <row r="729" spans="2:3" x14ac:dyDescent="0.25">
      <c r="B729" s="293">
        <v>43292</v>
      </c>
      <c r="C729" s="397">
        <v>36265.93</v>
      </c>
    </row>
    <row r="730" spans="2:3" x14ac:dyDescent="0.25">
      <c r="B730" s="293">
        <v>43293</v>
      </c>
      <c r="C730" s="397">
        <v>36548.410000000003</v>
      </c>
    </row>
    <row r="731" spans="2:3" x14ac:dyDescent="0.25">
      <c r="B731" s="293">
        <v>43294</v>
      </c>
      <c r="C731" s="397">
        <v>36541.629999999997</v>
      </c>
    </row>
    <row r="732" spans="2:3" x14ac:dyDescent="0.25">
      <c r="B732" s="293">
        <v>43297</v>
      </c>
      <c r="C732" s="397">
        <v>36323.769999999997</v>
      </c>
    </row>
    <row r="733" spans="2:3" x14ac:dyDescent="0.25">
      <c r="B733" s="293">
        <v>43298</v>
      </c>
      <c r="C733" s="397">
        <v>36519.96</v>
      </c>
    </row>
    <row r="734" spans="2:3" x14ac:dyDescent="0.25">
      <c r="B734" s="293">
        <v>43299</v>
      </c>
      <c r="C734" s="397">
        <v>36373.440000000002</v>
      </c>
    </row>
    <row r="735" spans="2:3" x14ac:dyDescent="0.25">
      <c r="B735" s="293">
        <v>43300</v>
      </c>
      <c r="C735" s="397">
        <v>36351.230000000003</v>
      </c>
    </row>
    <row r="736" spans="2:3" x14ac:dyDescent="0.25">
      <c r="B736" s="293">
        <v>43301</v>
      </c>
      <c r="C736" s="397">
        <v>36496.370000000003</v>
      </c>
    </row>
    <row r="737" spans="2:3" x14ac:dyDescent="0.25">
      <c r="B737" s="293">
        <v>43304</v>
      </c>
      <c r="C737" s="397">
        <v>36718.6</v>
      </c>
    </row>
    <row r="738" spans="2:3" x14ac:dyDescent="0.25">
      <c r="B738" s="293">
        <v>43305</v>
      </c>
      <c r="C738" s="397">
        <v>36825.1</v>
      </c>
    </row>
    <row r="739" spans="2:3" x14ac:dyDescent="0.25">
      <c r="B739" s="293">
        <v>43306</v>
      </c>
      <c r="C739" s="397">
        <v>36858.230000000003</v>
      </c>
    </row>
    <row r="740" spans="2:3" x14ac:dyDescent="0.25">
      <c r="B740" s="293">
        <v>43307</v>
      </c>
      <c r="C740" s="397">
        <v>36984.639999999999</v>
      </c>
    </row>
    <row r="741" spans="2:3" x14ac:dyDescent="0.25">
      <c r="B741" s="293">
        <v>43308</v>
      </c>
      <c r="C741" s="397">
        <v>37336.85</v>
      </c>
    </row>
    <row r="742" spans="2:3" x14ac:dyDescent="0.25">
      <c r="B742" s="293">
        <v>43311</v>
      </c>
      <c r="C742" s="397">
        <v>37494.400000000001</v>
      </c>
    </row>
    <row r="743" spans="2:3" x14ac:dyDescent="0.25">
      <c r="B743" s="293">
        <v>43312</v>
      </c>
      <c r="C743" s="397">
        <v>37606.58</v>
      </c>
    </row>
    <row r="744" spans="2:3" x14ac:dyDescent="0.25">
      <c r="B744" s="293">
        <v>43313</v>
      </c>
      <c r="C744" s="397">
        <v>37521.620000000003</v>
      </c>
    </row>
    <row r="745" spans="2:3" x14ac:dyDescent="0.25">
      <c r="B745" s="293">
        <v>43314</v>
      </c>
      <c r="C745" s="397">
        <v>37165.160000000003</v>
      </c>
    </row>
    <row r="746" spans="2:3" x14ac:dyDescent="0.25">
      <c r="B746" s="293">
        <v>43315</v>
      </c>
      <c r="C746" s="397">
        <v>37556.160000000003</v>
      </c>
    </row>
    <row r="747" spans="2:3" x14ac:dyDescent="0.25">
      <c r="B747" s="293">
        <v>43318</v>
      </c>
      <c r="C747" s="397">
        <v>37691.89</v>
      </c>
    </row>
    <row r="748" spans="2:3" x14ac:dyDescent="0.25">
      <c r="B748" s="293">
        <v>43319</v>
      </c>
      <c r="C748" s="397">
        <v>37665.800000000003</v>
      </c>
    </row>
    <row r="749" spans="2:3" x14ac:dyDescent="0.25">
      <c r="B749" s="293">
        <v>43320</v>
      </c>
      <c r="C749" s="397">
        <v>37887.56</v>
      </c>
    </row>
    <row r="750" spans="2:3" x14ac:dyDescent="0.25">
      <c r="B750" s="293">
        <v>43321</v>
      </c>
      <c r="C750" s="397">
        <v>38024.370000000003</v>
      </c>
    </row>
    <row r="751" spans="2:3" x14ac:dyDescent="0.25">
      <c r="B751" s="293">
        <v>43322</v>
      </c>
      <c r="C751" s="397">
        <v>37869.230000000003</v>
      </c>
    </row>
    <row r="752" spans="2:3" x14ac:dyDescent="0.25">
      <c r="B752" s="293">
        <v>43325</v>
      </c>
      <c r="C752" s="397">
        <v>37644.9</v>
      </c>
    </row>
    <row r="753" spans="2:3" x14ac:dyDescent="0.25">
      <c r="B753" s="293">
        <v>43326</v>
      </c>
      <c r="C753" s="397">
        <v>37852</v>
      </c>
    </row>
    <row r="754" spans="2:3" x14ac:dyDescent="0.25">
      <c r="B754" s="293">
        <v>43328</v>
      </c>
      <c r="C754" s="397">
        <v>37663.56</v>
      </c>
    </row>
    <row r="755" spans="2:3" x14ac:dyDescent="0.25">
      <c r="B755" s="293">
        <v>43329</v>
      </c>
      <c r="C755" s="397">
        <v>37947.879999999997</v>
      </c>
    </row>
    <row r="756" spans="2:3" x14ac:dyDescent="0.25">
      <c r="B756" s="293">
        <v>43332</v>
      </c>
      <c r="C756" s="397">
        <v>38278.75</v>
      </c>
    </row>
    <row r="757" spans="2:3" x14ac:dyDescent="0.25">
      <c r="B757" s="293">
        <v>43333</v>
      </c>
      <c r="C757" s="397">
        <v>38285.75</v>
      </c>
    </row>
    <row r="758" spans="2:3" x14ac:dyDescent="0.25">
      <c r="B758" s="293">
        <v>43335</v>
      </c>
      <c r="C758" s="397">
        <v>38336.76</v>
      </c>
    </row>
    <row r="759" spans="2:3" x14ac:dyDescent="0.25">
      <c r="B759" s="293">
        <v>43336</v>
      </c>
      <c r="C759" s="397">
        <v>38251.800000000003</v>
      </c>
    </row>
    <row r="760" spans="2:3" x14ac:dyDescent="0.25">
      <c r="B760" s="293">
        <v>43339</v>
      </c>
      <c r="C760" s="397">
        <v>38694.11</v>
      </c>
    </row>
    <row r="761" spans="2:3" x14ac:dyDescent="0.25">
      <c r="B761" s="293">
        <v>43340</v>
      </c>
      <c r="C761" s="397">
        <v>38896.629999999997</v>
      </c>
    </row>
    <row r="762" spans="2:3" x14ac:dyDescent="0.25">
      <c r="B762" s="293">
        <v>43341</v>
      </c>
      <c r="C762" s="397">
        <v>38722.93</v>
      </c>
    </row>
    <row r="763" spans="2:3" x14ac:dyDescent="0.25">
      <c r="B763" s="293">
        <v>43342</v>
      </c>
      <c r="C763" s="397">
        <v>38690.1</v>
      </c>
    </row>
    <row r="764" spans="2:3" x14ac:dyDescent="0.25">
      <c r="B764" s="293">
        <v>43343</v>
      </c>
      <c r="C764" s="397">
        <v>38645.07</v>
      </c>
    </row>
    <row r="765" spans="2:3" x14ac:dyDescent="0.25">
      <c r="B765" s="293">
        <v>43346</v>
      </c>
      <c r="C765" s="397">
        <v>38312.519999999997</v>
      </c>
    </row>
    <row r="766" spans="2:3" x14ac:dyDescent="0.25">
      <c r="B766" s="293">
        <v>43347</v>
      </c>
      <c r="C766" s="397">
        <v>38157.919999999998</v>
      </c>
    </row>
    <row r="767" spans="2:3" x14ac:dyDescent="0.25">
      <c r="B767" s="293">
        <v>43348</v>
      </c>
      <c r="C767" s="397">
        <v>38018.31</v>
      </c>
    </row>
    <row r="768" spans="2:3" x14ac:dyDescent="0.25">
      <c r="B768" s="293">
        <v>43349</v>
      </c>
      <c r="C768" s="397">
        <v>38242.81</v>
      </c>
    </row>
    <row r="769" spans="2:3" x14ac:dyDescent="0.25">
      <c r="B769" s="293">
        <v>43350</v>
      </c>
      <c r="C769" s="397">
        <v>38389.82</v>
      </c>
    </row>
    <row r="770" spans="2:3" x14ac:dyDescent="0.25">
      <c r="B770" s="293">
        <v>43353</v>
      </c>
      <c r="C770" s="397">
        <v>37922.17</v>
      </c>
    </row>
    <row r="771" spans="2:3" x14ac:dyDescent="0.25">
      <c r="B771" s="293">
        <v>43354</v>
      </c>
      <c r="C771" s="397">
        <v>37413.129999999997</v>
      </c>
    </row>
    <row r="772" spans="2:3" x14ac:dyDescent="0.25">
      <c r="B772" s="293">
        <v>43355</v>
      </c>
      <c r="C772" s="397">
        <v>37717.96</v>
      </c>
    </row>
    <row r="773" spans="2:3" x14ac:dyDescent="0.25">
      <c r="B773" s="293">
        <v>43357</v>
      </c>
      <c r="C773" s="397">
        <v>38090.639999999999</v>
      </c>
    </row>
    <row r="774" spans="2:3" x14ac:dyDescent="0.25">
      <c r="B774" s="293">
        <v>43360</v>
      </c>
      <c r="C774" s="397">
        <v>37585.51</v>
      </c>
    </row>
    <row r="775" spans="2:3" x14ac:dyDescent="0.25">
      <c r="B775" s="293">
        <v>43361</v>
      </c>
      <c r="C775" s="397">
        <v>37290.67</v>
      </c>
    </row>
    <row r="776" spans="2:3" x14ac:dyDescent="0.25">
      <c r="B776" s="293">
        <v>43362</v>
      </c>
      <c r="C776" s="397">
        <v>37121.22</v>
      </c>
    </row>
    <row r="777" spans="2:3" x14ac:dyDescent="0.25">
      <c r="B777" s="293">
        <v>43364</v>
      </c>
      <c r="C777" s="397">
        <v>36841.599999999999</v>
      </c>
    </row>
    <row r="778" spans="2:3" x14ac:dyDescent="0.25">
      <c r="B778" s="293">
        <v>43367</v>
      </c>
      <c r="C778" s="397">
        <v>36305.019999999997</v>
      </c>
    </row>
    <row r="779" spans="2:3" x14ac:dyDescent="0.25">
      <c r="B779" s="293">
        <v>43368</v>
      </c>
      <c r="C779" s="397">
        <v>36652.06</v>
      </c>
    </row>
    <row r="780" spans="2:3" x14ac:dyDescent="0.25">
      <c r="B780" s="293">
        <v>43369</v>
      </c>
      <c r="C780" s="397">
        <v>36542.269999999997</v>
      </c>
    </row>
    <row r="781" spans="2:3" x14ac:dyDescent="0.25">
      <c r="B781" s="293">
        <v>43370</v>
      </c>
      <c r="C781" s="397">
        <v>36324.17</v>
      </c>
    </row>
    <row r="782" spans="2:3" x14ac:dyDescent="0.25">
      <c r="B782" s="293">
        <v>43371</v>
      </c>
      <c r="C782" s="397">
        <v>36227.14</v>
      </c>
    </row>
    <row r="783" spans="2:3" x14ac:dyDescent="0.25">
      <c r="B783" s="293">
        <v>43374</v>
      </c>
      <c r="C783" s="397">
        <v>36526.14</v>
      </c>
    </row>
    <row r="784" spans="2:3" x14ac:dyDescent="0.25">
      <c r="B784" s="293">
        <v>43376</v>
      </c>
      <c r="C784" s="397">
        <v>35975.629999999997</v>
      </c>
    </row>
    <row r="785" spans="2:3" x14ac:dyDescent="0.25">
      <c r="B785" s="293">
        <v>43377</v>
      </c>
      <c r="C785" s="397">
        <v>35169.160000000003</v>
      </c>
    </row>
    <row r="786" spans="2:3" x14ac:dyDescent="0.25">
      <c r="B786" s="293">
        <v>43378</v>
      </c>
      <c r="C786" s="397">
        <v>34376.99</v>
      </c>
    </row>
    <row r="787" spans="2:3" x14ac:dyDescent="0.25">
      <c r="B787" s="293">
        <v>43381</v>
      </c>
      <c r="C787" s="397">
        <v>34474.379999999997</v>
      </c>
    </row>
    <row r="788" spans="2:3" x14ac:dyDescent="0.25">
      <c r="B788" s="293">
        <v>43382</v>
      </c>
      <c r="C788" s="397">
        <v>34299.47</v>
      </c>
    </row>
    <row r="789" spans="2:3" x14ac:dyDescent="0.25">
      <c r="B789" s="293">
        <v>43383</v>
      </c>
      <c r="C789" s="397">
        <v>34760.89</v>
      </c>
    </row>
    <row r="790" spans="2:3" x14ac:dyDescent="0.25">
      <c r="B790" s="293">
        <v>43384</v>
      </c>
      <c r="C790" s="397">
        <v>34001.15</v>
      </c>
    </row>
    <row r="791" spans="2:3" x14ac:dyDescent="0.25">
      <c r="B791" s="293">
        <v>43385</v>
      </c>
      <c r="C791" s="397">
        <v>34733.58</v>
      </c>
    </row>
    <row r="792" spans="2:3" x14ac:dyDescent="0.25">
      <c r="B792" s="293">
        <v>43388</v>
      </c>
      <c r="C792" s="397">
        <v>34865.1</v>
      </c>
    </row>
    <row r="793" spans="2:3" x14ac:dyDescent="0.25">
      <c r="B793" s="293">
        <v>43389</v>
      </c>
      <c r="C793" s="397">
        <v>35162.480000000003</v>
      </c>
    </row>
    <row r="794" spans="2:3" x14ac:dyDescent="0.25">
      <c r="B794" s="293">
        <v>43390</v>
      </c>
      <c r="C794" s="397">
        <v>34779.58</v>
      </c>
    </row>
    <row r="795" spans="2:3" x14ac:dyDescent="0.25">
      <c r="B795" s="293">
        <v>43392</v>
      </c>
      <c r="C795" s="397">
        <v>34315.629999999997</v>
      </c>
    </row>
    <row r="796" spans="2:3" x14ac:dyDescent="0.25">
      <c r="B796" s="293">
        <v>43395</v>
      </c>
      <c r="C796" s="397">
        <v>34134.379999999997</v>
      </c>
    </row>
    <row r="797" spans="2:3" x14ac:dyDescent="0.25">
      <c r="B797" s="293">
        <v>43396</v>
      </c>
      <c r="C797" s="397">
        <v>33847.230000000003</v>
      </c>
    </row>
    <row r="798" spans="2:3" x14ac:dyDescent="0.25">
      <c r="B798" s="293">
        <v>43397</v>
      </c>
      <c r="C798" s="397">
        <v>34033.96</v>
      </c>
    </row>
    <row r="799" spans="2:3" x14ac:dyDescent="0.25">
      <c r="B799" s="293">
        <v>43398</v>
      </c>
      <c r="C799" s="397">
        <v>33690.089999999997</v>
      </c>
    </row>
    <row r="800" spans="2:3" x14ac:dyDescent="0.25">
      <c r="B800" s="293">
        <v>43399</v>
      </c>
      <c r="C800" s="397">
        <v>33349.31</v>
      </c>
    </row>
    <row r="801" spans="2:3" x14ac:dyDescent="0.25">
      <c r="B801" s="293">
        <v>43402</v>
      </c>
      <c r="C801" s="397">
        <v>34067.4</v>
      </c>
    </row>
    <row r="802" spans="2:3" x14ac:dyDescent="0.25">
      <c r="B802" s="293">
        <v>43403</v>
      </c>
      <c r="C802" s="397">
        <v>33891.129999999997</v>
      </c>
    </row>
    <row r="803" spans="2:3" x14ac:dyDescent="0.25">
      <c r="B803" s="293">
        <v>43404</v>
      </c>
      <c r="C803" s="397">
        <v>34442.050000000003</v>
      </c>
    </row>
    <row r="804" spans="2:3" x14ac:dyDescent="0.25">
      <c r="B804" s="293">
        <v>43405</v>
      </c>
      <c r="C804" s="397">
        <v>34431.97</v>
      </c>
    </row>
    <row r="805" spans="2:3" x14ac:dyDescent="0.25">
      <c r="B805" s="293">
        <v>43406</v>
      </c>
      <c r="C805" s="397">
        <v>35011.65</v>
      </c>
    </row>
    <row r="806" spans="2:3" x14ac:dyDescent="0.25">
      <c r="B806" s="293">
        <v>43409</v>
      </c>
      <c r="C806" s="397">
        <v>34950.92</v>
      </c>
    </row>
    <row r="807" spans="2:3" x14ac:dyDescent="0.25">
      <c r="B807" s="293">
        <v>43410</v>
      </c>
      <c r="C807" s="397">
        <v>34991.910000000003</v>
      </c>
    </row>
    <row r="808" spans="2:3" x14ac:dyDescent="0.25">
      <c r="B808" s="293">
        <v>43411</v>
      </c>
      <c r="C808" s="397">
        <v>35237.68</v>
      </c>
    </row>
    <row r="809" spans="2:3" x14ac:dyDescent="0.25">
      <c r="B809" s="293">
        <v>43413</v>
      </c>
      <c r="C809" s="397">
        <v>35158.550000000003</v>
      </c>
    </row>
    <row r="810" spans="2:3" x14ac:dyDescent="0.25">
      <c r="B810" s="293">
        <v>43416</v>
      </c>
      <c r="C810" s="397">
        <v>34812.99</v>
      </c>
    </row>
    <row r="811" spans="2:3" x14ac:dyDescent="0.25">
      <c r="B811" s="293">
        <v>43417</v>
      </c>
      <c r="C811" s="397">
        <v>35144.49</v>
      </c>
    </row>
    <row r="812" spans="2:3" x14ac:dyDescent="0.25">
      <c r="B812" s="293">
        <v>43418</v>
      </c>
      <c r="C812" s="397">
        <v>35141.99</v>
      </c>
    </row>
    <row r="813" spans="2:3" x14ac:dyDescent="0.25">
      <c r="B813" s="293">
        <v>43419</v>
      </c>
      <c r="C813" s="397">
        <v>35260.54</v>
      </c>
    </row>
    <row r="814" spans="2:3" x14ac:dyDescent="0.25">
      <c r="B814" s="293">
        <v>43420</v>
      </c>
      <c r="C814" s="397">
        <v>35457.160000000003</v>
      </c>
    </row>
    <row r="815" spans="2:3" x14ac:dyDescent="0.25">
      <c r="B815" s="293">
        <v>43423</v>
      </c>
      <c r="C815" s="397">
        <v>35774.879999999997</v>
      </c>
    </row>
    <row r="816" spans="2:3" x14ac:dyDescent="0.25">
      <c r="B816" s="293">
        <v>43424</v>
      </c>
      <c r="C816" s="397">
        <v>35474.51</v>
      </c>
    </row>
    <row r="817" spans="2:3" x14ac:dyDescent="0.25">
      <c r="B817" s="293">
        <v>43425</v>
      </c>
      <c r="C817" s="397">
        <v>35199.800000000003</v>
      </c>
    </row>
    <row r="818" spans="2:3" x14ac:dyDescent="0.25">
      <c r="B818" s="293">
        <v>43426</v>
      </c>
      <c r="C818" s="397">
        <v>34981.019999999997</v>
      </c>
    </row>
    <row r="819" spans="2:3" x14ac:dyDescent="0.25">
      <c r="B819" s="293">
        <v>43430</v>
      </c>
      <c r="C819" s="397">
        <v>35354.080000000002</v>
      </c>
    </row>
    <row r="820" spans="2:3" x14ac:dyDescent="0.25">
      <c r="B820" s="293">
        <v>43431</v>
      </c>
      <c r="C820" s="397">
        <v>35513.14</v>
      </c>
    </row>
    <row r="821" spans="2:3" x14ac:dyDescent="0.25">
      <c r="B821" s="293">
        <v>43432</v>
      </c>
      <c r="C821" s="397">
        <v>35716.949999999997</v>
      </c>
    </row>
    <row r="822" spans="2:3" x14ac:dyDescent="0.25">
      <c r="B822" s="293">
        <v>43433</v>
      </c>
      <c r="C822" s="397">
        <v>36170.410000000003</v>
      </c>
    </row>
    <row r="823" spans="2:3" x14ac:dyDescent="0.25">
      <c r="B823" s="293">
        <v>43434</v>
      </c>
      <c r="C823" s="397">
        <v>36194.300000000003</v>
      </c>
    </row>
    <row r="824" spans="2:3" x14ac:dyDescent="0.25">
      <c r="B824" s="293">
        <v>43437</v>
      </c>
      <c r="C824" s="397">
        <v>36241</v>
      </c>
    </row>
    <row r="825" spans="2:3" x14ac:dyDescent="0.25">
      <c r="B825" s="293">
        <v>43438</v>
      </c>
      <c r="C825" s="397">
        <v>36134.31</v>
      </c>
    </row>
    <row r="826" spans="2:3" x14ac:dyDescent="0.25">
      <c r="B826" s="293">
        <v>43439</v>
      </c>
      <c r="C826" s="397">
        <v>35884.410000000003</v>
      </c>
    </row>
    <row r="827" spans="2:3" x14ac:dyDescent="0.25">
      <c r="B827" s="293">
        <v>43440</v>
      </c>
      <c r="C827" s="397">
        <v>35312.129999999997</v>
      </c>
    </row>
    <row r="828" spans="2:3" x14ac:dyDescent="0.25">
      <c r="B828" s="293">
        <v>43441</v>
      </c>
      <c r="C828" s="397">
        <v>35673.25</v>
      </c>
    </row>
    <row r="829" spans="2:3" x14ac:dyDescent="0.25">
      <c r="B829" s="293">
        <v>43444</v>
      </c>
      <c r="C829" s="397">
        <v>34959.72</v>
      </c>
    </row>
    <row r="830" spans="2:3" x14ac:dyDescent="0.25">
      <c r="B830" s="293">
        <v>43445</v>
      </c>
      <c r="C830" s="397">
        <v>35150.01</v>
      </c>
    </row>
    <row r="831" spans="2:3" x14ac:dyDescent="0.25">
      <c r="B831" s="293">
        <v>43446</v>
      </c>
      <c r="C831" s="397">
        <v>35779.07</v>
      </c>
    </row>
    <row r="832" spans="2:3" x14ac:dyDescent="0.25">
      <c r="B832" s="293">
        <v>43447</v>
      </c>
      <c r="C832" s="397">
        <v>35929.64</v>
      </c>
    </row>
    <row r="833" spans="2:3" x14ac:dyDescent="0.25">
      <c r="B833" s="293">
        <v>43448</v>
      </c>
      <c r="C833" s="397">
        <v>35962.93</v>
      </c>
    </row>
    <row r="834" spans="2:3" x14ac:dyDescent="0.25">
      <c r="B834" s="293">
        <v>43451</v>
      </c>
      <c r="C834" s="397">
        <v>36270.07</v>
      </c>
    </row>
    <row r="835" spans="2:3" x14ac:dyDescent="0.25">
      <c r="B835" s="293">
        <v>43452</v>
      </c>
      <c r="C835" s="397">
        <v>36347.08</v>
      </c>
    </row>
    <row r="836" spans="2:3" x14ac:dyDescent="0.25">
      <c r="B836" s="293">
        <v>43453</v>
      </c>
      <c r="C836" s="397">
        <v>36484.33</v>
      </c>
    </row>
    <row r="837" spans="2:3" x14ac:dyDescent="0.25">
      <c r="B837" s="293">
        <v>43454</v>
      </c>
      <c r="C837" s="397">
        <v>36431.67</v>
      </c>
    </row>
    <row r="838" spans="2:3" x14ac:dyDescent="0.25">
      <c r="B838" s="293">
        <v>43455</v>
      </c>
      <c r="C838" s="397">
        <v>35742.07</v>
      </c>
    </row>
    <row r="839" spans="2:3" x14ac:dyDescent="0.25">
      <c r="B839" s="293">
        <v>43458</v>
      </c>
      <c r="C839" s="397">
        <v>35470.15</v>
      </c>
    </row>
    <row r="840" spans="2:3" x14ac:dyDescent="0.25">
      <c r="B840" s="293">
        <v>43460</v>
      </c>
      <c r="C840" s="397">
        <v>35649.94</v>
      </c>
    </row>
    <row r="841" spans="2:3" x14ac:dyDescent="0.25">
      <c r="B841" s="293">
        <v>43461</v>
      </c>
      <c r="C841" s="397">
        <v>35807.279999999999</v>
      </c>
    </row>
    <row r="842" spans="2:3" x14ac:dyDescent="0.25">
      <c r="B842" s="293">
        <v>43462</v>
      </c>
      <c r="C842" s="397">
        <v>36076.720000000001</v>
      </c>
    </row>
    <row r="843" spans="2:3" x14ac:dyDescent="0.25">
      <c r="B843" s="293">
        <v>43465</v>
      </c>
      <c r="C843" s="397">
        <v>36068.33</v>
      </c>
    </row>
    <row r="844" spans="2:3" x14ac:dyDescent="0.25">
      <c r="B844" s="293">
        <v>43466</v>
      </c>
      <c r="C844" s="397">
        <v>36254.57</v>
      </c>
    </row>
    <row r="845" spans="2:3" x14ac:dyDescent="0.25">
      <c r="B845" s="293">
        <v>43467</v>
      </c>
      <c r="C845" s="397">
        <v>35891.519999999997</v>
      </c>
    </row>
    <row r="846" spans="2:3" x14ac:dyDescent="0.25">
      <c r="B846" s="293">
        <v>43468</v>
      </c>
      <c r="C846" s="397">
        <v>35513.71</v>
      </c>
    </row>
    <row r="847" spans="2:3" x14ac:dyDescent="0.25">
      <c r="B847" s="293">
        <v>43469</v>
      </c>
      <c r="C847" s="397">
        <v>35695.1</v>
      </c>
    </row>
    <row r="848" spans="2:3" x14ac:dyDescent="0.25">
      <c r="B848" s="293">
        <v>43472</v>
      </c>
      <c r="C848" s="397">
        <v>35850.160000000003</v>
      </c>
    </row>
    <row r="849" spans="2:3" x14ac:dyDescent="0.25">
      <c r="B849" s="293">
        <v>43473</v>
      </c>
      <c r="C849" s="397">
        <v>35980.93</v>
      </c>
    </row>
    <row r="850" spans="2:3" x14ac:dyDescent="0.25">
      <c r="B850" s="293">
        <v>43474</v>
      </c>
      <c r="C850" s="397">
        <v>36212.910000000003</v>
      </c>
    </row>
    <row r="851" spans="2:3" x14ac:dyDescent="0.25">
      <c r="B851" s="293">
        <v>43475</v>
      </c>
      <c r="C851" s="397">
        <v>36106.5</v>
      </c>
    </row>
    <row r="852" spans="2:3" x14ac:dyDescent="0.25">
      <c r="B852" s="293">
        <v>43476</v>
      </c>
      <c r="C852" s="397">
        <v>36009.839999999997</v>
      </c>
    </row>
    <row r="853" spans="2:3" x14ac:dyDescent="0.25">
      <c r="B853" s="293">
        <v>43479</v>
      </c>
      <c r="C853" s="397">
        <v>35853.56</v>
      </c>
    </row>
    <row r="854" spans="2:3" x14ac:dyDescent="0.25">
      <c r="B854" s="293">
        <v>43480</v>
      </c>
      <c r="C854" s="397">
        <v>36318.33</v>
      </c>
    </row>
    <row r="855" spans="2:3" x14ac:dyDescent="0.25">
      <c r="B855" s="293">
        <v>43481</v>
      </c>
      <c r="C855" s="397">
        <v>36321.29</v>
      </c>
    </row>
    <row r="856" spans="2:3" x14ac:dyDescent="0.25">
      <c r="B856" s="293">
        <v>43482</v>
      </c>
      <c r="C856" s="397">
        <v>36374.080000000002</v>
      </c>
    </row>
    <row r="857" spans="2:3" x14ac:dyDescent="0.25">
      <c r="B857" s="293">
        <v>43483</v>
      </c>
      <c r="C857" s="397">
        <v>36386.61</v>
      </c>
    </row>
    <row r="858" spans="2:3" x14ac:dyDescent="0.25">
      <c r="B858" s="293">
        <v>43486</v>
      </c>
      <c r="C858" s="397">
        <v>36578.959999999999</v>
      </c>
    </row>
    <row r="859" spans="2:3" x14ac:dyDescent="0.25">
      <c r="B859" s="293">
        <v>43487</v>
      </c>
      <c r="C859" s="397">
        <v>36444.639999999999</v>
      </c>
    </row>
    <row r="860" spans="2:3" x14ac:dyDescent="0.25">
      <c r="B860" s="293">
        <v>43488</v>
      </c>
      <c r="C860" s="397">
        <v>36108.47</v>
      </c>
    </row>
    <row r="861" spans="2:3" x14ac:dyDescent="0.25">
      <c r="B861" s="293">
        <v>43489</v>
      </c>
      <c r="C861" s="397">
        <v>36195.1</v>
      </c>
    </row>
    <row r="862" spans="2:3" x14ac:dyDescent="0.25">
      <c r="B862" s="293">
        <v>43490</v>
      </c>
      <c r="C862" s="397">
        <v>36025.54</v>
      </c>
    </row>
    <row r="863" spans="2:3" x14ac:dyDescent="0.25">
      <c r="B863" s="293">
        <v>43493</v>
      </c>
      <c r="C863" s="397">
        <v>35656.699999999997</v>
      </c>
    </row>
    <row r="864" spans="2:3" x14ac:dyDescent="0.25">
      <c r="B864" s="293">
        <v>43494</v>
      </c>
      <c r="C864" s="397">
        <v>35592.5</v>
      </c>
    </row>
    <row r="865" spans="2:3" x14ac:dyDescent="0.25">
      <c r="B865" s="293">
        <v>43495</v>
      </c>
      <c r="C865" s="397">
        <v>35591.25</v>
      </c>
    </row>
    <row r="866" spans="2:3" x14ac:dyDescent="0.25">
      <c r="B866" s="293">
        <v>43496</v>
      </c>
      <c r="C866" s="397">
        <v>36256.69</v>
      </c>
    </row>
    <row r="867" spans="2:3" x14ac:dyDescent="0.25">
      <c r="B867" s="293">
        <v>43497</v>
      </c>
      <c r="C867" s="397">
        <v>36469.43</v>
      </c>
    </row>
    <row r="868" spans="2:3" x14ac:dyDescent="0.25">
      <c r="B868" s="293">
        <v>43500</v>
      </c>
      <c r="C868" s="397">
        <v>36582.74</v>
      </c>
    </row>
    <row r="869" spans="2:3" x14ac:dyDescent="0.25">
      <c r="B869" s="293">
        <v>43501</v>
      </c>
      <c r="C869" s="397">
        <v>36616.81</v>
      </c>
    </row>
    <row r="870" spans="2:3" x14ac:dyDescent="0.25">
      <c r="B870" s="293">
        <v>43502</v>
      </c>
      <c r="C870" s="397">
        <v>36975.230000000003</v>
      </c>
    </row>
    <row r="871" spans="2:3" x14ac:dyDescent="0.25">
      <c r="B871" s="293">
        <v>43503</v>
      </c>
      <c r="C871" s="397">
        <v>36971.089999999997</v>
      </c>
    </row>
    <row r="872" spans="2:3" x14ac:dyDescent="0.25">
      <c r="B872" s="293">
        <v>43504</v>
      </c>
      <c r="C872" s="397">
        <v>36546.480000000003</v>
      </c>
    </row>
    <row r="873" spans="2:3" x14ac:dyDescent="0.25">
      <c r="B873" s="293">
        <v>43507</v>
      </c>
      <c r="C873" s="397">
        <v>36395.03</v>
      </c>
    </row>
    <row r="874" spans="2:3" x14ac:dyDescent="0.25">
      <c r="B874" s="293">
        <v>43508</v>
      </c>
      <c r="C874" s="397">
        <v>36153.620000000003</v>
      </c>
    </row>
    <row r="875" spans="2:3" x14ac:dyDescent="0.25">
      <c r="B875" s="293">
        <v>43509</v>
      </c>
      <c r="C875" s="397">
        <v>36034.11</v>
      </c>
    </row>
    <row r="876" spans="2:3" x14ac:dyDescent="0.25">
      <c r="B876" s="293">
        <v>43510</v>
      </c>
      <c r="C876" s="397">
        <v>35876.22</v>
      </c>
    </row>
    <row r="877" spans="2:3" x14ac:dyDescent="0.25">
      <c r="B877" s="293">
        <v>43511</v>
      </c>
      <c r="C877" s="397">
        <v>35808.949999999997</v>
      </c>
    </row>
    <row r="878" spans="2:3" x14ac:dyDescent="0.25">
      <c r="B878" s="293">
        <v>43514</v>
      </c>
      <c r="C878" s="397">
        <v>35498.44</v>
      </c>
    </row>
    <row r="879" spans="2:3" x14ac:dyDescent="0.25">
      <c r="B879" s="293">
        <v>43515</v>
      </c>
      <c r="C879" s="397">
        <v>35352.61</v>
      </c>
    </row>
    <row r="880" spans="2:3" x14ac:dyDescent="0.25">
      <c r="B880" s="293">
        <v>43516</v>
      </c>
      <c r="C880" s="397">
        <v>35756.26</v>
      </c>
    </row>
    <row r="881" spans="2:3" x14ac:dyDescent="0.25">
      <c r="B881" s="293">
        <v>43517</v>
      </c>
      <c r="C881" s="397">
        <v>35898.35</v>
      </c>
    </row>
    <row r="882" spans="2:3" x14ac:dyDescent="0.25">
      <c r="B882" s="293">
        <v>43518</v>
      </c>
      <c r="C882" s="397">
        <v>35871.480000000003</v>
      </c>
    </row>
    <row r="883" spans="2:3" x14ac:dyDescent="0.25">
      <c r="B883" s="293">
        <v>43521</v>
      </c>
      <c r="C883" s="397">
        <v>36213.379999999997</v>
      </c>
    </row>
    <row r="884" spans="2:3" x14ac:dyDescent="0.25">
      <c r="B884" s="293">
        <v>43522</v>
      </c>
      <c r="C884" s="397">
        <v>35973.71</v>
      </c>
    </row>
    <row r="885" spans="2:3" x14ac:dyDescent="0.25">
      <c r="B885" s="293">
        <v>43523</v>
      </c>
      <c r="C885" s="397">
        <v>35905.43</v>
      </c>
    </row>
    <row r="886" spans="2:3" x14ac:dyDescent="0.25">
      <c r="B886" s="293">
        <v>43524</v>
      </c>
      <c r="C886" s="397">
        <v>35867.440000000002</v>
      </c>
    </row>
    <row r="887" spans="2:3" x14ac:dyDescent="0.25">
      <c r="B887" s="293">
        <v>43525</v>
      </c>
      <c r="C887" s="397">
        <v>36063.81</v>
      </c>
    </row>
    <row r="888" spans="2:3" x14ac:dyDescent="0.25">
      <c r="B888" s="293">
        <v>43529</v>
      </c>
      <c r="C888" s="397">
        <v>36442.54</v>
      </c>
    </row>
    <row r="889" spans="2:3" x14ac:dyDescent="0.25">
      <c r="B889" s="293">
        <v>43530</v>
      </c>
      <c r="C889" s="397">
        <v>36636.1</v>
      </c>
    </row>
    <row r="890" spans="2:3" x14ac:dyDescent="0.25">
      <c r="B890" s="293">
        <v>43531</v>
      </c>
      <c r="C890" s="397">
        <v>36725.42</v>
      </c>
    </row>
    <row r="891" spans="2:3" x14ac:dyDescent="0.25">
      <c r="B891" s="293">
        <v>43532</v>
      </c>
      <c r="C891" s="397">
        <v>36671.43</v>
      </c>
    </row>
    <row r="892" spans="2:3" x14ac:dyDescent="0.25">
      <c r="B892" s="293">
        <v>43535</v>
      </c>
      <c r="C892" s="397">
        <v>37054.1</v>
      </c>
    </row>
    <row r="893" spans="2:3" x14ac:dyDescent="0.25">
      <c r="B893" s="293">
        <v>43536</v>
      </c>
      <c r="C893" s="397">
        <v>37535.660000000003</v>
      </c>
    </row>
    <row r="894" spans="2:3" x14ac:dyDescent="0.25">
      <c r="B894" s="293">
        <v>43537</v>
      </c>
      <c r="C894" s="397">
        <v>37752.17</v>
      </c>
    </row>
    <row r="895" spans="2:3" x14ac:dyDescent="0.25">
      <c r="B895" s="293">
        <v>43538</v>
      </c>
      <c r="C895" s="397">
        <v>37754.89</v>
      </c>
    </row>
    <row r="896" spans="2:3" x14ac:dyDescent="0.25">
      <c r="B896" s="293">
        <v>43539</v>
      </c>
      <c r="C896" s="397">
        <v>38024.32</v>
      </c>
    </row>
    <row r="897" spans="2:3" x14ac:dyDescent="0.25">
      <c r="B897" s="293">
        <v>43542</v>
      </c>
      <c r="C897" s="397">
        <v>38095.07</v>
      </c>
    </row>
    <row r="898" spans="2:3" x14ac:dyDescent="0.25">
      <c r="B898" s="293">
        <v>43543</v>
      </c>
      <c r="C898" s="397">
        <v>38363.47</v>
      </c>
    </row>
    <row r="899" spans="2:3" x14ac:dyDescent="0.25">
      <c r="B899" s="293">
        <v>43544</v>
      </c>
      <c r="C899" s="397">
        <v>38386.75</v>
      </c>
    </row>
    <row r="900" spans="2:3" x14ac:dyDescent="0.25">
      <c r="B900" s="293">
        <v>43546</v>
      </c>
      <c r="C900" s="397">
        <v>38164.61</v>
      </c>
    </row>
    <row r="901" spans="2:3" x14ac:dyDescent="0.25">
      <c r="B901" s="293">
        <v>43549</v>
      </c>
      <c r="C901" s="397">
        <v>37808.910000000003</v>
      </c>
    </row>
    <row r="902" spans="2:3" x14ac:dyDescent="0.25">
      <c r="B902" s="293">
        <v>43550</v>
      </c>
      <c r="C902" s="397">
        <v>38233.410000000003</v>
      </c>
    </row>
    <row r="903" spans="2:3" x14ac:dyDescent="0.25">
      <c r="B903" s="293">
        <v>43551</v>
      </c>
      <c r="C903" s="397">
        <v>38132.879999999997</v>
      </c>
    </row>
    <row r="904" spans="2:3" x14ac:dyDescent="0.25">
      <c r="B904" s="293">
        <v>43552</v>
      </c>
      <c r="C904" s="397">
        <v>38545.72</v>
      </c>
    </row>
    <row r="905" spans="2:3" x14ac:dyDescent="0.25">
      <c r="B905" s="293">
        <v>43553</v>
      </c>
      <c r="C905" s="397">
        <v>38672.910000000003</v>
      </c>
    </row>
    <row r="906" spans="2:3" x14ac:dyDescent="0.25">
      <c r="B906" s="293">
        <v>43556</v>
      </c>
      <c r="C906" s="397">
        <v>38871.870000000003</v>
      </c>
    </row>
    <row r="907" spans="2:3" x14ac:dyDescent="0.25">
      <c r="B907" s="293">
        <v>43557</v>
      </c>
      <c r="C907" s="397">
        <v>39056.65</v>
      </c>
    </row>
    <row r="908" spans="2:3" x14ac:dyDescent="0.25">
      <c r="B908" s="293">
        <v>43558</v>
      </c>
      <c r="C908" s="397">
        <v>38877.120000000003</v>
      </c>
    </row>
    <row r="909" spans="2:3" x14ac:dyDescent="0.25">
      <c r="B909" s="293">
        <v>43559</v>
      </c>
      <c r="C909" s="397">
        <v>38684.720000000001</v>
      </c>
    </row>
    <row r="910" spans="2:3" x14ac:dyDescent="0.25">
      <c r="B910" s="293">
        <v>43560</v>
      </c>
      <c r="C910" s="397">
        <v>38862.230000000003</v>
      </c>
    </row>
    <row r="911" spans="2:3" x14ac:dyDescent="0.25">
      <c r="B911" s="293">
        <v>43563</v>
      </c>
      <c r="C911" s="397">
        <v>38700.53</v>
      </c>
    </row>
    <row r="912" spans="2:3" x14ac:dyDescent="0.25">
      <c r="B912" s="293">
        <v>43564</v>
      </c>
      <c r="C912" s="397">
        <v>38939.22</v>
      </c>
    </row>
    <row r="913" spans="2:3" x14ac:dyDescent="0.25">
      <c r="B913" s="293">
        <v>43565</v>
      </c>
      <c r="C913" s="397">
        <v>38585.35</v>
      </c>
    </row>
    <row r="914" spans="2:3" x14ac:dyDescent="0.25">
      <c r="B914" s="293">
        <v>43566</v>
      </c>
      <c r="C914" s="397">
        <v>38607.01</v>
      </c>
    </row>
    <row r="915" spans="2:3" x14ac:dyDescent="0.25">
      <c r="B915" s="293">
        <v>43567</v>
      </c>
      <c r="C915" s="397">
        <v>38767.11</v>
      </c>
    </row>
    <row r="916" spans="2:3" x14ac:dyDescent="0.25">
      <c r="B916" s="293">
        <v>43570</v>
      </c>
      <c r="C916" s="397">
        <v>38905.839999999997</v>
      </c>
    </row>
    <row r="917" spans="2:3" x14ac:dyDescent="0.25">
      <c r="B917" s="293">
        <v>43571</v>
      </c>
      <c r="C917" s="397">
        <v>39275.64</v>
      </c>
    </row>
    <row r="918" spans="2:3" x14ac:dyDescent="0.25">
      <c r="B918" s="293">
        <v>43573</v>
      </c>
      <c r="C918" s="397">
        <v>39140.28</v>
      </c>
    </row>
    <row r="919" spans="2:3" x14ac:dyDescent="0.25">
      <c r="B919" s="293">
        <v>43577</v>
      </c>
      <c r="C919" s="397">
        <v>38645.18</v>
      </c>
    </row>
    <row r="920" spans="2:3" x14ac:dyDescent="0.25">
      <c r="B920" s="293">
        <v>43578</v>
      </c>
      <c r="C920" s="397">
        <v>38564.879999999997</v>
      </c>
    </row>
    <row r="921" spans="2:3" x14ac:dyDescent="0.25">
      <c r="B921" s="293">
        <v>43579</v>
      </c>
      <c r="C921" s="397">
        <v>39054.68</v>
      </c>
    </row>
    <row r="922" spans="2:3" x14ac:dyDescent="0.25">
      <c r="B922" s="293">
        <v>43580</v>
      </c>
      <c r="C922" s="397">
        <v>38730.86</v>
      </c>
    </row>
    <row r="923" spans="2:3" x14ac:dyDescent="0.25">
      <c r="B923" s="293">
        <v>43581</v>
      </c>
      <c r="C923" s="397">
        <v>39067.33</v>
      </c>
    </row>
    <row r="924" spans="2:3" x14ac:dyDescent="0.25">
      <c r="B924" s="293">
        <v>43585</v>
      </c>
      <c r="C924" s="397">
        <v>39031.550000000003</v>
      </c>
    </row>
    <row r="925" spans="2:3" x14ac:dyDescent="0.25">
      <c r="B925" s="293">
        <v>43587</v>
      </c>
      <c r="C925" s="397">
        <v>38981.43</v>
      </c>
    </row>
    <row r="926" spans="2:3" x14ac:dyDescent="0.25">
      <c r="B926" s="293">
        <v>43588</v>
      </c>
      <c r="C926" s="397">
        <v>38963.26</v>
      </c>
    </row>
    <row r="927" spans="2:3" x14ac:dyDescent="0.25">
      <c r="B927" s="293">
        <v>43591</v>
      </c>
      <c r="C927" s="397">
        <v>38600.339999999997</v>
      </c>
    </row>
    <row r="928" spans="2:3" x14ac:dyDescent="0.25">
      <c r="B928" s="293">
        <v>43592</v>
      </c>
      <c r="C928" s="397">
        <v>38276.629999999997</v>
      </c>
    </row>
    <row r="929" spans="2:3" x14ac:dyDescent="0.25">
      <c r="B929" s="293">
        <v>43593</v>
      </c>
      <c r="C929" s="397">
        <v>37789.129999999997</v>
      </c>
    </row>
    <row r="930" spans="2:3" x14ac:dyDescent="0.25">
      <c r="B930" s="293">
        <v>43594</v>
      </c>
      <c r="C930" s="397">
        <v>37558.910000000003</v>
      </c>
    </row>
    <row r="931" spans="2:3" x14ac:dyDescent="0.25">
      <c r="B931" s="293">
        <v>43595</v>
      </c>
      <c r="C931" s="397">
        <v>37462.99</v>
      </c>
    </row>
    <row r="932" spans="2:3" x14ac:dyDescent="0.25">
      <c r="B932" s="293">
        <v>43598</v>
      </c>
      <c r="C932" s="397">
        <v>37090.82</v>
      </c>
    </row>
    <row r="933" spans="2:3" x14ac:dyDescent="0.25">
      <c r="B933" s="293">
        <v>43599</v>
      </c>
      <c r="C933" s="397">
        <v>37318.53</v>
      </c>
    </row>
    <row r="934" spans="2:3" x14ac:dyDescent="0.25">
      <c r="B934" s="293">
        <v>43600</v>
      </c>
      <c r="C934" s="397">
        <v>37114.879999999997</v>
      </c>
    </row>
    <row r="935" spans="2:3" x14ac:dyDescent="0.25">
      <c r="B935" s="293">
        <v>43601</v>
      </c>
      <c r="C935" s="397">
        <v>37393.480000000003</v>
      </c>
    </row>
    <row r="936" spans="2:3" x14ac:dyDescent="0.25">
      <c r="B936" s="293">
        <v>43602</v>
      </c>
      <c r="C936" s="397">
        <v>37930.769999999997</v>
      </c>
    </row>
    <row r="937" spans="2:3" x14ac:dyDescent="0.25">
      <c r="B937" s="293">
        <v>43605</v>
      </c>
      <c r="C937" s="397">
        <v>39352.67</v>
      </c>
    </row>
    <row r="938" spans="2:3" x14ac:dyDescent="0.25">
      <c r="B938" s="293">
        <v>43606</v>
      </c>
      <c r="C938" s="397">
        <v>38969.800000000003</v>
      </c>
    </row>
    <row r="939" spans="2:3" x14ac:dyDescent="0.25">
      <c r="B939" s="293">
        <v>43607</v>
      </c>
      <c r="C939" s="397">
        <v>39110.21</v>
      </c>
    </row>
    <row r="940" spans="2:3" x14ac:dyDescent="0.25">
      <c r="B940" s="293">
        <v>43608</v>
      </c>
      <c r="C940" s="397">
        <v>38811.39</v>
      </c>
    </row>
    <row r="941" spans="2:3" x14ac:dyDescent="0.25">
      <c r="B941" s="293">
        <v>43609</v>
      </c>
      <c r="C941" s="397">
        <v>39434.720000000001</v>
      </c>
    </row>
    <row r="942" spans="2:3" x14ac:dyDescent="0.25">
      <c r="B942" s="293">
        <v>43612</v>
      </c>
      <c r="C942" s="397">
        <v>39683.29</v>
      </c>
    </row>
    <row r="943" spans="2:3" x14ac:dyDescent="0.25">
      <c r="B943" s="293">
        <v>43613</v>
      </c>
      <c r="C943" s="397">
        <v>39749.730000000003</v>
      </c>
    </row>
    <row r="944" spans="2:3" x14ac:dyDescent="0.25">
      <c r="B944" s="293">
        <v>43614</v>
      </c>
      <c r="C944" s="397">
        <v>39502.050000000003</v>
      </c>
    </row>
    <row r="945" spans="2:3" x14ac:dyDescent="0.25">
      <c r="B945" s="293">
        <v>43615</v>
      </c>
      <c r="C945" s="397">
        <v>39831.97</v>
      </c>
    </row>
    <row r="946" spans="2:3" x14ac:dyDescent="0.25">
      <c r="B946" s="293">
        <v>43616</v>
      </c>
      <c r="C946" s="397">
        <v>39714.199999999997</v>
      </c>
    </row>
    <row r="947" spans="2:3" x14ac:dyDescent="0.25">
      <c r="B947" s="293">
        <v>43619</v>
      </c>
      <c r="C947" s="397">
        <v>40267.620000000003</v>
      </c>
    </row>
    <row r="948" spans="2:3" x14ac:dyDescent="0.25">
      <c r="B948" s="293">
        <v>43620</v>
      </c>
      <c r="C948" s="397">
        <v>40083.54</v>
      </c>
    </row>
    <row r="949" spans="2:3" x14ac:dyDescent="0.25">
      <c r="B949" s="293">
        <v>43622</v>
      </c>
      <c r="C949" s="397">
        <v>39529.72</v>
      </c>
    </row>
    <row r="950" spans="2:3" x14ac:dyDescent="0.25">
      <c r="B950" s="293">
        <v>43623</v>
      </c>
      <c r="C950" s="397">
        <v>39615.9</v>
      </c>
    </row>
    <row r="951" spans="2:3" x14ac:dyDescent="0.25">
      <c r="B951" s="293">
        <v>43626</v>
      </c>
      <c r="C951" s="397">
        <v>39784.519999999997</v>
      </c>
    </row>
    <row r="952" spans="2:3" x14ac:dyDescent="0.25">
      <c r="B952" s="293">
        <v>43627</v>
      </c>
      <c r="C952" s="397">
        <v>39950.46</v>
      </c>
    </row>
    <row r="953" spans="2:3" x14ac:dyDescent="0.25">
      <c r="B953" s="293">
        <v>43628</v>
      </c>
      <c r="C953" s="397">
        <v>39756.81</v>
      </c>
    </row>
    <row r="954" spans="2:3" x14ac:dyDescent="0.25">
      <c r="B954" s="293">
        <v>43629</v>
      </c>
      <c r="C954" s="397">
        <v>39741.360000000001</v>
      </c>
    </row>
    <row r="955" spans="2:3" x14ac:dyDescent="0.25">
      <c r="B955" s="293">
        <v>43630</v>
      </c>
      <c r="C955" s="397">
        <v>39452.07</v>
      </c>
    </row>
    <row r="956" spans="2:3" x14ac:dyDescent="0.25">
      <c r="B956" s="293">
        <v>43633</v>
      </c>
      <c r="C956" s="397">
        <v>38960.79</v>
      </c>
    </row>
    <row r="957" spans="2:3" x14ac:dyDescent="0.25">
      <c r="B957" s="293">
        <v>43634</v>
      </c>
      <c r="C957" s="397">
        <v>39046.339999999997</v>
      </c>
    </row>
    <row r="958" spans="2:3" x14ac:dyDescent="0.25">
      <c r="B958" s="293">
        <v>43635</v>
      </c>
      <c r="C958" s="397">
        <v>39112.74</v>
      </c>
    </row>
    <row r="959" spans="2:3" x14ac:dyDescent="0.25">
      <c r="B959" s="293">
        <v>43636</v>
      </c>
      <c r="C959" s="397">
        <v>39601.629999999997</v>
      </c>
    </row>
    <row r="960" spans="2:3" x14ac:dyDescent="0.25">
      <c r="B960" s="293">
        <v>43637</v>
      </c>
      <c r="C960" s="397">
        <v>39194.49</v>
      </c>
    </row>
    <row r="961" spans="2:3" x14ac:dyDescent="0.25">
      <c r="B961" s="293">
        <v>43640</v>
      </c>
      <c r="C961" s="397">
        <v>39122.959999999999</v>
      </c>
    </row>
    <row r="962" spans="2:3" x14ac:dyDescent="0.25">
      <c r="B962" s="293">
        <v>43641</v>
      </c>
      <c r="C962" s="397">
        <v>39434.94</v>
      </c>
    </row>
    <row r="963" spans="2:3" x14ac:dyDescent="0.25">
      <c r="B963" s="293">
        <v>43642</v>
      </c>
      <c r="C963" s="397">
        <v>39592.080000000002</v>
      </c>
    </row>
    <row r="964" spans="2:3" x14ac:dyDescent="0.25">
      <c r="B964" s="293">
        <v>43643</v>
      </c>
      <c r="C964" s="397">
        <v>39586.410000000003</v>
      </c>
    </row>
    <row r="965" spans="2:3" x14ac:dyDescent="0.25">
      <c r="B965" s="293">
        <v>43644</v>
      </c>
      <c r="C965" s="397">
        <v>39394.639999999999</v>
      </c>
    </row>
    <row r="966" spans="2:3" x14ac:dyDescent="0.25">
      <c r="B966" s="293">
        <v>43647</v>
      </c>
      <c r="C966" s="397">
        <v>39686.5</v>
      </c>
    </row>
    <row r="967" spans="2:3" x14ac:dyDescent="0.25">
      <c r="B967" s="293">
        <v>43648</v>
      </c>
      <c r="C967" s="397">
        <v>39816.480000000003</v>
      </c>
    </row>
    <row r="968" spans="2:3" x14ac:dyDescent="0.25">
      <c r="B968" s="293">
        <v>43649</v>
      </c>
      <c r="C968" s="397">
        <v>39839.25</v>
      </c>
    </row>
    <row r="969" spans="2:3" x14ac:dyDescent="0.25">
      <c r="B969" s="293">
        <v>43650</v>
      </c>
      <c r="C969" s="397">
        <v>39908.06</v>
      </c>
    </row>
    <row r="970" spans="2:3" x14ac:dyDescent="0.25">
      <c r="B970" s="293">
        <v>43651</v>
      </c>
      <c r="C970" s="397">
        <v>39513.39</v>
      </c>
    </row>
    <row r="971" spans="2:3" x14ac:dyDescent="0.25">
      <c r="B971" s="293">
        <v>43654</v>
      </c>
      <c r="C971" s="397">
        <v>38720.57</v>
      </c>
    </row>
    <row r="972" spans="2:3" x14ac:dyDescent="0.25">
      <c r="B972" s="293">
        <v>43655</v>
      </c>
      <c r="C972" s="397">
        <v>38730.82</v>
      </c>
    </row>
    <row r="973" spans="2:3" x14ac:dyDescent="0.25">
      <c r="B973" s="293">
        <v>43656</v>
      </c>
      <c r="C973" s="397">
        <v>38557.040000000001</v>
      </c>
    </row>
    <row r="974" spans="2:3" x14ac:dyDescent="0.25">
      <c r="B974" s="293">
        <v>43657</v>
      </c>
      <c r="C974" s="397">
        <v>38823.11</v>
      </c>
    </row>
    <row r="975" spans="2:3" x14ac:dyDescent="0.25">
      <c r="B975" s="293">
        <v>43658</v>
      </c>
      <c r="C975" s="397">
        <v>38736.230000000003</v>
      </c>
    </row>
    <row r="976" spans="2:3" x14ac:dyDescent="0.25">
      <c r="B976" s="293">
        <v>43661</v>
      </c>
      <c r="C976" s="397">
        <v>38896.71</v>
      </c>
    </row>
    <row r="977" spans="2:3" x14ac:dyDescent="0.25">
      <c r="B977" s="293">
        <v>43662</v>
      </c>
      <c r="C977" s="397">
        <v>39131.040000000001</v>
      </c>
    </row>
    <row r="978" spans="2:3" x14ac:dyDescent="0.25">
      <c r="B978" s="293">
        <v>43663</v>
      </c>
      <c r="C978" s="397">
        <v>39215.64</v>
      </c>
    </row>
    <row r="979" spans="2:3" x14ac:dyDescent="0.25">
      <c r="B979" s="293">
        <v>43664</v>
      </c>
      <c r="C979" s="397">
        <v>38897.46</v>
      </c>
    </row>
    <row r="980" spans="2:3" x14ac:dyDescent="0.25">
      <c r="B980" s="293">
        <v>43665</v>
      </c>
      <c r="C980" s="397">
        <v>38337.01</v>
      </c>
    </row>
    <row r="981" spans="2:3" x14ac:dyDescent="0.25">
      <c r="B981" s="293">
        <v>43668</v>
      </c>
      <c r="C981" s="397">
        <v>38031.129999999997</v>
      </c>
    </row>
    <row r="982" spans="2:3" x14ac:dyDescent="0.25">
      <c r="B982" s="293">
        <v>43669</v>
      </c>
      <c r="C982" s="397">
        <v>37982.74</v>
      </c>
    </row>
    <row r="983" spans="2:3" x14ac:dyDescent="0.25">
      <c r="B983" s="293">
        <v>43670</v>
      </c>
      <c r="C983" s="397">
        <v>37847.65</v>
      </c>
    </row>
    <row r="984" spans="2:3" x14ac:dyDescent="0.25">
      <c r="B984" s="293">
        <v>43671</v>
      </c>
      <c r="C984" s="397">
        <v>37830.980000000003</v>
      </c>
    </row>
    <row r="985" spans="2:3" x14ac:dyDescent="0.25">
      <c r="B985" s="293">
        <v>43672</v>
      </c>
      <c r="C985" s="397">
        <v>37882.79</v>
      </c>
    </row>
    <row r="986" spans="2:3" x14ac:dyDescent="0.25">
      <c r="B986" s="293">
        <v>43675</v>
      </c>
      <c r="C986" s="397">
        <v>37686.370000000003</v>
      </c>
    </row>
    <row r="987" spans="2:3" x14ac:dyDescent="0.25">
      <c r="B987" s="293">
        <v>43676</v>
      </c>
      <c r="C987" s="397">
        <v>37397.24</v>
      </c>
    </row>
    <row r="988" spans="2:3" x14ac:dyDescent="0.25">
      <c r="B988" s="293">
        <v>43677</v>
      </c>
      <c r="C988" s="397">
        <v>37481.120000000003</v>
      </c>
    </row>
    <row r="989" spans="2:3" x14ac:dyDescent="0.25">
      <c r="B989" s="293">
        <v>43678</v>
      </c>
      <c r="C989" s="397">
        <v>37018.32</v>
      </c>
    </row>
    <row r="990" spans="2:3" x14ac:dyDescent="0.25">
      <c r="B990" s="293">
        <v>43679</v>
      </c>
      <c r="C990" s="397">
        <v>37118.22</v>
      </c>
    </row>
    <row r="991" spans="2:3" x14ac:dyDescent="0.25">
      <c r="B991" s="293">
        <v>43682</v>
      </c>
      <c r="C991" s="397">
        <v>36699.839999999997</v>
      </c>
    </row>
    <row r="992" spans="2:3" x14ac:dyDescent="0.25">
      <c r="B992" s="293">
        <v>43683</v>
      </c>
      <c r="C992" s="397">
        <v>36976.85</v>
      </c>
    </row>
    <row r="993" spans="2:3" x14ac:dyDescent="0.25">
      <c r="B993" s="293">
        <v>43684</v>
      </c>
      <c r="C993" s="397">
        <v>36690.5</v>
      </c>
    </row>
    <row r="994" spans="2:3" x14ac:dyDescent="0.25">
      <c r="B994" s="293">
        <v>43685</v>
      </c>
      <c r="C994" s="397">
        <v>37327.360000000001</v>
      </c>
    </row>
    <row r="995" spans="2:3" x14ac:dyDescent="0.25">
      <c r="B995" s="293">
        <v>43686</v>
      </c>
      <c r="C995" s="397">
        <v>37581.910000000003</v>
      </c>
    </row>
    <row r="996" spans="2:3" x14ac:dyDescent="0.25">
      <c r="B996" s="293">
        <v>43690</v>
      </c>
      <c r="C996" s="397">
        <v>36958.160000000003</v>
      </c>
    </row>
    <row r="997" spans="2:3" x14ac:dyDescent="0.25">
      <c r="B997" s="293">
        <v>43691</v>
      </c>
      <c r="C997" s="397">
        <v>37311.53</v>
      </c>
    </row>
    <row r="998" spans="2:3" x14ac:dyDescent="0.25">
      <c r="B998" s="293">
        <v>43693</v>
      </c>
      <c r="C998" s="397">
        <v>37350.33</v>
      </c>
    </row>
    <row r="999" spans="2:3" x14ac:dyDescent="0.25">
      <c r="B999" s="293">
        <v>43696</v>
      </c>
      <c r="C999" s="397">
        <v>37402.49</v>
      </c>
    </row>
    <row r="1000" spans="2:3" x14ac:dyDescent="0.25">
      <c r="B1000" s="293">
        <v>43697</v>
      </c>
      <c r="C1000" s="397">
        <v>37328.01</v>
      </c>
    </row>
    <row r="1001" spans="2:3" x14ac:dyDescent="0.25">
      <c r="B1001" s="293">
        <v>43698</v>
      </c>
      <c r="C1001" s="397">
        <v>37060.370000000003</v>
      </c>
    </row>
    <row r="1002" spans="2:3" x14ac:dyDescent="0.25">
      <c r="B1002" s="293">
        <v>43699</v>
      </c>
      <c r="C1002" s="397">
        <v>36472.93</v>
      </c>
    </row>
    <row r="1003" spans="2:3" x14ac:dyDescent="0.25">
      <c r="B1003" s="293">
        <v>43700</v>
      </c>
      <c r="C1003" s="397">
        <v>36701.160000000003</v>
      </c>
    </row>
    <row r="1004" spans="2:3" x14ac:dyDescent="0.25">
      <c r="B1004" s="293">
        <v>43703</v>
      </c>
      <c r="C1004" s="397">
        <v>37494.120000000003</v>
      </c>
    </row>
    <row r="1005" spans="2:3" x14ac:dyDescent="0.25">
      <c r="B1005" s="293">
        <v>43704</v>
      </c>
      <c r="C1005" s="397">
        <v>37641.269999999997</v>
      </c>
    </row>
    <row r="1006" spans="2:3" x14ac:dyDescent="0.25">
      <c r="B1006" s="293">
        <v>43705</v>
      </c>
      <c r="C1006" s="397">
        <v>37451.839999999997</v>
      </c>
    </row>
    <row r="1007" spans="2:3" x14ac:dyDescent="0.25">
      <c r="B1007" s="293">
        <v>43706</v>
      </c>
      <c r="C1007" s="397">
        <v>37068.93</v>
      </c>
    </row>
    <row r="1008" spans="2:3" x14ac:dyDescent="0.25">
      <c r="B1008" s="293">
        <v>43707</v>
      </c>
      <c r="C1008" s="397">
        <v>37332.79</v>
      </c>
    </row>
    <row r="1009" spans="2:3" x14ac:dyDescent="0.25">
      <c r="B1009" s="293">
        <v>43711</v>
      </c>
      <c r="C1009" s="397">
        <v>36562.910000000003</v>
      </c>
    </row>
    <row r="1010" spans="2:3" x14ac:dyDescent="0.25">
      <c r="B1010" s="293">
        <v>43712</v>
      </c>
      <c r="C1010" s="397">
        <v>36724.74</v>
      </c>
    </row>
    <row r="1011" spans="2:3" x14ac:dyDescent="0.25">
      <c r="B1011" s="293">
        <v>43713</v>
      </c>
      <c r="C1011" s="397">
        <v>36644.42</v>
      </c>
    </row>
    <row r="1012" spans="2:3" x14ac:dyDescent="0.25">
      <c r="B1012" s="293">
        <v>43714</v>
      </c>
      <c r="C1012" s="397">
        <v>36981.769999999997</v>
      </c>
    </row>
    <row r="1013" spans="2:3" x14ac:dyDescent="0.25">
      <c r="B1013" s="293">
        <v>43717</v>
      </c>
      <c r="C1013" s="397">
        <v>37145.449999999997</v>
      </c>
    </row>
    <row r="1014" spans="2:3" x14ac:dyDescent="0.25">
      <c r="B1014" s="293">
        <v>43719</v>
      </c>
      <c r="C1014" s="397">
        <v>37270.82</v>
      </c>
    </row>
    <row r="1015" spans="2:3" x14ac:dyDescent="0.25">
      <c r="B1015" s="293">
        <v>43720</v>
      </c>
      <c r="C1015" s="397">
        <v>37104.28</v>
      </c>
    </row>
    <row r="1016" spans="2:3" x14ac:dyDescent="0.25">
      <c r="B1016" s="293">
        <v>43721</v>
      </c>
      <c r="C1016" s="397">
        <v>37384.99</v>
      </c>
    </row>
    <row r="1017" spans="2:3" x14ac:dyDescent="0.25">
      <c r="B1017" s="293">
        <v>43724</v>
      </c>
      <c r="C1017" s="397">
        <v>37123.31</v>
      </c>
    </row>
    <row r="1018" spans="2:3" x14ac:dyDescent="0.25">
      <c r="B1018" s="293">
        <v>43725</v>
      </c>
      <c r="C1018" s="397">
        <v>36481.089999999997</v>
      </c>
    </row>
    <row r="1019" spans="2:3" x14ac:dyDescent="0.25">
      <c r="B1019" s="293">
        <v>43726</v>
      </c>
      <c r="C1019" s="397">
        <v>36563.879999999997</v>
      </c>
    </row>
    <row r="1020" spans="2:3" x14ac:dyDescent="0.25">
      <c r="B1020" s="293">
        <v>43727</v>
      </c>
      <c r="C1020" s="397">
        <v>36093.47</v>
      </c>
    </row>
    <row r="1021" spans="2:3" x14ac:dyDescent="0.25">
      <c r="B1021" s="293">
        <v>43728</v>
      </c>
      <c r="C1021" s="397">
        <v>38014.620000000003</v>
      </c>
    </row>
    <row r="1022" spans="2:3" x14ac:dyDescent="0.25">
      <c r="B1022" s="293">
        <v>43731</v>
      </c>
      <c r="C1022" s="397">
        <v>39090.03</v>
      </c>
    </row>
    <row r="1023" spans="2:3" x14ac:dyDescent="0.25">
      <c r="B1023" s="293">
        <v>43732</v>
      </c>
      <c r="C1023" s="397">
        <v>39097.14</v>
      </c>
    </row>
    <row r="1024" spans="2:3" x14ac:dyDescent="0.25">
      <c r="B1024" s="293">
        <v>43733</v>
      </c>
      <c r="C1024" s="397">
        <v>38593.519999999997</v>
      </c>
    </row>
    <row r="1025" spans="2:3" x14ac:dyDescent="0.25">
      <c r="B1025" s="293">
        <v>43734</v>
      </c>
      <c r="C1025" s="397">
        <v>38989.74</v>
      </c>
    </row>
    <row r="1026" spans="2:3" x14ac:dyDescent="0.25">
      <c r="B1026" s="293">
        <v>43735</v>
      </c>
      <c r="C1026" s="397">
        <v>38822.57</v>
      </c>
    </row>
    <row r="1027" spans="2:3" x14ac:dyDescent="0.25">
      <c r="B1027" s="293">
        <v>43738</v>
      </c>
      <c r="C1027" s="397">
        <v>38667.33</v>
      </c>
    </row>
    <row r="1028" spans="2:3" x14ac:dyDescent="0.25">
      <c r="B1028" s="293">
        <v>43739</v>
      </c>
      <c r="C1028" s="397">
        <v>38305.410000000003</v>
      </c>
    </row>
    <row r="1029" spans="2:3" x14ac:dyDescent="0.25">
      <c r="B1029" s="293">
        <v>43741</v>
      </c>
      <c r="C1029" s="397">
        <v>38106.870000000003</v>
      </c>
    </row>
    <row r="1030" spans="2:3" x14ac:dyDescent="0.25">
      <c r="B1030" s="293">
        <v>43742</v>
      </c>
      <c r="C1030" s="397">
        <v>37673.31</v>
      </c>
    </row>
    <row r="1031" spans="2:3" x14ac:dyDescent="0.25">
      <c r="B1031" s="293">
        <v>43745</v>
      </c>
      <c r="C1031" s="397">
        <v>37531.980000000003</v>
      </c>
    </row>
    <row r="1032" spans="2:3" x14ac:dyDescent="0.25">
      <c r="B1032" s="293">
        <v>43747</v>
      </c>
      <c r="C1032" s="397">
        <v>38177.949999999997</v>
      </c>
    </row>
    <row r="1033" spans="2:3" x14ac:dyDescent="0.25">
      <c r="B1033" s="293">
        <v>43748</v>
      </c>
      <c r="C1033" s="397">
        <v>37880.400000000001</v>
      </c>
    </row>
    <row r="1034" spans="2:3" x14ac:dyDescent="0.25">
      <c r="B1034" s="293">
        <v>43749</v>
      </c>
      <c r="C1034" s="397">
        <v>38127.08</v>
      </c>
    </row>
    <row r="1035" spans="2:3" x14ac:dyDescent="0.25">
      <c r="B1035" s="293">
        <v>43752</v>
      </c>
      <c r="C1035" s="397">
        <v>38214.47</v>
      </c>
    </row>
    <row r="1036" spans="2:3" x14ac:dyDescent="0.25">
      <c r="B1036" s="293">
        <v>43753</v>
      </c>
      <c r="C1036" s="397">
        <v>38506.089999999997</v>
      </c>
    </row>
    <row r="1037" spans="2:3" x14ac:dyDescent="0.25">
      <c r="B1037" s="293">
        <v>43754</v>
      </c>
      <c r="C1037" s="397">
        <v>38598.99</v>
      </c>
    </row>
    <row r="1038" spans="2:3" x14ac:dyDescent="0.25">
      <c r="B1038" s="293">
        <v>43755</v>
      </c>
      <c r="C1038" s="397">
        <v>39052.06</v>
      </c>
    </row>
    <row r="1039" spans="2:3" x14ac:dyDescent="0.25">
      <c r="B1039" s="293">
        <v>43756</v>
      </c>
      <c r="C1039" s="397">
        <v>39298.379999999997</v>
      </c>
    </row>
    <row r="1040" spans="2:3" x14ac:dyDescent="0.25">
      <c r="B1040" s="293">
        <v>43760</v>
      </c>
      <c r="C1040" s="397">
        <v>38963.839999999997</v>
      </c>
    </row>
    <row r="1041" spans="2:3" x14ac:dyDescent="0.25">
      <c r="B1041" s="293">
        <v>43761</v>
      </c>
      <c r="C1041" s="397">
        <v>39058.83</v>
      </c>
    </row>
    <row r="1042" spans="2:3" x14ac:dyDescent="0.25">
      <c r="B1042" s="293">
        <v>43762</v>
      </c>
      <c r="C1042" s="397">
        <v>39020.39</v>
      </c>
    </row>
    <row r="1043" spans="2:3" x14ac:dyDescent="0.25">
      <c r="B1043" s="293">
        <v>43763</v>
      </c>
      <c r="C1043" s="397">
        <v>39058.06</v>
      </c>
    </row>
    <row r="1044" spans="2:3" x14ac:dyDescent="0.25">
      <c r="B1044" s="293">
        <v>43765</v>
      </c>
      <c r="C1044" s="397">
        <v>39250.199999999997</v>
      </c>
    </row>
    <row r="1045" spans="2:3" x14ac:dyDescent="0.25">
      <c r="B1045" s="293">
        <v>43767</v>
      </c>
      <c r="C1045" s="397">
        <v>39831.839999999997</v>
      </c>
    </row>
    <row r="1046" spans="2:3" x14ac:dyDescent="0.25">
      <c r="B1046" s="293">
        <v>43768</v>
      </c>
      <c r="C1046" s="397">
        <v>40051.870000000003</v>
      </c>
    </row>
    <row r="1047" spans="2:3" x14ac:dyDescent="0.25">
      <c r="B1047" s="293">
        <v>43769</v>
      </c>
      <c r="C1047" s="397">
        <v>40129.050000000003</v>
      </c>
    </row>
    <row r="1048" spans="2:3" x14ac:dyDescent="0.25">
      <c r="B1048" s="293">
        <v>43770</v>
      </c>
      <c r="C1048" s="397">
        <v>40165.03</v>
      </c>
    </row>
    <row r="1049" spans="2:3" x14ac:dyDescent="0.25">
      <c r="B1049" s="293">
        <v>43773</v>
      </c>
      <c r="C1049" s="397">
        <v>40301.96</v>
      </c>
    </row>
    <row r="1050" spans="2:3" x14ac:dyDescent="0.25">
      <c r="B1050" s="293">
        <v>43774</v>
      </c>
      <c r="C1050" s="397">
        <v>40248.230000000003</v>
      </c>
    </row>
    <row r="1051" spans="2:3" x14ac:dyDescent="0.25">
      <c r="B1051" s="293">
        <v>43775</v>
      </c>
      <c r="C1051" s="397">
        <v>40469.78</v>
      </c>
    </row>
    <row r="1052" spans="2:3" x14ac:dyDescent="0.25">
      <c r="B1052" s="293">
        <v>43776</v>
      </c>
      <c r="C1052" s="397">
        <v>40653.74</v>
      </c>
    </row>
    <row r="1053" spans="2:3" x14ac:dyDescent="0.25">
      <c r="B1053" s="293">
        <v>43777</v>
      </c>
      <c r="C1053" s="397">
        <v>40323.61</v>
      </c>
    </row>
    <row r="1054" spans="2:3" x14ac:dyDescent="0.25">
      <c r="B1054" s="293">
        <v>43780</v>
      </c>
      <c r="C1054" s="397">
        <v>40345.08</v>
      </c>
    </row>
    <row r="1055" spans="2:3" x14ac:dyDescent="0.25">
      <c r="B1055" s="293">
        <v>43782</v>
      </c>
      <c r="C1055" s="397">
        <v>40116.06</v>
      </c>
    </row>
    <row r="1056" spans="2:3" x14ac:dyDescent="0.25">
      <c r="B1056" s="293">
        <v>43783</v>
      </c>
      <c r="C1056" s="397">
        <v>40286.480000000003</v>
      </c>
    </row>
    <row r="1057" spans="2:3" x14ac:dyDescent="0.25">
      <c r="B1057" s="293">
        <v>43784</v>
      </c>
      <c r="C1057" s="397">
        <v>40356.69</v>
      </c>
    </row>
    <row r="1058" spans="2:3" x14ac:dyDescent="0.25">
      <c r="B1058" s="293">
        <v>43787</v>
      </c>
      <c r="C1058" s="397">
        <v>40284.19</v>
      </c>
    </row>
    <row r="1059" spans="2:3" x14ac:dyDescent="0.25">
      <c r="B1059" s="293">
        <v>43788</v>
      </c>
      <c r="C1059" s="397">
        <v>40469.699999999997</v>
      </c>
    </row>
    <row r="1060" spans="2:3" x14ac:dyDescent="0.25">
      <c r="B1060" s="293">
        <v>43789</v>
      </c>
      <c r="C1060" s="397">
        <v>40651.64</v>
      </c>
    </row>
    <row r="1061" spans="2:3" x14ac:dyDescent="0.25">
      <c r="B1061" s="293">
        <v>43790</v>
      </c>
      <c r="C1061" s="397">
        <v>40575.17</v>
      </c>
    </row>
    <row r="1062" spans="2:3" x14ac:dyDescent="0.25">
      <c r="B1062" s="293">
        <v>43791</v>
      </c>
      <c r="C1062" s="397">
        <v>40359.410000000003</v>
      </c>
    </row>
    <row r="1063" spans="2:3" x14ac:dyDescent="0.25">
      <c r="B1063" s="293">
        <v>43794</v>
      </c>
      <c r="C1063" s="397">
        <v>40889.230000000003</v>
      </c>
    </row>
    <row r="1064" spans="2:3" x14ac:dyDescent="0.25">
      <c r="B1064" s="293">
        <v>43795</v>
      </c>
      <c r="C1064" s="397">
        <v>40821.300000000003</v>
      </c>
    </row>
    <row r="1065" spans="2:3" x14ac:dyDescent="0.25">
      <c r="B1065" s="293">
        <v>43796</v>
      </c>
      <c r="C1065" s="397">
        <v>41020.61</v>
      </c>
    </row>
    <row r="1066" spans="2:3" x14ac:dyDescent="0.25">
      <c r="B1066" s="293">
        <v>43797</v>
      </c>
      <c r="C1066" s="397">
        <v>41130.17</v>
      </c>
    </row>
    <row r="1067" spans="2:3" x14ac:dyDescent="0.25">
      <c r="B1067" s="293">
        <v>43798</v>
      </c>
      <c r="C1067" s="397">
        <v>40793.81</v>
      </c>
    </row>
    <row r="1068" spans="2:3" x14ac:dyDescent="0.25">
      <c r="B1068" s="293">
        <v>43801</v>
      </c>
      <c r="C1068" s="397">
        <v>40802.17</v>
      </c>
    </row>
    <row r="1069" spans="2:3" x14ac:dyDescent="0.25">
      <c r="B1069" s="293">
        <v>43802</v>
      </c>
      <c r="C1069" s="397">
        <v>40675.449999999997</v>
      </c>
    </row>
    <row r="1070" spans="2:3" x14ac:dyDescent="0.25">
      <c r="B1070" s="293">
        <v>43803</v>
      </c>
      <c r="C1070" s="397">
        <v>40850.29</v>
      </c>
    </row>
    <row r="1071" spans="2:3" x14ac:dyDescent="0.25">
      <c r="B1071" s="293">
        <v>43804</v>
      </c>
      <c r="C1071" s="397">
        <v>40779.589999999997</v>
      </c>
    </row>
    <row r="1072" spans="2:3" x14ac:dyDescent="0.25">
      <c r="B1072" s="293">
        <v>43805</v>
      </c>
      <c r="C1072" s="397">
        <v>40445.15</v>
      </c>
    </row>
    <row r="1073" spans="2:3" x14ac:dyDescent="0.25">
      <c r="B1073" s="293">
        <v>43808</v>
      </c>
      <c r="C1073" s="397">
        <v>40487.43</v>
      </c>
    </row>
    <row r="1074" spans="2:3" x14ac:dyDescent="0.25">
      <c r="B1074" s="293">
        <v>43809</v>
      </c>
      <c r="C1074" s="397">
        <v>40239.879999999997</v>
      </c>
    </row>
    <row r="1075" spans="2:3" x14ac:dyDescent="0.25">
      <c r="B1075" s="293">
        <v>43810</v>
      </c>
      <c r="C1075" s="397">
        <v>40412.57</v>
      </c>
    </row>
    <row r="1076" spans="2:3" x14ac:dyDescent="0.25">
      <c r="B1076" s="293">
        <v>43811</v>
      </c>
      <c r="C1076" s="397">
        <v>40581.71</v>
      </c>
    </row>
    <row r="1077" spans="2:3" x14ac:dyDescent="0.25">
      <c r="B1077" s="293">
        <v>43812</v>
      </c>
      <c r="C1077" s="397">
        <v>41009.71</v>
      </c>
    </row>
    <row r="1078" spans="2:3" x14ac:dyDescent="0.25">
      <c r="B1078" s="293">
        <v>43815</v>
      </c>
      <c r="C1078" s="397">
        <v>40938.720000000001</v>
      </c>
    </row>
    <row r="1079" spans="2:3" x14ac:dyDescent="0.25">
      <c r="B1079" s="293">
        <v>43816</v>
      </c>
      <c r="C1079" s="397">
        <v>41352.17</v>
      </c>
    </row>
    <row r="1080" spans="2:3" x14ac:dyDescent="0.25">
      <c r="B1080" s="293">
        <v>43817</v>
      </c>
      <c r="C1080" s="397">
        <v>41558.57</v>
      </c>
    </row>
    <row r="1081" spans="2:3" x14ac:dyDescent="0.25">
      <c r="B1081" s="293">
        <v>43818</v>
      </c>
      <c r="C1081" s="397">
        <v>41673.919999999998</v>
      </c>
    </row>
    <row r="1082" spans="2:3" x14ac:dyDescent="0.25">
      <c r="B1082" s="293">
        <v>43819</v>
      </c>
      <c r="C1082" s="397">
        <v>41681.54</v>
      </c>
    </row>
    <row r="1083" spans="2:3" x14ac:dyDescent="0.25">
      <c r="B1083" s="293">
        <v>43822</v>
      </c>
      <c r="C1083" s="397">
        <v>41642.660000000003</v>
      </c>
    </row>
    <row r="1084" spans="2:3" x14ac:dyDescent="0.25">
      <c r="B1084" s="293">
        <v>43823</v>
      </c>
      <c r="C1084" s="397">
        <v>41461.26</v>
      </c>
    </row>
    <row r="1085" spans="2:3" x14ac:dyDescent="0.25">
      <c r="B1085" s="293">
        <v>43825</v>
      </c>
      <c r="C1085" s="397">
        <v>41163.760000000002</v>
      </c>
    </row>
    <row r="1086" spans="2:3" x14ac:dyDescent="0.25">
      <c r="B1086" s="293">
        <v>43826</v>
      </c>
      <c r="C1086" s="397">
        <v>41575.14</v>
      </c>
    </row>
    <row r="1087" spans="2:3" x14ac:dyDescent="0.25">
      <c r="B1087" s="293">
        <v>43829</v>
      </c>
      <c r="C1087" s="397">
        <v>41558</v>
      </c>
    </row>
    <row r="1088" spans="2:3" x14ac:dyDescent="0.25">
      <c r="B1088" s="293">
        <v>43830</v>
      </c>
      <c r="C1088" s="397">
        <v>41253.74</v>
      </c>
    </row>
    <row r="1089" spans="2:3" x14ac:dyDescent="0.25">
      <c r="B1089" s="293">
        <v>43831</v>
      </c>
      <c r="C1089" s="397">
        <v>41306.019999999997</v>
      </c>
    </row>
    <row r="1090" spans="2:3" x14ac:dyDescent="0.25">
      <c r="B1090" s="293">
        <v>43832</v>
      </c>
      <c r="C1090" s="397">
        <v>41626.639999999999</v>
      </c>
    </row>
    <row r="1091" spans="2:3" x14ac:dyDescent="0.25">
      <c r="B1091" s="293">
        <v>43833</v>
      </c>
      <c r="C1091" s="397">
        <v>41464.61</v>
      </c>
    </row>
    <row r="1092" spans="2:3" x14ac:dyDescent="0.25">
      <c r="B1092" s="293">
        <v>43836</v>
      </c>
      <c r="C1092" s="397">
        <v>40676.629999999997</v>
      </c>
    </row>
    <row r="1093" spans="2:3" x14ac:dyDescent="0.25">
      <c r="B1093" s="293">
        <v>43837</v>
      </c>
      <c r="C1093" s="397">
        <v>40869.47</v>
      </c>
    </row>
    <row r="1094" spans="2:3" x14ac:dyDescent="0.25">
      <c r="B1094" s="293">
        <v>43838</v>
      </c>
      <c r="C1094" s="397">
        <v>40817.74</v>
      </c>
    </row>
    <row r="1095" spans="2:3" x14ac:dyDescent="0.25">
      <c r="B1095" s="293">
        <v>43839</v>
      </c>
      <c r="C1095" s="397">
        <v>41452.35</v>
      </c>
    </row>
    <row r="1096" spans="2:3" x14ac:dyDescent="0.25">
      <c r="B1096" s="293">
        <v>43840</v>
      </c>
      <c r="C1096" s="397">
        <v>41599.72</v>
      </c>
    </row>
    <row r="1097" spans="2:3" x14ac:dyDescent="0.25">
      <c r="B1097" s="293">
        <v>43843</v>
      </c>
      <c r="C1097" s="397">
        <v>41859.69</v>
      </c>
    </row>
    <row r="1098" spans="2:3" x14ac:dyDescent="0.25">
      <c r="B1098" s="293">
        <v>43844</v>
      </c>
      <c r="C1098" s="397">
        <v>41952.63</v>
      </c>
    </row>
    <row r="1099" spans="2:3" x14ac:dyDescent="0.25">
      <c r="B1099" s="293">
        <v>43845</v>
      </c>
      <c r="C1099" s="397">
        <v>41872.730000000003</v>
      </c>
    </row>
    <row r="1100" spans="2:3" x14ac:dyDescent="0.25">
      <c r="B1100" s="293">
        <v>43846</v>
      </c>
      <c r="C1100" s="397">
        <v>41932.559999999998</v>
      </c>
    </row>
    <row r="1101" spans="2:3" x14ac:dyDescent="0.25">
      <c r="B1101" s="293">
        <v>43847</v>
      </c>
      <c r="C1101" s="397">
        <v>41945.37</v>
      </c>
    </row>
    <row r="1102" spans="2:3" x14ac:dyDescent="0.25">
      <c r="B1102" s="293">
        <v>43850</v>
      </c>
      <c r="C1102" s="397">
        <v>41528.910000000003</v>
      </c>
    </row>
    <row r="1103" spans="2:3" x14ac:dyDescent="0.25">
      <c r="B1103" s="293">
        <v>43851</v>
      </c>
      <c r="C1103" s="397">
        <v>41323.81</v>
      </c>
    </row>
    <row r="1104" spans="2:3" x14ac:dyDescent="0.25">
      <c r="B1104" s="293">
        <v>43852</v>
      </c>
      <c r="C1104" s="397">
        <v>41115.379999999997</v>
      </c>
    </row>
    <row r="1105" spans="2:3" x14ac:dyDescent="0.25">
      <c r="B1105" s="293">
        <v>43853</v>
      </c>
      <c r="C1105" s="397">
        <v>41386.400000000001</v>
      </c>
    </row>
    <row r="1106" spans="2:3" x14ac:dyDescent="0.25">
      <c r="B1106" s="293">
        <v>43854</v>
      </c>
      <c r="C1106" s="397">
        <v>41613.19</v>
      </c>
    </row>
    <row r="1107" spans="2:3" x14ac:dyDescent="0.25">
      <c r="B1107" s="293">
        <v>43857</v>
      </c>
      <c r="C1107" s="397">
        <v>41155.120000000003</v>
      </c>
    </row>
    <row r="1108" spans="2:3" x14ac:dyDescent="0.25">
      <c r="B1108" s="293">
        <v>43858</v>
      </c>
      <c r="C1108" s="397">
        <v>40966.86</v>
      </c>
    </row>
    <row r="1109" spans="2:3" x14ac:dyDescent="0.25">
      <c r="B1109" s="293">
        <v>43859</v>
      </c>
      <c r="C1109" s="397">
        <v>41198.660000000003</v>
      </c>
    </row>
    <row r="1110" spans="2:3" x14ac:dyDescent="0.25">
      <c r="B1110" s="293">
        <v>43860</v>
      </c>
      <c r="C1110" s="397">
        <v>40913.82</v>
      </c>
    </row>
    <row r="1111" spans="2:3" x14ac:dyDescent="0.25">
      <c r="B1111" s="293">
        <v>43861</v>
      </c>
      <c r="C1111" s="397">
        <v>40723.49</v>
      </c>
    </row>
    <row r="1112" spans="2:3" x14ac:dyDescent="0.25">
      <c r="B1112" s="293">
        <v>43862</v>
      </c>
      <c r="C1112" s="397">
        <v>39735.53</v>
      </c>
    </row>
    <row r="1113" spans="2:3" x14ac:dyDescent="0.25">
      <c r="B1113" s="293">
        <v>43864</v>
      </c>
      <c r="C1113" s="397">
        <v>39872.31</v>
      </c>
    </row>
    <row r="1114" spans="2:3" x14ac:dyDescent="0.25">
      <c r="B1114" s="293">
        <v>43865</v>
      </c>
      <c r="C1114" s="397">
        <v>40789.379999999997</v>
      </c>
    </row>
    <row r="1115" spans="2:3" x14ac:dyDescent="0.25">
      <c r="B1115" s="293">
        <v>43866</v>
      </c>
      <c r="C1115" s="397">
        <v>41142.660000000003</v>
      </c>
    </row>
    <row r="1116" spans="2:3" x14ac:dyDescent="0.25">
      <c r="B1116" s="293">
        <v>43867</v>
      </c>
      <c r="C1116" s="397">
        <v>41306.03</v>
      </c>
    </row>
    <row r="1117" spans="2:3" x14ac:dyDescent="0.25">
      <c r="B1117" s="293">
        <v>43868</v>
      </c>
      <c r="C1117" s="397">
        <v>41141.85</v>
      </c>
    </row>
    <row r="1118" spans="2:3" x14ac:dyDescent="0.25">
      <c r="B1118" s="293">
        <v>43871</v>
      </c>
      <c r="C1118" s="397">
        <v>40979.620000000003</v>
      </c>
    </row>
    <row r="1119" spans="2:3" x14ac:dyDescent="0.25">
      <c r="B1119" s="293">
        <v>43872</v>
      </c>
      <c r="C1119" s="397">
        <v>41216.14</v>
      </c>
    </row>
    <row r="1120" spans="2:3" x14ac:dyDescent="0.25">
      <c r="B1120" s="293">
        <v>43873</v>
      </c>
      <c r="C1120" s="397">
        <v>41565.9</v>
      </c>
    </row>
    <row r="1121" spans="2:3" x14ac:dyDescent="0.25">
      <c r="B1121" s="293">
        <v>43874</v>
      </c>
      <c r="C1121" s="397">
        <v>41459.79</v>
      </c>
    </row>
    <row r="1122" spans="2:3" x14ac:dyDescent="0.25">
      <c r="B1122" s="293">
        <v>43875</v>
      </c>
      <c r="C1122" s="397">
        <v>41257.74</v>
      </c>
    </row>
    <row r="1123" spans="2:3" x14ac:dyDescent="0.25">
      <c r="B1123" s="293">
        <v>43878</v>
      </c>
      <c r="C1123" s="397">
        <v>41055.69</v>
      </c>
    </row>
    <row r="1124" spans="2:3" x14ac:dyDescent="0.25">
      <c r="B1124" s="293">
        <v>43879</v>
      </c>
      <c r="C1124" s="397">
        <v>40894.379999999997</v>
      </c>
    </row>
    <row r="1125" spans="2:3" x14ac:dyDescent="0.25">
      <c r="B1125" s="293">
        <v>43880</v>
      </c>
      <c r="C1125" s="397">
        <v>41323</v>
      </c>
    </row>
    <row r="1126" spans="2:3" x14ac:dyDescent="0.25">
      <c r="B1126" s="293">
        <v>43881</v>
      </c>
      <c r="C1126" s="397">
        <v>41170.120000000003</v>
      </c>
    </row>
    <row r="1127" spans="2:3" x14ac:dyDescent="0.25">
      <c r="B1127" s="293">
        <v>43885</v>
      </c>
      <c r="C1127" s="397">
        <v>40363.230000000003</v>
      </c>
    </row>
    <row r="1128" spans="2:3" x14ac:dyDescent="0.25">
      <c r="B1128" s="293">
        <v>43886</v>
      </c>
      <c r="C1128" s="397">
        <v>40281.199999999997</v>
      </c>
    </row>
    <row r="1129" spans="2:3" x14ac:dyDescent="0.25">
      <c r="B1129" s="293">
        <v>43887</v>
      </c>
      <c r="C1129" s="397">
        <v>39888.959999999999</v>
      </c>
    </row>
    <row r="1130" spans="2:3" x14ac:dyDescent="0.25">
      <c r="B1130" s="293">
        <v>43888</v>
      </c>
      <c r="C1130" s="397">
        <v>39745.660000000003</v>
      </c>
    </row>
    <row r="1131" spans="2:3" x14ac:dyDescent="0.25">
      <c r="B1131" s="293">
        <v>43889</v>
      </c>
      <c r="C1131" s="397">
        <v>38297.29</v>
      </c>
    </row>
    <row r="1132" spans="2:3" x14ac:dyDescent="0.25">
      <c r="B1132" s="293">
        <v>43892</v>
      </c>
      <c r="C1132" s="397">
        <v>38144.019999999997</v>
      </c>
    </row>
    <row r="1133" spans="2:3" x14ac:dyDescent="0.25">
      <c r="B1133" s="293">
        <v>43893</v>
      </c>
      <c r="C1133" s="397">
        <v>38623.699999999997</v>
      </c>
    </row>
    <row r="1134" spans="2:3" x14ac:dyDescent="0.25">
      <c r="B1134" s="293">
        <v>43894</v>
      </c>
      <c r="C1134" s="397">
        <v>38409.480000000003</v>
      </c>
    </row>
    <row r="1135" spans="2:3" x14ac:dyDescent="0.25">
      <c r="B1135" s="293">
        <v>43895</v>
      </c>
      <c r="C1135" s="397">
        <v>38470.61</v>
      </c>
    </row>
    <row r="1136" spans="2:3" x14ac:dyDescent="0.25">
      <c r="B1136" s="293">
        <v>43896</v>
      </c>
      <c r="C1136" s="397">
        <v>37576.620000000003</v>
      </c>
    </row>
    <row r="1137" spans="2:3" x14ac:dyDescent="0.25">
      <c r="B1137" s="293">
        <v>43899</v>
      </c>
      <c r="C1137" s="397">
        <v>35634.949999999997</v>
      </c>
    </row>
    <row r="1138" spans="2:3" x14ac:dyDescent="0.25">
      <c r="B1138" s="293">
        <v>43901</v>
      </c>
      <c r="C1138" s="397">
        <v>35697.4</v>
      </c>
    </row>
    <row r="1139" spans="2:3" x14ac:dyDescent="0.25">
      <c r="B1139" s="293">
        <v>43902</v>
      </c>
      <c r="C1139" s="397">
        <v>32778.14</v>
      </c>
    </row>
    <row r="1140" spans="2:3" x14ac:dyDescent="0.25">
      <c r="B1140" s="293">
        <v>43903</v>
      </c>
      <c r="C1140" s="397">
        <v>34103.480000000003</v>
      </c>
    </row>
    <row r="1141" spans="2:3" x14ac:dyDescent="0.25">
      <c r="B1141" s="293">
        <v>43906</v>
      </c>
      <c r="C1141" s="397">
        <v>31390.07</v>
      </c>
    </row>
    <row r="1142" spans="2:3" x14ac:dyDescent="0.25">
      <c r="B1142" s="293">
        <v>43907</v>
      </c>
      <c r="C1142" s="397">
        <v>30579.09</v>
      </c>
    </row>
    <row r="1143" spans="2:3" x14ac:dyDescent="0.25">
      <c r="B1143" s="293">
        <v>43908</v>
      </c>
      <c r="C1143" s="397">
        <v>28869.51</v>
      </c>
    </row>
    <row r="1144" spans="2:3" x14ac:dyDescent="0.25">
      <c r="B1144" s="293">
        <v>43909</v>
      </c>
      <c r="C1144" s="397">
        <v>28288.23</v>
      </c>
    </row>
    <row r="1145" spans="2:3" x14ac:dyDescent="0.25">
      <c r="B1145" s="293">
        <v>43910</v>
      </c>
      <c r="C1145" s="397">
        <v>29915.96</v>
      </c>
    </row>
    <row r="1146" spans="2:3" x14ac:dyDescent="0.25">
      <c r="B1146" s="293">
        <v>43913</v>
      </c>
      <c r="C1146" s="397">
        <v>25981.24</v>
      </c>
    </row>
    <row r="1147" spans="2:3" x14ac:dyDescent="0.25">
      <c r="B1147" s="293">
        <v>43914</v>
      </c>
      <c r="C1147" s="397">
        <v>26674.03</v>
      </c>
    </row>
    <row r="1148" spans="2:3" x14ac:dyDescent="0.25">
      <c r="B1148" s="293">
        <v>43915</v>
      </c>
      <c r="C1148" s="397">
        <v>28535.78</v>
      </c>
    </row>
    <row r="1149" spans="2:3" x14ac:dyDescent="0.25">
      <c r="B1149" s="293">
        <v>43916</v>
      </c>
      <c r="C1149" s="397">
        <v>29946.77</v>
      </c>
    </row>
    <row r="1150" spans="2:3" x14ac:dyDescent="0.25">
      <c r="B1150" s="293">
        <v>43917</v>
      </c>
      <c r="C1150" s="397">
        <v>29815.59</v>
      </c>
    </row>
    <row r="1151" spans="2:3" x14ac:dyDescent="0.25">
      <c r="B1151" s="293">
        <v>43920</v>
      </c>
      <c r="C1151" s="397">
        <v>28440.32</v>
      </c>
    </row>
    <row r="1152" spans="2:3" x14ac:dyDescent="0.25">
      <c r="B1152" s="293">
        <v>43921</v>
      </c>
      <c r="C1152" s="397">
        <v>29468.49</v>
      </c>
    </row>
    <row r="1153" spans="2:3" x14ac:dyDescent="0.25">
      <c r="B1153" s="293">
        <v>43922</v>
      </c>
      <c r="C1153" s="397">
        <v>28265.31</v>
      </c>
    </row>
    <row r="1154" spans="2:3" x14ac:dyDescent="0.25">
      <c r="B1154" s="293">
        <v>43924</v>
      </c>
      <c r="C1154" s="397">
        <v>27590.95</v>
      </c>
    </row>
    <row r="1155" spans="2:3" x14ac:dyDescent="0.25">
      <c r="B1155" s="293">
        <v>43928</v>
      </c>
      <c r="C1155" s="397">
        <v>30067.21</v>
      </c>
    </row>
    <row r="1156" spans="2:3" x14ac:dyDescent="0.25">
      <c r="B1156" s="293">
        <v>43929</v>
      </c>
      <c r="C1156" s="397">
        <v>29893.96</v>
      </c>
    </row>
    <row r="1157" spans="2:3" x14ac:dyDescent="0.25">
      <c r="B1157" s="293">
        <v>43930</v>
      </c>
      <c r="C1157" s="397">
        <v>31159.62</v>
      </c>
    </row>
    <row r="1158" spans="2:3" x14ac:dyDescent="0.25">
      <c r="B1158" s="293">
        <v>43934</v>
      </c>
      <c r="C1158" s="397">
        <v>30690.02</v>
      </c>
    </row>
    <row r="1159" spans="2:3" x14ac:dyDescent="0.25">
      <c r="B1159" s="293">
        <v>43936</v>
      </c>
      <c r="C1159" s="397">
        <v>30379.81</v>
      </c>
    </row>
    <row r="1160" spans="2:3" x14ac:dyDescent="0.25">
      <c r="B1160" s="293">
        <v>43937</v>
      </c>
      <c r="C1160" s="397">
        <v>30602.61</v>
      </c>
    </row>
    <row r="1161" spans="2:3" x14ac:dyDescent="0.25">
      <c r="B1161" s="293">
        <v>43938</v>
      </c>
      <c r="C1161" s="397">
        <v>31588.720000000001</v>
      </c>
    </row>
    <row r="1162" spans="2:3" x14ac:dyDescent="0.25">
      <c r="B1162" s="293">
        <v>43941</v>
      </c>
      <c r="C1162" s="397">
        <v>31648</v>
      </c>
    </row>
    <row r="1163" spans="2:3" x14ac:dyDescent="0.25">
      <c r="B1163" s="293">
        <v>43942</v>
      </c>
      <c r="C1163" s="397">
        <v>30636.71</v>
      </c>
    </row>
    <row r="1164" spans="2:3" x14ac:dyDescent="0.25">
      <c r="B1164" s="293">
        <v>43943</v>
      </c>
      <c r="C1164" s="397">
        <v>31379.55</v>
      </c>
    </row>
    <row r="1165" spans="2:3" x14ac:dyDescent="0.25">
      <c r="B1165" s="293">
        <v>43944</v>
      </c>
      <c r="C1165" s="397">
        <v>31863.08</v>
      </c>
    </row>
    <row r="1166" spans="2:3" x14ac:dyDescent="0.25">
      <c r="B1166" s="293">
        <v>43945</v>
      </c>
      <c r="C1166" s="397">
        <v>31327.22</v>
      </c>
    </row>
    <row r="1167" spans="2:3" x14ac:dyDescent="0.25">
      <c r="B1167" s="293">
        <v>43948</v>
      </c>
      <c r="C1167" s="397">
        <v>31743.08</v>
      </c>
    </row>
    <row r="1168" spans="2:3" x14ac:dyDescent="0.25">
      <c r="B1168" s="293">
        <v>43949</v>
      </c>
      <c r="C1168" s="397">
        <v>32114.52</v>
      </c>
    </row>
    <row r="1169" spans="2:3" x14ac:dyDescent="0.25">
      <c r="B1169" s="293">
        <v>43950</v>
      </c>
      <c r="C1169" s="397">
        <v>32720.16</v>
      </c>
    </row>
    <row r="1170" spans="2:3" x14ac:dyDescent="0.25">
      <c r="B1170" s="293">
        <v>43951</v>
      </c>
      <c r="C1170" s="397">
        <v>33717.620000000003</v>
      </c>
    </row>
    <row r="1171" spans="2:3" x14ac:dyDescent="0.25">
      <c r="B1171" s="293">
        <v>43955</v>
      </c>
      <c r="C1171" s="397">
        <v>31715.35</v>
      </c>
    </row>
    <row r="1172" spans="2:3" x14ac:dyDescent="0.25">
      <c r="B1172" s="293">
        <v>43956</v>
      </c>
      <c r="C1172" s="397">
        <v>31453.51</v>
      </c>
    </row>
    <row r="1173" spans="2:3" x14ac:dyDescent="0.25">
      <c r="B1173" s="293">
        <v>43957</v>
      </c>
      <c r="C1173" s="397">
        <v>31685.75</v>
      </c>
    </row>
    <row r="1174" spans="2:3" x14ac:dyDescent="0.25">
      <c r="B1174" s="293">
        <v>43958</v>
      </c>
      <c r="C1174" s="397">
        <v>31443.38</v>
      </c>
    </row>
    <row r="1175" spans="2:3" x14ac:dyDescent="0.25">
      <c r="B1175" s="293">
        <v>43959</v>
      </c>
      <c r="C1175" s="397">
        <v>31642.7</v>
      </c>
    </row>
    <row r="1176" spans="2:3" x14ac:dyDescent="0.25">
      <c r="B1176" s="293">
        <v>43962</v>
      </c>
      <c r="C1176" s="397">
        <v>31561.22</v>
      </c>
    </row>
    <row r="1177" spans="2:3" x14ac:dyDescent="0.25">
      <c r="B1177" s="293">
        <v>43963</v>
      </c>
      <c r="C1177" s="397">
        <v>31371.119999999999</v>
      </c>
    </row>
    <row r="1178" spans="2:3" x14ac:dyDescent="0.25">
      <c r="B1178" s="293">
        <v>43964</v>
      </c>
      <c r="C1178" s="397">
        <v>32008.61</v>
      </c>
    </row>
    <row r="1179" spans="2:3" x14ac:dyDescent="0.25">
      <c r="B1179" s="293">
        <v>43965</v>
      </c>
      <c r="C1179" s="397">
        <v>31122.89</v>
      </c>
    </row>
    <row r="1180" spans="2:3" x14ac:dyDescent="0.25">
      <c r="B1180" s="293">
        <v>43966</v>
      </c>
      <c r="C1180" s="397">
        <v>31097.73</v>
      </c>
    </row>
    <row r="1181" spans="2:3" x14ac:dyDescent="0.25">
      <c r="B1181" s="293">
        <v>43969</v>
      </c>
      <c r="C1181" s="397">
        <v>30028.98</v>
      </c>
    </row>
    <row r="1182" spans="2:3" x14ac:dyDescent="0.25">
      <c r="B1182" s="293">
        <v>43970</v>
      </c>
      <c r="C1182" s="397">
        <v>30196.17</v>
      </c>
    </row>
    <row r="1183" spans="2:3" x14ac:dyDescent="0.25">
      <c r="B1183" s="293">
        <v>43971</v>
      </c>
      <c r="C1183" s="397">
        <v>30818.61</v>
      </c>
    </row>
    <row r="1184" spans="2:3" x14ac:dyDescent="0.25">
      <c r="B1184" s="293">
        <v>43972</v>
      </c>
      <c r="C1184" s="397">
        <v>30932.9</v>
      </c>
    </row>
    <row r="1185" spans="2:3" x14ac:dyDescent="0.25">
      <c r="B1185" s="293">
        <v>43973</v>
      </c>
      <c r="C1185" s="397">
        <v>30672.59</v>
      </c>
    </row>
    <row r="1186" spans="2:3" x14ac:dyDescent="0.25">
      <c r="B1186" s="293">
        <v>43977</v>
      </c>
      <c r="C1186" s="397">
        <v>30609.3</v>
      </c>
    </row>
    <row r="1187" spans="2:3" x14ac:dyDescent="0.25">
      <c r="B1187" s="293">
        <v>43978</v>
      </c>
      <c r="C1187" s="397">
        <v>31605.22</v>
      </c>
    </row>
    <row r="1188" spans="2:3" x14ac:dyDescent="0.25">
      <c r="B1188" s="293">
        <v>43979</v>
      </c>
      <c r="C1188" s="397">
        <v>32200.59</v>
      </c>
    </row>
    <row r="1189" spans="2:3" x14ac:dyDescent="0.25">
      <c r="B1189" s="293">
        <v>43980</v>
      </c>
      <c r="C1189" s="397">
        <v>32424.1</v>
      </c>
    </row>
    <row r="1190" spans="2:3" x14ac:dyDescent="0.25">
      <c r="B1190" s="293">
        <v>43983</v>
      </c>
      <c r="C1190" s="397">
        <v>33303.519999999997</v>
      </c>
    </row>
    <row r="1191" spans="2:3" x14ac:dyDescent="0.25">
      <c r="B1191" s="293">
        <v>43984</v>
      </c>
      <c r="C1191" s="397">
        <v>33825.53</v>
      </c>
    </row>
    <row r="1192" spans="2:3" x14ac:dyDescent="0.25">
      <c r="B1192" s="293">
        <v>43985</v>
      </c>
      <c r="C1192" s="397">
        <v>34109.54</v>
      </c>
    </row>
    <row r="1193" spans="2:3" x14ac:dyDescent="0.25">
      <c r="B1193" s="293">
        <v>43986</v>
      </c>
      <c r="C1193" s="397">
        <v>33980.699999999997</v>
      </c>
    </row>
    <row r="1194" spans="2:3" x14ac:dyDescent="0.25">
      <c r="B1194" s="293">
        <v>43987</v>
      </c>
      <c r="C1194" s="397">
        <v>34287.24</v>
      </c>
    </row>
    <row r="1195" spans="2:3" x14ac:dyDescent="0.25">
      <c r="B1195" s="293">
        <v>43990</v>
      </c>
      <c r="C1195" s="397">
        <v>34370.58</v>
      </c>
    </row>
    <row r="1196" spans="2:3" x14ac:dyDescent="0.25">
      <c r="B1196" s="293">
        <v>43991</v>
      </c>
      <c r="C1196" s="397">
        <v>33956.69</v>
      </c>
    </row>
    <row r="1197" spans="2:3" x14ac:dyDescent="0.25">
      <c r="B1197" s="293">
        <v>43992</v>
      </c>
      <c r="C1197" s="397">
        <v>34247.050000000003</v>
      </c>
    </row>
    <row r="1198" spans="2:3" x14ac:dyDescent="0.25">
      <c r="B1198" s="293">
        <v>43993</v>
      </c>
      <c r="C1198" s="397">
        <v>33538.370000000003</v>
      </c>
    </row>
    <row r="1199" spans="2:3" x14ac:dyDescent="0.25">
      <c r="B1199" s="293">
        <v>43994</v>
      </c>
      <c r="C1199" s="397">
        <v>33780.89</v>
      </c>
    </row>
    <row r="1200" spans="2:3" x14ac:dyDescent="0.25">
      <c r="B1200" s="293">
        <v>43997</v>
      </c>
      <c r="C1200" s="397">
        <v>33228.800000000003</v>
      </c>
    </row>
    <row r="1201" spans="2:3" x14ac:dyDescent="0.25">
      <c r="B1201" s="293">
        <v>43998</v>
      </c>
      <c r="C1201" s="397">
        <v>33605.22</v>
      </c>
    </row>
    <row r="1202" spans="2:3" x14ac:dyDescent="0.25">
      <c r="B1202" s="293">
        <v>43999</v>
      </c>
      <c r="C1202" s="397">
        <v>33507.919999999998</v>
      </c>
    </row>
    <row r="1203" spans="2:3" x14ac:dyDescent="0.25">
      <c r="B1203" s="293">
        <v>44000</v>
      </c>
      <c r="C1203" s="397">
        <v>34208.050000000003</v>
      </c>
    </row>
    <row r="1204" spans="2:3" x14ac:dyDescent="0.25">
      <c r="B1204" s="293">
        <v>44001</v>
      </c>
      <c r="C1204" s="397">
        <v>34731.730000000003</v>
      </c>
    </row>
    <row r="1205" spans="2:3" x14ac:dyDescent="0.25">
      <c r="B1205" s="293">
        <v>44004</v>
      </c>
      <c r="C1205" s="397">
        <v>34911.32</v>
      </c>
    </row>
    <row r="1206" spans="2:3" x14ac:dyDescent="0.25">
      <c r="B1206" s="293">
        <v>44005</v>
      </c>
      <c r="C1206" s="397">
        <v>35430.43</v>
      </c>
    </row>
    <row r="1207" spans="2:3" x14ac:dyDescent="0.25">
      <c r="B1207" s="293">
        <v>44006</v>
      </c>
      <c r="C1207" s="397">
        <v>34868.980000000003</v>
      </c>
    </row>
    <row r="1208" spans="2:3" x14ac:dyDescent="0.25">
      <c r="B1208" s="293">
        <v>44007</v>
      </c>
      <c r="C1208" s="397">
        <v>34842.1</v>
      </c>
    </row>
    <row r="1209" spans="2:3" x14ac:dyDescent="0.25">
      <c r="B1209" s="293">
        <v>44008</v>
      </c>
      <c r="C1209" s="397">
        <v>35171.269999999997</v>
      </c>
    </row>
    <row r="1210" spans="2:3" x14ac:dyDescent="0.25">
      <c r="B1210" s="293">
        <v>44011</v>
      </c>
      <c r="C1210" s="397">
        <v>34961.519999999997</v>
      </c>
    </row>
    <row r="1211" spans="2:3" x14ac:dyDescent="0.25">
      <c r="B1211" s="293">
        <v>44012</v>
      </c>
      <c r="C1211" s="397">
        <v>34915.800000000003</v>
      </c>
    </row>
    <row r="1212" spans="2:3" x14ac:dyDescent="0.25">
      <c r="B1212" s="293">
        <v>44013</v>
      </c>
      <c r="C1212" s="397">
        <v>35414.449999999997</v>
      </c>
    </row>
    <row r="1213" spans="2:3" x14ac:dyDescent="0.25">
      <c r="B1213" s="293">
        <v>44014</v>
      </c>
      <c r="C1213" s="397">
        <v>35843.699999999997</v>
      </c>
    </row>
    <row r="1214" spans="2:3" x14ac:dyDescent="0.25">
      <c r="B1214" s="293">
        <v>44015</v>
      </c>
      <c r="C1214" s="397">
        <v>36021.42</v>
      </c>
    </row>
    <row r="1215" spans="2:3" x14ac:dyDescent="0.25">
      <c r="B1215" s="293">
        <v>44018</v>
      </c>
      <c r="C1215" s="397">
        <v>36487.279999999999</v>
      </c>
    </row>
    <row r="1216" spans="2:3" x14ac:dyDescent="0.25">
      <c r="B1216" s="293">
        <v>44019</v>
      </c>
      <c r="C1216" s="397">
        <v>36674.519999999997</v>
      </c>
    </row>
    <row r="1217" spans="2:3" x14ac:dyDescent="0.25">
      <c r="B1217" s="293">
        <v>44020</v>
      </c>
      <c r="C1217" s="397">
        <v>36329.01</v>
      </c>
    </row>
    <row r="1218" spans="2:3" x14ac:dyDescent="0.25">
      <c r="B1218" s="293">
        <v>44021</v>
      </c>
      <c r="C1218" s="397">
        <v>36737.69</v>
      </c>
    </row>
    <row r="1219" spans="2:3" x14ac:dyDescent="0.25">
      <c r="B1219" s="293">
        <v>44022</v>
      </c>
      <c r="C1219" s="397">
        <v>36594.33</v>
      </c>
    </row>
    <row r="1220" spans="2:3" x14ac:dyDescent="0.25">
      <c r="B1220" s="293">
        <v>44025</v>
      </c>
      <c r="C1220" s="397">
        <v>36693.69</v>
      </c>
    </row>
    <row r="1221" spans="2:3" x14ac:dyDescent="0.25">
      <c r="B1221" s="293">
        <v>44026</v>
      </c>
      <c r="C1221" s="397">
        <v>36033.06</v>
      </c>
    </row>
    <row r="1222" spans="2:3" x14ac:dyDescent="0.25">
      <c r="B1222" s="293">
        <v>44027</v>
      </c>
      <c r="C1222" s="397">
        <v>36051.81</v>
      </c>
    </row>
    <row r="1223" spans="2:3" x14ac:dyDescent="0.25">
      <c r="B1223" s="293">
        <v>44028</v>
      </c>
      <c r="C1223" s="397">
        <v>36471.68</v>
      </c>
    </row>
    <row r="1224" spans="2:3" x14ac:dyDescent="0.25">
      <c r="B1224" s="293">
        <v>44029</v>
      </c>
      <c r="C1224" s="397">
        <v>37020.14</v>
      </c>
    </row>
    <row r="1225" spans="2:3" x14ac:dyDescent="0.25">
      <c r="B1225" s="293">
        <v>44032</v>
      </c>
      <c r="C1225" s="397">
        <v>37418.99</v>
      </c>
    </row>
    <row r="1226" spans="2:3" x14ac:dyDescent="0.25">
      <c r="B1226" s="293">
        <v>44033</v>
      </c>
      <c r="C1226" s="397">
        <v>37930.33</v>
      </c>
    </row>
    <row r="1227" spans="2:3" x14ac:dyDescent="0.25">
      <c r="B1227" s="293">
        <v>44034</v>
      </c>
      <c r="C1227" s="397">
        <v>37871.519999999997</v>
      </c>
    </row>
    <row r="1228" spans="2:3" x14ac:dyDescent="0.25">
      <c r="B1228" s="293">
        <v>44035</v>
      </c>
      <c r="C1228" s="397">
        <v>38140.47</v>
      </c>
    </row>
    <row r="1229" spans="2:3" x14ac:dyDescent="0.25">
      <c r="B1229" s="293">
        <v>44036</v>
      </c>
      <c r="C1229" s="397">
        <v>38128.9</v>
      </c>
    </row>
    <row r="1230" spans="2:3" x14ac:dyDescent="0.25">
      <c r="B1230" s="293">
        <v>44039</v>
      </c>
      <c r="C1230" s="397">
        <v>37934.730000000003</v>
      </c>
    </row>
    <row r="1231" spans="2:3" x14ac:dyDescent="0.25">
      <c r="B1231" s="293">
        <v>44040</v>
      </c>
      <c r="C1231" s="397">
        <v>38492.949999999997</v>
      </c>
    </row>
    <row r="1232" spans="2:3" x14ac:dyDescent="0.25">
      <c r="B1232" s="293">
        <v>44041</v>
      </c>
      <c r="C1232" s="397">
        <v>38071.129999999997</v>
      </c>
    </row>
    <row r="1233" spans="2:3" x14ac:dyDescent="0.25">
      <c r="B1233" s="293">
        <v>44042</v>
      </c>
      <c r="C1233" s="397">
        <v>37736.07</v>
      </c>
    </row>
    <row r="1234" spans="2:3" x14ac:dyDescent="0.25">
      <c r="B1234" s="293">
        <v>44043</v>
      </c>
      <c r="C1234" s="397">
        <v>37606.89</v>
      </c>
    </row>
    <row r="1235" spans="2:3" x14ac:dyDescent="0.25">
      <c r="B1235" s="293">
        <v>44046</v>
      </c>
      <c r="C1235" s="397">
        <v>36939.599999999999</v>
      </c>
    </row>
    <row r="1236" spans="2:3" x14ac:dyDescent="0.25">
      <c r="B1236" s="293">
        <v>44047</v>
      </c>
      <c r="C1236" s="397">
        <v>37687.910000000003</v>
      </c>
    </row>
    <row r="1237" spans="2:3" x14ac:dyDescent="0.25">
      <c r="B1237" s="293">
        <v>44048</v>
      </c>
      <c r="C1237" s="397">
        <v>37663.33</v>
      </c>
    </row>
    <row r="1238" spans="2:3" x14ac:dyDescent="0.25">
      <c r="B1238" s="293">
        <v>44049</v>
      </c>
      <c r="C1238" s="397">
        <v>38025.449999999997</v>
      </c>
    </row>
    <row r="1239" spans="2:3" x14ac:dyDescent="0.25">
      <c r="B1239" s="293">
        <v>44050</v>
      </c>
      <c r="C1239" s="397">
        <v>38040.57</v>
      </c>
    </row>
    <row r="1240" spans="2:3" x14ac:dyDescent="0.25">
      <c r="B1240" s="293">
        <v>44053</v>
      </c>
      <c r="C1240" s="397">
        <v>38182.080000000002</v>
      </c>
    </row>
    <row r="1241" spans="2:3" x14ac:dyDescent="0.25">
      <c r="B1241" s="293">
        <v>44054</v>
      </c>
      <c r="C1241" s="397">
        <v>38407.01</v>
      </c>
    </row>
    <row r="1242" spans="2:3" x14ac:dyDescent="0.25">
      <c r="B1242" s="293">
        <v>44055</v>
      </c>
      <c r="C1242" s="397">
        <v>38369.629999999997</v>
      </c>
    </row>
    <row r="1243" spans="2:3" x14ac:dyDescent="0.25">
      <c r="B1243" s="293">
        <v>44056</v>
      </c>
      <c r="C1243" s="397">
        <v>38310.49</v>
      </c>
    </row>
    <row r="1244" spans="2:3" x14ac:dyDescent="0.25">
      <c r="B1244" s="293">
        <v>44057</v>
      </c>
      <c r="C1244" s="397">
        <v>37877.339999999997</v>
      </c>
    </row>
    <row r="1245" spans="2:3" x14ac:dyDescent="0.25">
      <c r="B1245" s="293">
        <v>44060</v>
      </c>
      <c r="C1245" s="397">
        <v>38050.78</v>
      </c>
    </row>
    <row r="1246" spans="2:3" x14ac:dyDescent="0.25">
      <c r="B1246" s="293">
        <v>44061</v>
      </c>
      <c r="C1246" s="397">
        <v>38528.32</v>
      </c>
    </row>
    <row r="1247" spans="2:3" x14ac:dyDescent="0.25">
      <c r="B1247" s="293">
        <v>44062</v>
      </c>
      <c r="C1247" s="397">
        <v>38614.79</v>
      </c>
    </row>
    <row r="1248" spans="2:3" x14ac:dyDescent="0.25">
      <c r="B1248" s="293">
        <v>44063</v>
      </c>
      <c r="C1248" s="397">
        <v>38220.39</v>
      </c>
    </row>
    <row r="1249" spans="2:3" x14ac:dyDescent="0.25">
      <c r="B1249" s="293">
        <v>44064</v>
      </c>
      <c r="C1249" s="397">
        <v>38434.720000000001</v>
      </c>
    </row>
    <row r="1250" spans="2:3" x14ac:dyDescent="0.25">
      <c r="B1250" s="293">
        <v>44067</v>
      </c>
      <c r="C1250" s="397">
        <v>38799.08</v>
      </c>
    </row>
    <row r="1251" spans="2:3" x14ac:dyDescent="0.25">
      <c r="B1251" s="293">
        <v>44068</v>
      </c>
      <c r="C1251" s="397">
        <v>38843.879999999997</v>
      </c>
    </row>
    <row r="1252" spans="2:3" x14ac:dyDescent="0.25">
      <c r="B1252" s="293">
        <v>44069</v>
      </c>
      <c r="C1252" s="397">
        <v>39073.919999999998</v>
      </c>
    </row>
    <row r="1253" spans="2:3" x14ac:dyDescent="0.25">
      <c r="B1253" s="293">
        <v>44070</v>
      </c>
      <c r="C1253" s="397">
        <v>39113.47</v>
      </c>
    </row>
    <row r="1254" spans="2:3" x14ac:dyDescent="0.25">
      <c r="B1254" s="293">
        <v>44071</v>
      </c>
      <c r="C1254" s="397">
        <v>39467.31</v>
      </c>
    </row>
    <row r="1255" spans="2:3" x14ac:dyDescent="0.25">
      <c r="B1255" s="293">
        <v>44074</v>
      </c>
      <c r="C1255" s="397">
        <v>38628.29</v>
      </c>
    </row>
    <row r="1256" spans="2:3" x14ac:dyDescent="0.25">
      <c r="B1256" s="293">
        <v>44075</v>
      </c>
      <c r="C1256" s="397">
        <v>38900.800000000003</v>
      </c>
    </row>
    <row r="1257" spans="2:3" x14ac:dyDescent="0.25">
      <c r="B1257" s="293">
        <v>44076</v>
      </c>
      <c r="C1257" s="397">
        <v>39086.03</v>
      </c>
    </row>
    <row r="1258" spans="2:3" x14ac:dyDescent="0.25">
      <c r="B1258" s="293">
        <v>44077</v>
      </c>
      <c r="C1258" s="397">
        <v>38990.94</v>
      </c>
    </row>
    <row r="1259" spans="2:3" x14ac:dyDescent="0.25">
      <c r="B1259" s="293">
        <v>44078</v>
      </c>
      <c r="C1259" s="397">
        <v>38357.18</v>
      </c>
    </row>
    <row r="1260" spans="2:3" x14ac:dyDescent="0.25">
      <c r="B1260" s="293">
        <v>44081</v>
      </c>
      <c r="C1260" s="397">
        <v>38417.230000000003</v>
      </c>
    </row>
    <row r="1261" spans="2:3" x14ac:dyDescent="0.25">
      <c r="B1261" s="293">
        <v>44082</v>
      </c>
      <c r="C1261" s="397">
        <v>38365.35</v>
      </c>
    </row>
    <row r="1262" spans="2:3" x14ac:dyDescent="0.25">
      <c r="B1262" s="293">
        <v>44083</v>
      </c>
      <c r="C1262" s="397">
        <v>38193.919999999998</v>
      </c>
    </row>
    <row r="1263" spans="2:3" x14ac:dyDescent="0.25">
      <c r="B1263" s="293">
        <v>44084</v>
      </c>
      <c r="C1263" s="397">
        <v>38840.32</v>
      </c>
    </row>
    <row r="1264" spans="2:3" x14ac:dyDescent="0.25">
      <c r="B1264" s="293">
        <v>44085</v>
      </c>
      <c r="C1264" s="397">
        <v>38854.550000000003</v>
      </c>
    </row>
    <row r="1265" spans="2:3" x14ac:dyDescent="0.25">
      <c r="B1265" s="293">
        <v>44088</v>
      </c>
      <c r="C1265" s="397">
        <v>38756.629999999997</v>
      </c>
    </row>
    <row r="1266" spans="2:3" x14ac:dyDescent="0.25">
      <c r="B1266" s="293">
        <v>44089</v>
      </c>
      <c r="C1266" s="397">
        <v>39044.35</v>
      </c>
    </row>
    <row r="1267" spans="2:3" x14ac:dyDescent="0.25">
      <c r="B1267" s="293">
        <v>44090</v>
      </c>
      <c r="C1267" s="397">
        <v>39302.85</v>
      </c>
    </row>
    <row r="1268" spans="2:3" x14ac:dyDescent="0.25">
      <c r="B1268" s="293">
        <v>44091</v>
      </c>
      <c r="C1268" s="397">
        <v>38979.85</v>
      </c>
    </row>
    <row r="1269" spans="2:3" x14ac:dyDescent="0.25">
      <c r="B1269" s="293">
        <v>44092</v>
      </c>
      <c r="C1269" s="397">
        <v>38845.82</v>
      </c>
    </row>
    <row r="1270" spans="2:3" x14ac:dyDescent="0.25">
      <c r="B1270" s="293">
        <v>44095</v>
      </c>
      <c r="C1270" s="397">
        <v>38034.14</v>
      </c>
    </row>
    <row r="1271" spans="2:3" x14ac:dyDescent="0.25">
      <c r="B1271" s="293">
        <v>44096</v>
      </c>
      <c r="C1271" s="397">
        <v>37734.080000000002</v>
      </c>
    </row>
    <row r="1272" spans="2:3" x14ac:dyDescent="0.25">
      <c r="B1272" s="293">
        <v>44097</v>
      </c>
      <c r="C1272" s="397">
        <v>37668.42</v>
      </c>
    </row>
    <row r="1273" spans="2:3" x14ac:dyDescent="0.25">
      <c r="B1273" s="293">
        <v>44098</v>
      </c>
      <c r="C1273" s="397">
        <v>36553.599999999999</v>
      </c>
    </row>
    <row r="1274" spans="2:3" x14ac:dyDescent="0.25">
      <c r="B1274" s="293">
        <v>44099</v>
      </c>
      <c r="C1274" s="397">
        <v>37388.660000000003</v>
      </c>
    </row>
    <row r="1275" spans="2:3" x14ac:dyDescent="0.25">
      <c r="B1275" s="293">
        <v>44102</v>
      </c>
      <c r="C1275" s="397">
        <v>37981.629999999997</v>
      </c>
    </row>
    <row r="1276" spans="2:3" x14ac:dyDescent="0.25">
      <c r="B1276" s="293">
        <v>44103</v>
      </c>
      <c r="C1276" s="397">
        <v>37973.22</v>
      </c>
    </row>
    <row r="1277" spans="2:3" x14ac:dyDescent="0.25">
      <c r="B1277" s="293">
        <v>44104</v>
      </c>
      <c r="C1277" s="397">
        <v>38067.93</v>
      </c>
    </row>
    <row r="1278" spans="2:3" x14ac:dyDescent="0.25">
      <c r="B1278" s="293">
        <v>44105</v>
      </c>
      <c r="C1278" s="397">
        <v>38697.050000000003</v>
      </c>
    </row>
    <row r="1279" spans="2:3" x14ac:dyDescent="0.25">
      <c r="B1279" s="293">
        <v>44109</v>
      </c>
      <c r="C1279" s="397">
        <v>38973.699999999997</v>
      </c>
    </row>
    <row r="1280" spans="2:3" x14ac:dyDescent="0.25">
      <c r="B1280" s="293">
        <v>44110</v>
      </c>
      <c r="C1280" s="397">
        <v>39574.57</v>
      </c>
    </row>
    <row r="1281" spans="2:3" x14ac:dyDescent="0.25">
      <c r="B1281" s="293">
        <v>44111</v>
      </c>
      <c r="C1281" s="397">
        <v>39878.949999999997</v>
      </c>
    </row>
    <row r="1282" spans="2:3" x14ac:dyDescent="0.25">
      <c r="B1282" s="293">
        <v>44112</v>
      </c>
      <c r="C1282" s="397">
        <v>40182.67</v>
      </c>
    </row>
    <row r="1283" spans="2:3" x14ac:dyDescent="0.25">
      <c r="B1283" s="293">
        <v>44113</v>
      </c>
      <c r="C1283" s="397">
        <v>40509.49</v>
      </c>
    </row>
    <row r="1284" spans="2:3" x14ac:dyDescent="0.25">
      <c r="B1284" s="293">
        <v>44116</v>
      </c>
      <c r="C1284" s="397">
        <v>40593.800000000003</v>
      </c>
    </row>
    <row r="1285" spans="2:3" x14ac:dyDescent="0.25">
      <c r="B1285" s="293">
        <v>44117</v>
      </c>
      <c r="C1285" s="397">
        <v>40625.51</v>
      </c>
    </row>
    <row r="1286" spans="2:3" x14ac:dyDescent="0.25">
      <c r="B1286" s="293">
        <v>44118</v>
      </c>
      <c r="C1286" s="397">
        <v>40794.74</v>
      </c>
    </row>
    <row r="1287" spans="2:3" x14ac:dyDescent="0.25">
      <c r="B1287" s="293">
        <v>44119</v>
      </c>
      <c r="C1287" s="397">
        <v>39728.410000000003</v>
      </c>
    </row>
    <row r="1288" spans="2:3" x14ac:dyDescent="0.25">
      <c r="B1288" s="293">
        <v>44120</v>
      </c>
      <c r="C1288" s="397">
        <v>39982.980000000003</v>
      </c>
    </row>
    <row r="1289" spans="2:3" x14ac:dyDescent="0.25">
      <c r="B1289" s="293">
        <v>44123</v>
      </c>
      <c r="C1289" s="397">
        <v>40431.599999999999</v>
      </c>
    </row>
    <row r="1290" spans="2:3" x14ac:dyDescent="0.25">
      <c r="B1290" s="293">
        <v>44124</v>
      </c>
      <c r="C1290" s="397">
        <v>40544.370000000003</v>
      </c>
    </row>
    <row r="1291" spans="2:3" x14ac:dyDescent="0.25">
      <c r="B1291" s="293">
        <v>44125</v>
      </c>
      <c r="C1291" s="397">
        <v>40707.31</v>
      </c>
    </row>
    <row r="1292" spans="2:3" x14ac:dyDescent="0.25">
      <c r="B1292" s="293">
        <v>44126</v>
      </c>
      <c r="C1292" s="397">
        <v>40558.49</v>
      </c>
    </row>
    <row r="1293" spans="2:3" x14ac:dyDescent="0.25">
      <c r="B1293" s="293">
        <v>44127</v>
      </c>
      <c r="C1293" s="397">
        <v>40685.5</v>
      </c>
    </row>
    <row r="1294" spans="2:3" x14ac:dyDescent="0.25">
      <c r="B1294" s="293">
        <v>44130</v>
      </c>
      <c r="C1294" s="397">
        <v>40145.5</v>
      </c>
    </row>
    <row r="1295" spans="2:3" x14ac:dyDescent="0.25">
      <c r="B1295" s="293">
        <v>44131</v>
      </c>
      <c r="C1295" s="397">
        <v>40522.1</v>
      </c>
    </row>
    <row r="1296" spans="2:3" x14ac:dyDescent="0.25">
      <c r="B1296" s="293">
        <v>44132</v>
      </c>
      <c r="C1296" s="397">
        <v>39922.46</v>
      </c>
    </row>
    <row r="1297" spans="2:3" x14ac:dyDescent="0.25">
      <c r="B1297" s="293">
        <v>44133</v>
      </c>
      <c r="C1297" s="397">
        <v>39749.85</v>
      </c>
    </row>
    <row r="1298" spans="2:3" x14ac:dyDescent="0.25">
      <c r="B1298" s="293">
        <v>44134</v>
      </c>
      <c r="C1298" s="397">
        <v>39614.07</v>
      </c>
    </row>
    <row r="1299" spans="2:3" x14ac:dyDescent="0.25">
      <c r="B1299" s="293">
        <v>44137</v>
      </c>
      <c r="C1299" s="397">
        <v>39757.58</v>
      </c>
    </row>
    <row r="1300" spans="2:3" x14ac:dyDescent="0.25">
      <c r="B1300" s="293">
        <v>44138</v>
      </c>
      <c r="C1300" s="397">
        <v>40261.129999999997</v>
      </c>
    </row>
    <row r="1301" spans="2:3" x14ac:dyDescent="0.25">
      <c r="B1301" s="293">
        <v>44139</v>
      </c>
      <c r="C1301" s="397">
        <v>40616.14</v>
      </c>
    </row>
    <row r="1302" spans="2:3" x14ac:dyDescent="0.25">
      <c r="B1302" s="293">
        <v>44140</v>
      </c>
      <c r="C1302" s="397">
        <v>41340.160000000003</v>
      </c>
    </row>
    <row r="1303" spans="2:3" x14ac:dyDescent="0.25">
      <c r="B1303" s="293">
        <v>44141</v>
      </c>
      <c r="C1303" s="397">
        <v>41893.06</v>
      </c>
    </row>
    <row r="1304" spans="2:3" x14ac:dyDescent="0.25">
      <c r="B1304" s="293">
        <v>44144</v>
      </c>
      <c r="C1304" s="397">
        <v>42597.43</v>
      </c>
    </row>
    <row r="1305" spans="2:3" x14ac:dyDescent="0.25">
      <c r="B1305" s="293">
        <v>44145</v>
      </c>
      <c r="C1305" s="397">
        <v>43277.65</v>
      </c>
    </row>
    <row r="1306" spans="2:3" x14ac:dyDescent="0.25">
      <c r="B1306" s="293">
        <v>44146</v>
      </c>
      <c r="C1306" s="397">
        <v>43593.67</v>
      </c>
    </row>
    <row r="1307" spans="2:3" x14ac:dyDescent="0.25">
      <c r="B1307" s="293">
        <v>44147</v>
      </c>
      <c r="C1307" s="397">
        <v>43357.19</v>
      </c>
    </row>
    <row r="1308" spans="2:3" x14ac:dyDescent="0.25">
      <c r="B1308" s="293">
        <v>44148</v>
      </c>
      <c r="C1308" s="397">
        <v>43443</v>
      </c>
    </row>
    <row r="1309" spans="2:3" x14ac:dyDescent="0.25">
      <c r="B1309" s="293">
        <v>44149</v>
      </c>
      <c r="C1309" s="397">
        <v>43637.98</v>
      </c>
    </row>
    <row r="1310" spans="2:3" x14ac:dyDescent="0.25">
      <c r="B1310" s="293">
        <v>44152</v>
      </c>
      <c r="C1310" s="397">
        <v>43952.71</v>
      </c>
    </row>
    <row r="1311" spans="2:3" x14ac:dyDescent="0.25">
      <c r="B1311" s="293">
        <v>44153</v>
      </c>
      <c r="C1311" s="397">
        <v>44180.05</v>
      </c>
    </row>
    <row r="1312" spans="2:3" x14ac:dyDescent="0.25">
      <c r="B1312" s="293">
        <v>44154</v>
      </c>
      <c r="C1312" s="397">
        <v>43599.96</v>
      </c>
    </row>
    <row r="1313" spans="2:3" x14ac:dyDescent="0.25">
      <c r="B1313" s="293">
        <v>44155</v>
      </c>
      <c r="C1313" s="397">
        <v>43882.25</v>
      </c>
    </row>
    <row r="1314" spans="2:3" x14ac:dyDescent="0.25">
      <c r="B1314" s="293">
        <v>44158</v>
      </c>
      <c r="C1314" s="397">
        <v>44077.15</v>
      </c>
    </row>
    <row r="1315" spans="2:3" x14ac:dyDescent="0.25">
      <c r="B1315" s="293">
        <v>44159</v>
      </c>
      <c r="C1315" s="397">
        <v>44523.02</v>
      </c>
    </row>
    <row r="1316" spans="2:3" x14ac:dyDescent="0.25">
      <c r="B1316" s="293">
        <v>44160</v>
      </c>
      <c r="C1316" s="397">
        <v>43828.1</v>
      </c>
    </row>
    <row r="1317" spans="2:3" x14ac:dyDescent="0.25">
      <c r="B1317" s="293">
        <v>44161</v>
      </c>
      <c r="C1317" s="397">
        <v>44259.74</v>
      </c>
    </row>
    <row r="1318" spans="2:3" x14ac:dyDescent="0.25">
      <c r="B1318" s="293">
        <v>44162</v>
      </c>
      <c r="C1318" s="397">
        <v>44149.72</v>
      </c>
    </row>
    <row r="1319" spans="2:3" x14ac:dyDescent="0.25">
      <c r="B1319" s="293">
        <v>44166</v>
      </c>
      <c r="C1319" s="397">
        <v>44655.44</v>
      </c>
    </row>
    <row r="1320" spans="2:3" x14ac:dyDescent="0.25">
      <c r="B1320" s="293">
        <v>44167</v>
      </c>
      <c r="C1320" s="397">
        <v>44618.04</v>
      </c>
    </row>
    <row r="1321" spans="2:3" x14ac:dyDescent="0.25">
      <c r="B1321" s="293">
        <v>44168</v>
      </c>
      <c r="C1321" s="397">
        <v>44632.65</v>
      </c>
    </row>
    <row r="1322" spans="2:3" x14ac:dyDescent="0.25">
      <c r="B1322" s="293">
        <v>44169</v>
      </c>
      <c r="C1322" s="397">
        <v>45079.55</v>
      </c>
    </row>
    <row r="1323" spans="2:3" x14ac:dyDescent="0.25">
      <c r="B1323" s="293">
        <v>44172</v>
      </c>
      <c r="C1323" s="397">
        <v>45426.97</v>
      </c>
    </row>
    <row r="1324" spans="2:3" x14ac:dyDescent="0.25">
      <c r="B1324" s="293">
        <v>44173</v>
      </c>
      <c r="C1324" s="397">
        <v>45608.51</v>
      </c>
    </row>
    <row r="1325" spans="2:3" x14ac:dyDescent="0.25">
      <c r="B1325" s="293">
        <v>44174</v>
      </c>
      <c r="C1325" s="397">
        <v>46103.5</v>
      </c>
    </row>
    <row r="1326" spans="2:3" x14ac:dyDescent="0.25">
      <c r="B1326" s="293">
        <v>44175</v>
      </c>
      <c r="C1326" s="397">
        <v>45959.88</v>
      </c>
    </row>
    <row r="1327" spans="2:3" x14ac:dyDescent="0.25">
      <c r="B1327" s="293">
        <v>44176</v>
      </c>
      <c r="C1327" s="397">
        <v>46099.01</v>
      </c>
    </row>
    <row r="1328" spans="2:3" x14ac:dyDescent="0.25">
      <c r="B1328" s="293">
        <v>44179</v>
      </c>
      <c r="C1328" s="397">
        <v>46253.46</v>
      </c>
    </row>
    <row r="1329" spans="2:3" x14ac:dyDescent="0.25">
      <c r="B1329" s="293">
        <v>44180</v>
      </c>
      <c r="C1329" s="397">
        <v>46263.17</v>
      </c>
    </row>
    <row r="1330" spans="2:3" x14ac:dyDescent="0.25">
      <c r="B1330" s="293">
        <v>44181</v>
      </c>
      <c r="C1330" s="397">
        <v>46666.46</v>
      </c>
    </row>
    <row r="1331" spans="2:3" x14ac:dyDescent="0.25">
      <c r="B1331" s="293">
        <v>44182</v>
      </c>
      <c r="C1331" s="397">
        <v>46890.34</v>
      </c>
    </row>
    <row r="1332" spans="2:3" x14ac:dyDescent="0.25">
      <c r="B1332" s="293">
        <v>44183</v>
      </c>
      <c r="C1332" s="397">
        <v>46960.69</v>
      </c>
    </row>
    <row r="1333" spans="2:3" x14ac:dyDescent="0.25">
      <c r="B1333" s="293">
        <v>44186</v>
      </c>
      <c r="C1333" s="397">
        <v>45553.96</v>
      </c>
    </row>
    <row r="1334" spans="2:3" x14ac:dyDescent="0.25">
      <c r="B1334" s="293">
        <v>44187</v>
      </c>
      <c r="C1334" s="397">
        <v>46006.69</v>
      </c>
    </row>
    <row r="1335" spans="2:3" x14ac:dyDescent="0.25">
      <c r="B1335" s="293">
        <v>44188</v>
      </c>
      <c r="C1335" s="397">
        <v>46444.18</v>
      </c>
    </row>
    <row r="1336" spans="2:3" x14ac:dyDescent="0.25">
      <c r="B1336" s="293">
        <v>44189</v>
      </c>
      <c r="C1336" s="397">
        <v>46973.54</v>
      </c>
    </row>
    <row r="1337" spans="2:3" x14ac:dyDescent="0.25">
      <c r="B1337" s="293">
        <v>44193</v>
      </c>
      <c r="C1337" s="397">
        <v>47353.75</v>
      </c>
    </row>
    <row r="1338" spans="2:3" x14ac:dyDescent="0.25">
      <c r="B1338" s="293">
        <v>44194</v>
      </c>
      <c r="C1338" s="397">
        <v>47613.08</v>
      </c>
    </row>
    <row r="1339" spans="2:3" x14ac:dyDescent="0.25">
      <c r="B1339" s="293">
        <v>44195</v>
      </c>
      <c r="C1339" s="397">
        <v>47746.22</v>
      </c>
    </row>
    <row r="1340" spans="2:3" x14ac:dyDescent="0.25">
      <c r="B1340" s="293">
        <v>44196</v>
      </c>
      <c r="C1340" s="397">
        <v>47751.33</v>
      </c>
    </row>
    <row r="1341" spans="2:3" x14ac:dyDescent="0.25">
      <c r="B1341" s="293">
        <v>44197</v>
      </c>
      <c r="C1341" s="397">
        <v>47868.98</v>
      </c>
    </row>
    <row r="1342" spans="2:3" x14ac:dyDescent="0.25">
      <c r="B1342" s="293">
        <v>44200</v>
      </c>
      <c r="C1342" s="397">
        <v>48176.800000000003</v>
      </c>
    </row>
    <row r="1343" spans="2:3" x14ac:dyDescent="0.25">
      <c r="B1343" s="293">
        <v>44201</v>
      </c>
      <c r="C1343" s="397">
        <v>48437.78</v>
      </c>
    </row>
    <row r="1344" spans="2:3" x14ac:dyDescent="0.25">
      <c r="B1344" s="293">
        <v>44202</v>
      </c>
      <c r="C1344" s="397">
        <v>48174.06</v>
      </c>
    </row>
    <row r="1345" spans="2:3" x14ac:dyDescent="0.25">
      <c r="B1345" s="293">
        <v>44203</v>
      </c>
      <c r="C1345" s="397">
        <v>48093.32</v>
      </c>
    </row>
    <row r="1346" spans="2:3" x14ac:dyDescent="0.25">
      <c r="B1346" s="293">
        <v>44204</v>
      </c>
      <c r="C1346" s="397">
        <v>48782.51</v>
      </c>
    </row>
    <row r="1347" spans="2:3" x14ac:dyDescent="0.25">
      <c r="B1347" s="293">
        <v>44207</v>
      </c>
      <c r="C1347" s="397">
        <v>49269.32</v>
      </c>
    </row>
    <row r="1348" spans="2:3" x14ac:dyDescent="0.25">
      <c r="B1348" s="293">
        <v>44208</v>
      </c>
      <c r="C1348" s="397">
        <v>49517.11</v>
      </c>
    </row>
    <row r="1349" spans="2:3" x14ac:dyDescent="0.25">
      <c r="B1349" s="293">
        <v>44209</v>
      </c>
      <c r="C1349" s="397">
        <v>49492.32</v>
      </c>
    </row>
    <row r="1350" spans="2:3" x14ac:dyDescent="0.25">
      <c r="B1350" s="293">
        <v>44210</v>
      </c>
      <c r="C1350" s="397">
        <v>49584.160000000003</v>
      </c>
    </row>
    <row r="1351" spans="2:3" x14ac:dyDescent="0.25">
      <c r="B1351" s="293">
        <v>44211</v>
      </c>
      <c r="C1351" s="397">
        <v>49034.67</v>
      </c>
    </row>
    <row r="1352" spans="2:3" x14ac:dyDescent="0.25">
      <c r="B1352" s="293">
        <v>44214</v>
      </c>
      <c r="C1352" s="397">
        <v>48564.27</v>
      </c>
    </row>
    <row r="1353" spans="2:3" x14ac:dyDescent="0.25">
      <c r="B1353" s="293">
        <v>44215</v>
      </c>
      <c r="C1353" s="397">
        <v>49398.29</v>
      </c>
    </row>
    <row r="1354" spans="2:3" x14ac:dyDescent="0.25">
      <c r="B1354" s="293">
        <v>44216</v>
      </c>
      <c r="C1354" s="397">
        <v>49792.12</v>
      </c>
    </row>
    <row r="1355" spans="2:3" x14ac:dyDescent="0.25">
      <c r="B1355" s="293">
        <v>44217</v>
      </c>
      <c r="C1355" s="397">
        <v>49624.76</v>
      </c>
    </row>
    <row r="1356" spans="2:3" x14ac:dyDescent="0.25">
      <c r="B1356" s="293">
        <v>44218</v>
      </c>
      <c r="C1356" s="397">
        <v>48878.54</v>
      </c>
    </row>
    <row r="1357" spans="2:3" x14ac:dyDescent="0.25">
      <c r="B1357" s="293">
        <v>44221</v>
      </c>
      <c r="C1357" s="397">
        <v>48347.59</v>
      </c>
    </row>
    <row r="1358" spans="2:3" x14ac:dyDescent="0.25">
      <c r="B1358" s="293">
        <v>44223</v>
      </c>
      <c r="C1358" s="397">
        <v>47409.93</v>
      </c>
    </row>
    <row r="1359" spans="2:3" x14ac:dyDescent="0.25">
      <c r="B1359" s="293">
        <v>44224</v>
      </c>
      <c r="C1359" s="397">
        <v>46874.36</v>
      </c>
    </row>
    <row r="1360" spans="2:3" x14ac:dyDescent="0.25">
      <c r="B1360" s="293">
        <v>44225</v>
      </c>
      <c r="C1360" s="397">
        <v>46285.77</v>
      </c>
    </row>
    <row r="1361" spans="2:3" x14ac:dyDescent="0.25">
      <c r="B1361" s="293">
        <v>44228</v>
      </c>
      <c r="C1361" s="397">
        <v>48600.61</v>
      </c>
    </row>
    <row r="1362" spans="2:3" x14ac:dyDescent="0.25">
      <c r="B1362" s="293">
        <v>44229</v>
      </c>
      <c r="C1362" s="397">
        <v>49797.72</v>
      </c>
    </row>
    <row r="1363" spans="2:3" x14ac:dyDescent="0.25">
      <c r="B1363" s="293">
        <v>44230</v>
      </c>
      <c r="C1363" s="397">
        <v>50255.75</v>
      </c>
    </row>
    <row r="1364" spans="2:3" x14ac:dyDescent="0.25">
      <c r="B1364" s="293">
        <v>44231</v>
      </c>
      <c r="C1364" s="397">
        <v>50614.29</v>
      </c>
    </row>
    <row r="1365" spans="2:3" x14ac:dyDescent="0.25">
      <c r="B1365" s="293">
        <v>44232</v>
      </c>
      <c r="C1365" s="397">
        <v>50731.63</v>
      </c>
    </row>
    <row r="1366" spans="2:3" x14ac:dyDescent="0.25">
      <c r="B1366" s="293">
        <v>44235</v>
      </c>
      <c r="C1366" s="397">
        <v>51348.77</v>
      </c>
    </row>
    <row r="1367" spans="2:3" x14ac:dyDescent="0.25">
      <c r="B1367" s="293">
        <v>44236</v>
      </c>
      <c r="C1367" s="397">
        <v>51329.08</v>
      </c>
    </row>
    <row r="1368" spans="2:3" x14ac:dyDescent="0.25">
      <c r="B1368" s="293">
        <v>44237</v>
      </c>
      <c r="C1368" s="397">
        <v>51309.39</v>
      </c>
    </row>
    <row r="1369" spans="2:3" x14ac:dyDescent="0.25">
      <c r="B1369" s="293">
        <v>44238</v>
      </c>
      <c r="C1369" s="397">
        <v>51531.519999999997</v>
      </c>
    </row>
    <row r="1370" spans="2:3" x14ac:dyDescent="0.25">
      <c r="B1370" s="293">
        <v>44239</v>
      </c>
      <c r="C1370" s="397">
        <v>51544.3</v>
      </c>
    </row>
    <row r="1371" spans="2:3" x14ac:dyDescent="0.25">
      <c r="B1371" s="293">
        <v>44242</v>
      </c>
      <c r="C1371" s="397">
        <v>52154.13</v>
      </c>
    </row>
    <row r="1372" spans="2:3" x14ac:dyDescent="0.25">
      <c r="B1372" s="293">
        <v>44243</v>
      </c>
      <c r="C1372" s="397">
        <v>52104.17</v>
      </c>
    </row>
    <row r="1373" spans="2:3" x14ac:dyDescent="0.25">
      <c r="B1373" s="293">
        <v>44244</v>
      </c>
      <c r="C1373" s="397">
        <v>51703.83</v>
      </c>
    </row>
    <row r="1374" spans="2:3" x14ac:dyDescent="0.25">
      <c r="B1374" s="293">
        <v>44245</v>
      </c>
      <c r="C1374" s="397">
        <v>51324.69</v>
      </c>
    </row>
    <row r="1375" spans="2:3" x14ac:dyDescent="0.25">
      <c r="B1375" s="293">
        <v>44246</v>
      </c>
      <c r="C1375" s="397">
        <v>50889.760000000002</v>
      </c>
    </row>
    <row r="1376" spans="2:3" x14ac:dyDescent="0.25">
      <c r="B1376" s="293">
        <v>44249</v>
      </c>
      <c r="C1376" s="397">
        <v>49744.32</v>
      </c>
    </row>
    <row r="1377" spans="2:3" x14ac:dyDescent="0.25">
      <c r="B1377" s="293">
        <v>44250</v>
      </c>
      <c r="C1377" s="397">
        <v>49751.41</v>
      </c>
    </row>
    <row r="1378" spans="2:3" x14ac:dyDescent="0.25">
      <c r="B1378" s="293">
        <v>44251</v>
      </c>
      <c r="C1378" s="397">
        <v>50781.69</v>
      </c>
    </row>
    <row r="1379" spans="2:3" x14ac:dyDescent="0.25">
      <c r="B1379" s="293">
        <v>44252</v>
      </c>
      <c r="C1379" s="397">
        <v>51039.31</v>
      </c>
    </row>
    <row r="1380" spans="2:3" x14ac:dyDescent="0.25">
      <c r="B1380" s="293">
        <v>44253</v>
      </c>
      <c r="C1380" s="397">
        <v>49099.99</v>
      </c>
    </row>
    <row r="1381" spans="2:3" x14ac:dyDescent="0.25">
      <c r="B1381" s="293">
        <v>44256</v>
      </c>
      <c r="C1381" s="397">
        <v>49849.84</v>
      </c>
    </row>
    <row r="1382" spans="2:3" x14ac:dyDescent="0.25">
      <c r="B1382" s="293">
        <v>44257</v>
      </c>
      <c r="C1382" s="397">
        <v>50296.89</v>
      </c>
    </row>
    <row r="1383" spans="2:3" x14ac:dyDescent="0.25">
      <c r="B1383" s="293">
        <v>44258</v>
      </c>
      <c r="C1383" s="397">
        <v>51444.65</v>
      </c>
    </row>
    <row r="1384" spans="2:3" x14ac:dyDescent="0.25">
      <c r="B1384" s="293">
        <v>44259</v>
      </c>
      <c r="C1384" s="397">
        <v>50846.080000000002</v>
      </c>
    </row>
    <row r="1385" spans="2:3" x14ac:dyDescent="0.25">
      <c r="B1385" s="293">
        <v>44260</v>
      </c>
      <c r="C1385" s="397">
        <v>50405.32</v>
      </c>
    </row>
    <row r="1386" spans="2:3" x14ac:dyDescent="0.25">
      <c r="B1386" s="293">
        <v>44263</v>
      </c>
      <c r="C1386" s="397">
        <v>50441.07</v>
      </c>
    </row>
    <row r="1387" spans="2:3" x14ac:dyDescent="0.25">
      <c r="B1387" s="293">
        <v>44264</v>
      </c>
      <c r="C1387" s="397">
        <v>51025.48</v>
      </c>
    </row>
    <row r="1388" spans="2:3" x14ac:dyDescent="0.25">
      <c r="B1388" s="293">
        <v>44265</v>
      </c>
      <c r="C1388" s="397">
        <v>51279.51</v>
      </c>
    </row>
    <row r="1389" spans="2:3" x14ac:dyDescent="0.25">
      <c r="B1389" s="293">
        <v>44267</v>
      </c>
      <c r="C1389" s="397">
        <v>50792.08</v>
      </c>
    </row>
    <row r="1390" spans="2:3" x14ac:dyDescent="0.25">
      <c r="B1390" s="293">
        <v>44270</v>
      </c>
      <c r="C1390" s="397">
        <v>50395.08</v>
      </c>
    </row>
    <row r="1391" spans="2:3" x14ac:dyDescent="0.25">
      <c r="B1391" s="293">
        <v>44271</v>
      </c>
      <c r="C1391" s="397">
        <v>50363.96</v>
      </c>
    </row>
    <row r="1392" spans="2:3" x14ac:dyDescent="0.25">
      <c r="B1392" s="293">
        <v>44272</v>
      </c>
      <c r="C1392" s="397">
        <v>49801.62</v>
      </c>
    </row>
    <row r="1393" spans="2:3" x14ac:dyDescent="0.25">
      <c r="B1393" s="293">
        <v>44273</v>
      </c>
      <c r="C1393" s="397">
        <v>49216.52</v>
      </c>
    </row>
    <row r="1394" spans="2:3" x14ac:dyDescent="0.25">
      <c r="B1394" s="293">
        <v>44274</v>
      </c>
      <c r="C1394" s="397">
        <v>49858.239999999998</v>
      </c>
    </row>
    <row r="1395" spans="2:3" x14ac:dyDescent="0.25">
      <c r="B1395" s="293">
        <v>44277</v>
      </c>
      <c r="C1395" s="397">
        <v>49771.29</v>
      </c>
    </row>
    <row r="1396" spans="2:3" x14ac:dyDescent="0.25">
      <c r="B1396" s="293">
        <v>44278</v>
      </c>
      <c r="C1396" s="397">
        <v>50051.44</v>
      </c>
    </row>
    <row r="1397" spans="2:3" x14ac:dyDescent="0.25">
      <c r="B1397" s="293">
        <v>44279</v>
      </c>
      <c r="C1397" s="397">
        <v>49180.31</v>
      </c>
    </row>
    <row r="1398" spans="2:3" x14ac:dyDescent="0.25">
      <c r="B1398" s="293">
        <v>44280</v>
      </c>
      <c r="C1398" s="397">
        <v>48440.12</v>
      </c>
    </row>
    <row r="1399" spans="2:3" x14ac:dyDescent="0.25">
      <c r="B1399" s="293">
        <v>44281</v>
      </c>
      <c r="C1399" s="397">
        <v>49008.5</v>
      </c>
    </row>
    <row r="1400" spans="2:3" x14ac:dyDescent="0.25">
      <c r="B1400" s="293">
        <v>44285</v>
      </c>
      <c r="C1400" s="397">
        <v>50136.58</v>
      </c>
    </row>
    <row r="1401" spans="2:3" x14ac:dyDescent="0.25">
      <c r="B1401" s="293">
        <v>44286</v>
      </c>
      <c r="C1401" s="397">
        <v>49509.15</v>
      </c>
    </row>
    <row r="1402" spans="2:3" x14ac:dyDescent="0.25">
      <c r="B1402" s="293">
        <v>44287</v>
      </c>
      <c r="C1402" s="397">
        <v>50029.83</v>
      </c>
    </row>
    <row r="1403" spans="2:3" x14ac:dyDescent="0.25">
      <c r="B1403" s="293">
        <v>44291</v>
      </c>
      <c r="C1403" s="397">
        <v>49159.32</v>
      </c>
    </row>
    <row r="1404" spans="2:3" x14ac:dyDescent="0.25">
      <c r="B1404" s="293">
        <v>44292</v>
      </c>
      <c r="C1404" s="397">
        <v>49201.39</v>
      </c>
    </row>
    <row r="1405" spans="2:3" x14ac:dyDescent="0.25">
      <c r="B1405" s="293">
        <v>44293</v>
      </c>
      <c r="C1405" s="397">
        <v>49661.760000000002</v>
      </c>
    </row>
    <row r="1406" spans="2:3" x14ac:dyDescent="0.25">
      <c r="B1406" s="293">
        <v>44294</v>
      </c>
      <c r="C1406" s="397">
        <v>49746.21</v>
      </c>
    </row>
    <row r="1407" spans="2:3" x14ac:dyDescent="0.25">
      <c r="B1407" s="293">
        <v>44295</v>
      </c>
      <c r="C1407" s="397">
        <v>49591.32</v>
      </c>
    </row>
    <row r="1408" spans="2:3" x14ac:dyDescent="0.25">
      <c r="B1408" s="293">
        <v>44298</v>
      </c>
      <c r="C1408" s="397">
        <v>47883.38</v>
      </c>
    </row>
    <row r="1409" spans="2:3" x14ac:dyDescent="0.25">
      <c r="B1409" s="293">
        <v>44299</v>
      </c>
      <c r="C1409" s="397">
        <v>48544.06</v>
      </c>
    </row>
    <row r="1410" spans="2:3" x14ac:dyDescent="0.25">
      <c r="B1410" s="293">
        <v>44301</v>
      </c>
      <c r="C1410" s="397">
        <v>48803.68</v>
      </c>
    </row>
    <row r="1411" spans="2:3" x14ac:dyDescent="0.25">
      <c r="B1411" s="293">
        <v>44302</v>
      </c>
      <c r="C1411" s="397">
        <v>48832.03</v>
      </c>
    </row>
    <row r="1412" spans="2:3" x14ac:dyDescent="0.25">
      <c r="B1412" s="293">
        <v>44305</v>
      </c>
      <c r="C1412" s="397">
        <v>47949.42</v>
      </c>
    </row>
    <row r="1413" spans="2:3" x14ac:dyDescent="0.25">
      <c r="B1413" s="293">
        <v>44306</v>
      </c>
      <c r="C1413" s="397">
        <v>47705.8</v>
      </c>
    </row>
    <row r="1414" spans="2:3" x14ac:dyDescent="0.25">
      <c r="B1414" s="293">
        <v>44308</v>
      </c>
      <c r="C1414" s="397">
        <v>48080.67</v>
      </c>
    </row>
    <row r="1415" spans="2:3" x14ac:dyDescent="0.25">
      <c r="B1415" s="293">
        <v>44309</v>
      </c>
      <c r="C1415" s="397">
        <v>47878.45</v>
      </c>
    </row>
    <row r="1416" spans="2:3" x14ac:dyDescent="0.25">
      <c r="B1416" s="293">
        <v>44312</v>
      </c>
      <c r="C1416" s="397">
        <v>48386.51</v>
      </c>
    </row>
    <row r="1417" spans="2:3" x14ac:dyDescent="0.25">
      <c r="B1417" s="293">
        <v>44313</v>
      </c>
      <c r="C1417" s="397">
        <v>48944.14</v>
      </c>
    </row>
    <row r="1418" spans="2:3" x14ac:dyDescent="0.25">
      <c r="B1418" s="293">
        <v>44314</v>
      </c>
      <c r="C1418" s="397">
        <v>49733.84</v>
      </c>
    </row>
    <row r="1419" spans="2:3" x14ac:dyDescent="0.25">
      <c r="B1419" s="293">
        <v>44315</v>
      </c>
      <c r="C1419" s="397">
        <v>49765.94</v>
      </c>
    </row>
    <row r="1420" spans="2:3" x14ac:dyDescent="0.25">
      <c r="B1420" s="293">
        <v>44316</v>
      </c>
      <c r="C1420" s="397">
        <v>48782.36</v>
      </c>
    </row>
    <row r="1421" spans="2:3" x14ac:dyDescent="0.25">
      <c r="B1421" s="293">
        <v>44319</v>
      </c>
      <c r="C1421" s="397">
        <v>48718.52</v>
      </c>
    </row>
    <row r="1422" spans="2:3" x14ac:dyDescent="0.25">
      <c r="B1422" s="293">
        <v>44320</v>
      </c>
      <c r="C1422" s="397">
        <v>48253.51</v>
      </c>
    </row>
    <row r="1423" spans="2:3" x14ac:dyDescent="0.25">
      <c r="B1423" s="293">
        <v>44321</v>
      </c>
      <c r="C1423" s="397">
        <v>48677.55</v>
      </c>
    </row>
    <row r="1424" spans="2:3" x14ac:dyDescent="0.25">
      <c r="B1424" s="293">
        <v>44322</v>
      </c>
      <c r="C1424" s="397">
        <v>48949.760000000002</v>
      </c>
    </row>
    <row r="1425" spans="2:3" x14ac:dyDescent="0.25">
      <c r="B1425" s="293">
        <v>44323</v>
      </c>
      <c r="C1425" s="397">
        <v>49206.47</v>
      </c>
    </row>
    <row r="1426" spans="2:3" x14ac:dyDescent="0.25">
      <c r="B1426" s="293">
        <v>44326</v>
      </c>
      <c r="C1426" s="397">
        <v>49502.41</v>
      </c>
    </row>
    <row r="1427" spans="2:3" x14ac:dyDescent="0.25">
      <c r="B1427" s="293">
        <v>44327</v>
      </c>
      <c r="C1427" s="397">
        <v>49161.81</v>
      </c>
    </row>
    <row r="1428" spans="2:3" x14ac:dyDescent="0.25">
      <c r="B1428" s="293">
        <v>44328</v>
      </c>
      <c r="C1428" s="397">
        <v>48690.8</v>
      </c>
    </row>
    <row r="1429" spans="2:3" x14ac:dyDescent="0.25">
      <c r="B1429" s="293">
        <v>44330</v>
      </c>
      <c r="C1429" s="397">
        <v>48732.55</v>
      </c>
    </row>
    <row r="1430" spans="2:3" x14ac:dyDescent="0.25">
      <c r="B1430" s="293">
        <v>44333</v>
      </c>
      <c r="C1430" s="397">
        <v>49580.73</v>
      </c>
    </row>
    <row r="1431" spans="2:3" x14ac:dyDescent="0.25">
      <c r="B1431" s="293">
        <v>44334</v>
      </c>
      <c r="C1431" s="397">
        <v>50193.33</v>
      </c>
    </row>
    <row r="1432" spans="2:3" x14ac:dyDescent="0.25">
      <c r="B1432" s="293">
        <v>44335</v>
      </c>
      <c r="C1432" s="397">
        <v>49902.64</v>
      </c>
    </row>
    <row r="1433" spans="2:3" x14ac:dyDescent="0.25">
      <c r="B1433" s="293">
        <v>44336</v>
      </c>
      <c r="C1433" s="397">
        <v>49564.86</v>
      </c>
    </row>
    <row r="1434" spans="2:3" x14ac:dyDescent="0.25">
      <c r="B1434" s="293">
        <v>44337</v>
      </c>
      <c r="C1434" s="397">
        <v>50540.480000000003</v>
      </c>
    </row>
    <row r="1435" spans="2:3" x14ac:dyDescent="0.25">
      <c r="B1435" s="293">
        <v>44340</v>
      </c>
      <c r="C1435" s="397">
        <v>50651.9</v>
      </c>
    </row>
    <row r="1436" spans="2:3" x14ac:dyDescent="0.25">
      <c r="B1436" s="293">
        <v>44341</v>
      </c>
      <c r="C1436" s="397">
        <v>50637.53</v>
      </c>
    </row>
    <row r="1437" spans="2:3" x14ac:dyDescent="0.25">
      <c r="B1437" s="293">
        <v>44342</v>
      </c>
      <c r="C1437" s="397">
        <v>51017.52</v>
      </c>
    </row>
    <row r="1438" spans="2:3" x14ac:dyDescent="0.25">
      <c r="B1438" s="293">
        <v>44343</v>
      </c>
      <c r="C1438" s="397">
        <v>51115.22</v>
      </c>
    </row>
    <row r="1439" spans="2:3" x14ac:dyDescent="0.25">
      <c r="B1439" s="293">
        <v>44344</v>
      </c>
      <c r="C1439" s="397">
        <v>51422.879999999997</v>
      </c>
    </row>
    <row r="1440" spans="2:3" x14ac:dyDescent="0.25">
      <c r="B1440" s="293">
        <v>44347</v>
      </c>
      <c r="C1440" s="397">
        <v>51937.440000000002</v>
      </c>
    </row>
    <row r="1441" spans="2:3" x14ac:dyDescent="0.25">
      <c r="B1441" s="293">
        <v>44348</v>
      </c>
      <c r="C1441" s="397">
        <v>51934.879999999997</v>
      </c>
    </row>
    <row r="1442" spans="2:3" x14ac:dyDescent="0.25">
      <c r="B1442" s="293">
        <v>44349</v>
      </c>
      <c r="C1442" s="397">
        <v>51849.48</v>
      </c>
    </row>
    <row r="1443" spans="2:3" x14ac:dyDescent="0.25">
      <c r="B1443" s="293">
        <v>44350</v>
      </c>
      <c r="C1443" s="397">
        <v>52232.43</v>
      </c>
    </row>
    <row r="1444" spans="2:3" x14ac:dyDescent="0.25">
      <c r="B1444" s="293">
        <v>44351</v>
      </c>
      <c r="C1444" s="397">
        <v>52100.05</v>
      </c>
    </row>
    <row r="1445" spans="2:3" x14ac:dyDescent="0.25">
      <c r="B1445" s="293">
        <v>44354</v>
      </c>
      <c r="C1445" s="397">
        <v>52328.51</v>
      </c>
    </row>
    <row r="1446" spans="2:3" x14ac:dyDescent="0.25">
      <c r="B1446" s="293">
        <v>44355</v>
      </c>
      <c r="C1446" s="397">
        <v>52275.57</v>
      </c>
    </row>
    <row r="1447" spans="2:3" x14ac:dyDescent="0.25">
      <c r="B1447" s="293">
        <v>44356</v>
      </c>
      <c r="C1447" s="397">
        <v>51941.64</v>
      </c>
    </row>
    <row r="1448" spans="2:3" x14ac:dyDescent="0.25">
      <c r="B1448" s="293">
        <v>44357</v>
      </c>
      <c r="C1448" s="397">
        <v>52300.47</v>
      </c>
    </row>
    <row r="1449" spans="2:3" x14ac:dyDescent="0.25">
      <c r="B1449" s="293">
        <v>44358</v>
      </c>
      <c r="C1449" s="397">
        <v>52474.76</v>
      </c>
    </row>
    <row r="1450" spans="2:3" x14ac:dyDescent="0.25">
      <c r="B1450" s="293">
        <v>44361</v>
      </c>
      <c r="C1450" s="397">
        <v>52551.53</v>
      </c>
    </row>
    <row r="1451" spans="2:3" x14ac:dyDescent="0.25">
      <c r="B1451" s="293">
        <v>44362</v>
      </c>
      <c r="C1451" s="397">
        <v>52773.05</v>
      </c>
    </row>
    <row r="1452" spans="2:3" x14ac:dyDescent="0.25">
      <c r="B1452" s="293">
        <v>44363</v>
      </c>
      <c r="C1452" s="397">
        <v>52501.98</v>
      </c>
    </row>
    <row r="1453" spans="2:3" x14ac:dyDescent="0.25">
      <c r="B1453" s="293">
        <v>44364</v>
      </c>
      <c r="C1453" s="397">
        <v>52323.33</v>
      </c>
    </row>
    <row r="1454" spans="2:3" x14ac:dyDescent="0.25">
      <c r="B1454" s="293">
        <v>44365</v>
      </c>
      <c r="C1454" s="397">
        <v>52344.45</v>
      </c>
    </row>
    <row r="1455" spans="2:3" x14ac:dyDescent="0.25">
      <c r="B1455" s="293">
        <v>44368</v>
      </c>
      <c r="C1455" s="397">
        <v>52574.46</v>
      </c>
    </row>
    <row r="1456" spans="2:3" x14ac:dyDescent="0.25">
      <c r="B1456" s="293">
        <v>44369</v>
      </c>
      <c r="C1456" s="397">
        <v>52588.71</v>
      </c>
    </row>
    <row r="1457" spans="2:3" x14ac:dyDescent="0.25">
      <c r="B1457" s="293">
        <v>44370</v>
      </c>
      <c r="C1457" s="397">
        <v>52306.080000000002</v>
      </c>
    </row>
    <row r="1458" spans="2:3" x14ac:dyDescent="0.25">
      <c r="B1458" s="293">
        <v>44371</v>
      </c>
      <c r="C1458" s="397">
        <v>52699</v>
      </c>
    </row>
    <row r="1459" spans="2:3" x14ac:dyDescent="0.25">
      <c r="B1459" s="293">
        <v>44372</v>
      </c>
      <c r="C1459" s="397">
        <v>52925.04</v>
      </c>
    </row>
    <row r="1460" spans="2:3" x14ac:dyDescent="0.25">
      <c r="B1460" s="293">
        <v>44375</v>
      </c>
      <c r="C1460" s="397">
        <v>52735.59</v>
      </c>
    </row>
    <row r="1461" spans="2:3" x14ac:dyDescent="0.25">
      <c r="B1461" s="293">
        <v>44376</v>
      </c>
      <c r="C1461" s="397">
        <v>52549.66</v>
      </c>
    </row>
    <row r="1462" spans="2:3" x14ac:dyDescent="0.25">
      <c r="B1462" s="293">
        <v>44377</v>
      </c>
      <c r="C1462" s="397">
        <v>52482.71</v>
      </c>
    </row>
    <row r="1463" spans="2:3" x14ac:dyDescent="0.25">
      <c r="B1463" s="293">
        <v>44378</v>
      </c>
      <c r="C1463" s="397">
        <v>52318.6</v>
      </c>
    </row>
    <row r="1464" spans="2:3" x14ac:dyDescent="0.25">
      <c r="B1464" s="293">
        <v>44379</v>
      </c>
      <c r="C1464" s="397">
        <v>52484.67</v>
      </c>
    </row>
    <row r="1465" spans="2:3" x14ac:dyDescent="0.25">
      <c r="B1465" s="293">
        <v>44382</v>
      </c>
      <c r="C1465" s="397">
        <v>52880</v>
      </c>
    </row>
    <row r="1466" spans="2:3" x14ac:dyDescent="0.25">
      <c r="B1466" s="293">
        <v>44383</v>
      </c>
      <c r="C1466" s="397">
        <v>52861.18</v>
      </c>
    </row>
    <row r="1467" spans="2:3" x14ac:dyDescent="0.25">
      <c r="B1467" s="293">
        <v>44384</v>
      </c>
      <c r="C1467" s="397">
        <v>53054.76</v>
      </c>
    </row>
    <row r="1468" spans="2:3" x14ac:dyDescent="0.25">
      <c r="B1468" s="293">
        <v>44385</v>
      </c>
      <c r="C1468" s="397">
        <v>52568.94</v>
      </c>
    </row>
    <row r="1469" spans="2:3" x14ac:dyDescent="0.25">
      <c r="B1469" s="293">
        <v>44386</v>
      </c>
      <c r="C1469" s="397">
        <v>52386.19</v>
      </c>
    </row>
    <row r="1470" spans="2:3" x14ac:dyDescent="0.25">
      <c r="B1470" s="293">
        <v>44389</v>
      </c>
      <c r="C1470" s="397">
        <v>52372.69</v>
      </c>
    </row>
    <row r="1471" spans="2:3" x14ac:dyDescent="0.25">
      <c r="B1471" s="293">
        <v>44390</v>
      </c>
      <c r="C1471" s="397">
        <v>52769.73</v>
      </c>
    </row>
    <row r="1472" spans="2:3" x14ac:dyDescent="0.25">
      <c r="B1472" s="293">
        <v>44391</v>
      </c>
      <c r="C1472" s="397">
        <v>52904.05</v>
      </c>
    </row>
    <row r="1473" spans="2:3" x14ac:dyDescent="0.25">
      <c r="B1473" s="293">
        <v>44392</v>
      </c>
      <c r="C1473" s="397">
        <v>53158.85</v>
      </c>
    </row>
    <row r="1474" spans="2:3" x14ac:dyDescent="0.25">
      <c r="B1474" s="293">
        <v>44393</v>
      </c>
      <c r="C1474" s="397">
        <v>53140.06</v>
      </c>
    </row>
    <row r="1475" spans="2:3" x14ac:dyDescent="0.25">
      <c r="B1475" s="293">
        <v>44396</v>
      </c>
      <c r="C1475" s="397">
        <v>52553.4</v>
      </c>
    </row>
    <row r="1476" spans="2:3" x14ac:dyDescent="0.25">
      <c r="B1476" s="293">
        <v>44397</v>
      </c>
      <c r="C1476" s="397">
        <v>52198.51</v>
      </c>
    </row>
    <row r="1477" spans="2:3" x14ac:dyDescent="0.25">
      <c r="B1477" s="293">
        <v>44399</v>
      </c>
      <c r="C1477" s="397">
        <v>52837.21</v>
      </c>
    </row>
    <row r="1478" spans="2:3" x14ac:dyDescent="0.25">
      <c r="B1478" s="293">
        <v>44400</v>
      </c>
      <c r="C1478" s="397">
        <v>52975.8</v>
      </c>
    </row>
    <row r="1479" spans="2:3" x14ac:dyDescent="0.25">
      <c r="B1479" s="293">
        <v>44403</v>
      </c>
      <c r="C1479" s="397">
        <v>52852.27</v>
      </c>
    </row>
    <row r="1480" spans="2:3" x14ac:dyDescent="0.25">
      <c r="B1480" s="293">
        <v>44404</v>
      </c>
      <c r="C1480" s="397">
        <v>52578.76</v>
      </c>
    </row>
    <row r="1481" spans="2:3" x14ac:dyDescent="0.25">
      <c r="B1481" s="293">
        <v>44405</v>
      </c>
      <c r="C1481" s="397">
        <v>52443.71</v>
      </c>
    </row>
    <row r="1482" spans="2:3" x14ac:dyDescent="0.25">
      <c r="B1482" s="293">
        <v>44406</v>
      </c>
      <c r="C1482" s="397">
        <v>52653.07</v>
      </c>
    </row>
    <row r="1483" spans="2:3" x14ac:dyDescent="0.25">
      <c r="B1483" s="293">
        <v>44407</v>
      </c>
      <c r="C1483" s="397">
        <v>52586.84</v>
      </c>
    </row>
    <row r="1484" spans="2:3" x14ac:dyDescent="0.25">
      <c r="B1484" s="293">
        <v>44410</v>
      </c>
      <c r="C1484" s="397">
        <v>52950.63</v>
      </c>
    </row>
    <row r="1485" spans="2:3" x14ac:dyDescent="0.25">
      <c r="B1485" s="293">
        <v>44411</v>
      </c>
      <c r="C1485" s="397">
        <v>53823.360000000001</v>
      </c>
    </row>
    <row r="1486" spans="2:3" x14ac:dyDescent="0.25">
      <c r="B1486" s="293">
        <v>44412</v>
      </c>
      <c r="C1486" s="397">
        <v>54369.77</v>
      </c>
    </row>
    <row r="1487" spans="2:3" x14ac:dyDescent="0.25">
      <c r="B1487" s="293">
        <v>44413</v>
      </c>
      <c r="C1487" s="397">
        <v>54492.84</v>
      </c>
    </row>
    <row r="1488" spans="2:3" x14ac:dyDescent="0.25">
      <c r="B1488" s="293">
        <v>44414</v>
      </c>
      <c r="C1488" s="397">
        <v>54277.72</v>
      </c>
    </row>
    <row r="1489" spans="2:3" x14ac:dyDescent="0.25">
      <c r="B1489" s="293">
        <v>44417</v>
      </c>
      <c r="C1489" s="397">
        <v>54402.85</v>
      </c>
    </row>
    <row r="1490" spans="2:3" x14ac:dyDescent="0.25">
      <c r="B1490" s="293">
        <v>44418</v>
      </c>
      <c r="C1490" s="397">
        <v>54554.66</v>
      </c>
    </row>
    <row r="1491" spans="2:3" x14ac:dyDescent="0.25">
      <c r="B1491" s="293">
        <v>44419</v>
      </c>
      <c r="C1491" s="397">
        <v>54525.93</v>
      </c>
    </row>
    <row r="1492" spans="2:3" x14ac:dyDescent="0.25">
      <c r="B1492" s="293">
        <v>44420</v>
      </c>
      <c r="C1492" s="397">
        <v>54843.98</v>
      </c>
    </row>
    <row r="1493" spans="2:3" x14ac:dyDescent="0.25">
      <c r="B1493" s="293">
        <v>44421</v>
      </c>
      <c r="C1493" s="397">
        <v>55437.29</v>
      </c>
    </row>
    <row r="1494" spans="2:3" x14ac:dyDescent="0.25">
      <c r="B1494" s="293">
        <v>44424</v>
      </c>
      <c r="C1494" s="397">
        <v>55582.58</v>
      </c>
    </row>
    <row r="1495" spans="2:3" x14ac:dyDescent="0.25">
      <c r="B1495" s="293">
        <v>44425</v>
      </c>
      <c r="C1495" s="397">
        <v>55792.27</v>
      </c>
    </row>
    <row r="1496" spans="2:3" x14ac:dyDescent="0.25">
      <c r="B1496" s="293">
        <v>44426</v>
      </c>
      <c r="C1496" s="397">
        <v>55629.49</v>
      </c>
    </row>
    <row r="1497" spans="2:3" x14ac:dyDescent="0.25">
      <c r="B1497" s="293">
        <v>44428</v>
      </c>
      <c r="C1497" s="397">
        <v>55329.32</v>
      </c>
    </row>
    <row r="1498" spans="2:3" x14ac:dyDescent="0.25">
      <c r="B1498" s="293">
        <v>44431</v>
      </c>
      <c r="C1498" s="397">
        <v>55555.79</v>
      </c>
    </row>
    <row r="1499" spans="2:3" x14ac:dyDescent="0.25">
      <c r="B1499" s="293">
        <v>44432</v>
      </c>
      <c r="C1499" s="397">
        <v>55958.98</v>
      </c>
    </row>
    <row r="1500" spans="2:3" x14ac:dyDescent="0.25">
      <c r="B1500" s="293">
        <v>44433</v>
      </c>
      <c r="C1500" s="397">
        <v>55944.21</v>
      </c>
    </row>
    <row r="1501" spans="2:3" x14ac:dyDescent="0.25">
      <c r="B1501" s="293">
        <v>44434</v>
      </c>
      <c r="C1501" s="397">
        <v>55949.1</v>
      </c>
    </row>
    <row r="1502" spans="2:3" x14ac:dyDescent="0.25">
      <c r="B1502" s="293">
        <v>44435</v>
      </c>
      <c r="C1502" s="397">
        <v>56124.72</v>
      </c>
    </row>
    <row r="1503" spans="2:3" x14ac:dyDescent="0.25">
      <c r="B1503" s="293">
        <v>44438</v>
      </c>
      <c r="C1503" s="397">
        <v>56889.760000000002</v>
      </c>
    </row>
    <row r="1504" spans="2:3" x14ac:dyDescent="0.25">
      <c r="B1504" s="293">
        <v>44439</v>
      </c>
      <c r="C1504" s="397">
        <v>57552.39</v>
      </c>
    </row>
    <row r="1505" spans="2:3" x14ac:dyDescent="0.25">
      <c r="B1505" s="293">
        <v>44440</v>
      </c>
      <c r="C1505" s="397">
        <v>57338.21</v>
      </c>
    </row>
    <row r="1506" spans="2:3" x14ac:dyDescent="0.25">
      <c r="B1506" s="293">
        <v>44441</v>
      </c>
      <c r="C1506" s="397">
        <v>57852.54</v>
      </c>
    </row>
    <row r="1507" spans="2:3" x14ac:dyDescent="0.25">
      <c r="B1507" s="293">
        <v>44442</v>
      </c>
      <c r="C1507" s="397">
        <v>58129.95</v>
      </c>
    </row>
    <row r="1508" spans="2:3" x14ac:dyDescent="0.25">
      <c r="B1508" s="293">
        <v>44445</v>
      </c>
      <c r="C1508" s="397">
        <v>58296.91</v>
      </c>
    </row>
    <row r="1509" spans="2:3" x14ac:dyDescent="0.25">
      <c r="B1509" s="293">
        <v>44446</v>
      </c>
      <c r="C1509" s="397">
        <v>58279.48</v>
      </c>
    </row>
    <row r="1510" spans="2:3" x14ac:dyDescent="0.25">
      <c r="B1510" s="293">
        <v>44447</v>
      </c>
      <c r="C1510" s="397">
        <v>58250.26</v>
      </c>
    </row>
    <row r="1511" spans="2:3" x14ac:dyDescent="0.25">
      <c r="B1511" s="293">
        <v>44448</v>
      </c>
      <c r="C1511" s="397">
        <v>58305.07</v>
      </c>
    </row>
    <row r="1512" spans="2:3" x14ac:dyDescent="0.25">
      <c r="B1512" s="293">
        <v>44452</v>
      </c>
      <c r="C1512" s="397">
        <v>58177.760000000002</v>
      </c>
    </row>
    <row r="1513" spans="2:3" x14ac:dyDescent="0.25">
      <c r="B1513" s="293">
        <v>44453</v>
      </c>
      <c r="C1513" s="397">
        <v>58247.09</v>
      </c>
    </row>
    <row r="1514" spans="2:3" x14ac:dyDescent="0.25">
      <c r="B1514" s="293">
        <v>44454</v>
      </c>
      <c r="C1514" s="397">
        <v>58723.199999999997</v>
      </c>
    </row>
    <row r="1515" spans="2:3" x14ac:dyDescent="0.25">
      <c r="B1515" s="293">
        <v>44455</v>
      </c>
      <c r="C1515" s="397">
        <v>59141.16</v>
      </c>
    </row>
    <row r="1516" spans="2:3" x14ac:dyDescent="0.25">
      <c r="B1516" s="293">
        <v>44456</v>
      </c>
      <c r="C1516" s="397">
        <v>59015.89</v>
      </c>
    </row>
    <row r="1517" spans="2:3" x14ac:dyDescent="0.25">
      <c r="B1517" s="293">
        <v>44459</v>
      </c>
      <c r="C1517" s="397">
        <v>58490.93</v>
      </c>
    </row>
    <row r="1518" spans="2:3" x14ac:dyDescent="0.25">
      <c r="B1518" s="293">
        <v>44460</v>
      </c>
      <c r="C1518" s="397">
        <v>59005.27</v>
      </c>
    </row>
    <row r="1519" spans="2:3" x14ac:dyDescent="0.25">
      <c r="B1519" s="293">
        <v>44461</v>
      </c>
      <c r="C1519" s="397">
        <v>58927.33</v>
      </c>
    </row>
    <row r="1520" spans="2:3" x14ac:dyDescent="0.25">
      <c r="B1520" s="293">
        <v>44462</v>
      </c>
      <c r="C1520" s="397">
        <v>59885.36</v>
      </c>
    </row>
    <row r="1521" spans="2:3" x14ac:dyDescent="0.25">
      <c r="B1521" s="293">
        <v>44463</v>
      </c>
      <c r="C1521" s="397">
        <v>60048.47</v>
      </c>
    </row>
    <row r="1522" spans="2:3" x14ac:dyDescent="0.25">
      <c r="B1522" s="293">
        <v>44466</v>
      </c>
      <c r="C1522" s="397">
        <v>60077.88</v>
      </c>
    </row>
    <row r="1523" spans="2:3" x14ac:dyDescent="0.25">
      <c r="B1523" s="293">
        <v>44467</v>
      </c>
      <c r="C1523" s="397">
        <v>59667.6</v>
      </c>
    </row>
    <row r="1524" spans="2:3" x14ac:dyDescent="0.25">
      <c r="B1524" s="293">
        <v>44468</v>
      </c>
      <c r="C1524" s="397">
        <v>59413.27</v>
      </c>
    </row>
    <row r="1525" spans="2:3" x14ac:dyDescent="0.25">
      <c r="B1525" s="293">
        <v>44469</v>
      </c>
      <c r="C1525" s="397">
        <v>59126.36</v>
      </c>
    </row>
    <row r="1526" spans="2:3" x14ac:dyDescent="0.25">
      <c r="B1526" s="293">
        <v>44470</v>
      </c>
      <c r="C1526" s="397">
        <v>58765.58</v>
      </c>
    </row>
    <row r="1527" spans="2:3" x14ac:dyDescent="0.25">
      <c r="B1527" s="293">
        <v>44473</v>
      </c>
      <c r="C1527" s="397">
        <v>59299.32</v>
      </c>
    </row>
    <row r="1528" spans="2:3" x14ac:dyDescent="0.25">
      <c r="B1528" s="293">
        <v>44474</v>
      </c>
      <c r="C1528" s="397">
        <v>59744.88</v>
      </c>
    </row>
    <row r="1529" spans="2:3" x14ac:dyDescent="0.25">
      <c r="B1529" s="293">
        <v>44475</v>
      </c>
      <c r="C1529" s="397">
        <v>59189.73</v>
      </c>
    </row>
    <row r="1530" spans="2:3" x14ac:dyDescent="0.25">
      <c r="B1530" s="293">
        <v>44476</v>
      </c>
      <c r="C1530" s="397">
        <v>59677.83</v>
      </c>
    </row>
    <row r="1531" spans="2:3" x14ac:dyDescent="0.25">
      <c r="B1531" s="293">
        <v>44477</v>
      </c>
      <c r="C1531" s="397">
        <v>60059.06</v>
      </c>
    </row>
    <row r="1532" spans="2:3" x14ac:dyDescent="0.25">
      <c r="B1532" s="293">
        <v>44480</v>
      </c>
      <c r="C1532" s="397">
        <v>60135.78</v>
      </c>
    </row>
    <row r="1533" spans="2:3" x14ac:dyDescent="0.25">
      <c r="B1533" s="293">
        <v>44481</v>
      </c>
      <c r="C1533" s="397">
        <v>60284.31</v>
      </c>
    </row>
    <row r="1534" spans="2:3" x14ac:dyDescent="0.25">
      <c r="B1534" s="293">
        <v>44482</v>
      </c>
      <c r="C1534" s="397">
        <v>60737.05</v>
      </c>
    </row>
    <row r="1535" spans="2:3" x14ac:dyDescent="0.25">
      <c r="B1535" s="293">
        <v>44483</v>
      </c>
      <c r="C1535" s="397">
        <v>61305.95</v>
      </c>
    </row>
    <row r="1536" spans="2:3" x14ac:dyDescent="0.25">
      <c r="B1536" s="293">
        <v>44487</v>
      </c>
      <c r="C1536" s="397">
        <v>61765.59</v>
      </c>
    </row>
    <row r="1537" spans="2:3" x14ac:dyDescent="0.25">
      <c r="B1537" s="293">
        <v>44488</v>
      </c>
      <c r="C1537" s="397">
        <v>61716.05</v>
      </c>
    </row>
    <row r="1538" spans="2:3" x14ac:dyDescent="0.25">
      <c r="B1538" s="293">
        <v>44489</v>
      </c>
      <c r="C1538" s="397">
        <v>61259.96</v>
      </c>
    </row>
    <row r="1539" spans="2:3" x14ac:dyDescent="0.25">
      <c r="B1539" s="293">
        <v>44490</v>
      </c>
      <c r="C1539" s="397">
        <v>60923.5</v>
      </c>
    </row>
    <row r="1540" spans="2:3" x14ac:dyDescent="0.25">
      <c r="B1540" s="293">
        <v>44491</v>
      </c>
      <c r="C1540" s="397">
        <v>60821.62</v>
      </c>
    </row>
    <row r="1541" spans="2:3" x14ac:dyDescent="0.25">
      <c r="B1541" s="293">
        <v>44494</v>
      </c>
      <c r="C1541" s="397">
        <v>60967.05</v>
      </c>
    </row>
    <row r="1542" spans="2:3" x14ac:dyDescent="0.25">
      <c r="B1542" s="293">
        <v>44495</v>
      </c>
      <c r="C1542" s="397">
        <v>61350.26</v>
      </c>
    </row>
    <row r="1543" spans="2:3" x14ac:dyDescent="0.25">
      <c r="B1543" s="293">
        <v>44496</v>
      </c>
      <c r="C1543" s="397">
        <v>61143.33</v>
      </c>
    </row>
    <row r="1544" spans="2:3" x14ac:dyDescent="0.25">
      <c r="B1544" s="293">
        <v>44497</v>
      </c>
      <c r="C1544" s="397">
        <v>59984.7</v>
      </c>
    </row>
    <row r="1545" spans="2:3" x14ac:dyDescent="0.25">
      <c r="B1545" s="293">
        <v>44498</v>
      </c>
      <c r="C1545" s="397">
        <v>59306.93</v>
      </c>
    </row>
    <row r="1546" spans="2:3" x14ac:dyDescent="0.25">
      <c r="B1546" s="293">
        <v>44501</v>
      </c>
      <c r="C1546" s="397">
        <v>60138.46</v>
      </c>
    </row>
    <row r="1547" spans="2:3" x14ac:dyDescent="0.25">
      <c r="B1547" s="293">
        <v>44502</v>
      </c>
      <c r="C1547" s="397">
        <v>60029.06</v>
      </c>
    </row>
    <row r="1548" spans="2:3" x14ac:dyDescent="0.25">
      <c r="B1548" s="293">
        <v>44503</v>
      </c>
      <c r="C1548" s="397">
        <v>59771.92</v>
      </c>
    </row>
    <row r="1549" spans="2:3" x14ac:dyDescent="0.25">
      <c r="B1549" s="293">
        <v>44504</v>
      </c>
      <c r="C1549" s="397">
        <v>60067.62</v>
      </c>
    </row>
    <row r="1550" spans="2:3" x14ac:dyDescent="0.25">
      <c r="B1550" s="293">
        <v>44508</v>
      </c>
      <c r="C1550" s="397">
        <v>60545.61</v>
      </c>
    </row>
    <row r="1551" spans="2:3" x14ac:dyDescent="0.25">
      <c r="B1551" s="293">
        <v>44509</v>
      </c>
      <c r="C1551" s="397">
        <v>60433.45</v>
      </c>
    </row>
    <row r="1552" spans="2:3" x14ac:dyDescent="0.25">
      <c r="B1552" s="293">
        <v>44510</v>
      </c>
      <c r="C1552" s="397">
        <v>60352.82</v>
      </c>
    </row>
    <row r="1553" spans="2:3" x14ac:dyDescent="0.25">
      <c r="B1553" s="293">
        <v>44511</v>
      </c>
      <c r="C1553" s="397">
        <v>59919.69</v>
      </c>
    </row>
    <row r="1554" spans="2:3" x14ac:dyDescent="0.25">
      <c r="B1554" s="293">
        <v>44512</v>
      </c>
      <c r="C1554" s="397">
        <v>60686.69</v>
      </c>
    </row>
    <row r="1555" spans="2:3" x14ac:dyDescent="0.25">
      <c r="B1555" s="293">
        <v>44515</v>
      </c>
      <c r="C1555" s="397">
        <v>60718.71</v>
      </c>
    </row>
    <row r="1556" spans="2:3" x14ac:dyDescent="0.25">
      <c r="B1556" s="293">
        <v>44516</v>
      </c>
      <c r="C1556" s="397">
        <v>60322.37</v>
      </c>
    </row>
    <row r="1557" spans="2:3" x14ac:dyDescent="0.25">
      <c r="B1557" s="293">
        <v>44517</v>
      </c>
      <c r="C1557" s="397">
        <v>60008.33</v>
      </c>
    </row>
    <row r="1558" spans="2:3" x14ac:dyDescent="0.25">
      <c r="B1558" s="293">
        <v>44518</v>
      </c>
      <c r="C1558" s="397">
        <v>59636.01</v>
      </c>
    </row>
    <row r="1559" spans="2:3" x14ac:dyDescent="0.25">
      <c r="B1559" s="293">
        <v>44522</v>
      </c>
      <c r="C1559" s="397">
        <v>58465.89</v>
      </c>
    </row>
    <row r="1560" spans="2:3" x14ac:dyDescent="0.25">
      <c r="B1560" s="293">
        <v>44523</v>
      </c>
      <c r="C1560" s="397">
        <v>58664.33</v>
      </c>
    </row>
    <row r="1561" spans="2:3" x14ac:dyDescent="0.25">
      <c r="B1561" s="293">
        <v>44524</v>
      </c>
      <c r="C1561" s="397">
        <v>58340.99</v>
      </c>
    </row>
    <row r="1562" spans="2:3" x14ac:dyDescent="0.25">
      <c r="B1562" s="293">
        <v>44525</v>
      </c>
      <c r="C1562" s="397">
        <v>58795.09</v>
      </c>
    </row>
    <row r="1563" spans="2:3" x14ac:dyDescent="0.25">
      <c r="B1563" s="293">
        <v>44526</v>
      </c>
      <c r="C1563" s="397">
        <v>57107.15</v>
      </c>
    </row>
    <row r="1564" spans="2:3" x14ac:dyDescent="0.25">
      <c r="B1564" s="293">
        <v>44529</v>
      </c>
      <c r="C1564" s="397">
        <v>57260.58</v>
      </c>
    </row>
    <row r="1565" spans="2:3" x14ac:dyDescent="0.25">
      <c r="B1565" s="293">
        <v>44530</v>
      </c>
      <c r="C1565" s="397">
        <v>57064.87</v>
      </c>
    </row>
    <row r="1566" spans="2:3" x14ac:dyDescent="0.25">
      <c r="B1566" s="293">
        <v>44531</v>
      </c>
      <c r="C1566" s="397">
        <v>57684.79</v>
      </c>
    </row>
    <row r="1567" spans="2:3" x14ac:dyDescent="0.25">
      <c r="B1567" s="293">
        <v>44532</v>
      </c>
      <c r="C1567" s="397">
        <v>58461.29</v>
      </c>
    </row>
    <row r="1568" spans="2:3" x14ac:dyDescent="0.25">
      <c r="B1568" s="293">
        <v>44533</v>
      </c>
      <c r="C1568" s="397">
        <v>57696.46</v>
      </c>
    </row>
    <row r="1569" spans="2:3" x14ac:dyDescent="0.25">
      <c r="B1569" s="293">
        <v>44536</v>
      </c>
      <c r="C1569" s="397">
        <v>56747.14</v>
      </c>
    </row>
    <row r="1570" spans="2:3" x14ac:dyDescent="0.25">
      <c r="B1570" s="293">
        <v>44537</v>
      </c>
      <c r="C1570" s="397">
        <v>57633.65</v>
      </c>
    </row>
    <row r="1571" spans="2:3" x14ac:dyDescent="0.25">
      <c r="B1571" s="293">
        <v>44538</v>
      </c>
      <c r="C1571" s="397">
        <v>58649.68</v>
      </c>
    </row>
    <row r="1572" spans="2:3" x14ac:dyDescent="0.25">
      <c r="B1572" s="293">
        <v>44539</v>
      </c>
      <c r="C1572" s="397">
        <v>58807.13</v>
      </c>
    </row>
    <row r="1573" spans="2:3" x14ac:dyDescent="0.25">
      <c r="B1573" s="293">
        <v>44540</v>
      </c>
      <c r="C1573" s="397">
        <v>58786.67</v>
      </c>
    </row>
    <row r="1574" spans="2:3" x14ac:dyDescent="0.25">
      <c r="B1574" s="293">
        <v>44543</v>
      </c>
      <c r="C1574" s="397">
        <v>58283.42</v>
      </c>
    </row>
    <row r="1575" spans="2:3" x14ac:dyDescent="0.25">
      <c r="B1575" s="293">
        <v>44544</v>
      </c>
      <c r="C1575" s="397">
        <v>58117.09</v>
      </c>
    </row>
    <row r="1576" spans="2:3" x14ac:dyDescent="0.25">
      <c r="B1576" s="293">
        <v>44545</v>
      </c>
      <c r="C1576" s="397">
        <v>57788.03</v>
      </c>
    </row>
    <row r="1577" spans="2:3" x14ac:dyDescent="0.25">
      <c r="B1577" s="293">
        <v>44546</v>
      </c>
      <c r="C1577" s="397">
        <v>57901.14</v>
      </c>
    </row>
    <row r="1578" spans="2:3" x14ac:dyDescent="0.25">
      <c r="B1578" s="293">
        <v>44547</v>
      </c>
      <c r="C1578" s="397">
        <v>57011.74</v>
      </c>
    </row>
    <row r="1579" spans="2:3" x14ac:dyDescent="0.25">
      <c r="B1579" s="293">
        <v>44550</v>
      </c>
      <c r="C1579" s="397">
        <v>55822.01</v>
      </c>
    </row>
    <row r="1580" spans="2:3" x14ac:dyDescent="0.25">
      <c r="B1580" s="293">
        <v>44551</v>
      </c>
      <c r="C1580" s="397">
        <v>56319.01</v>
      </c>
    </row>
    <row r="1581" spans="2:3" x14ac:dyDescent="0.25">
      <c r="B1581" s="293">
        <v>44552</v>
      </c>
      <c r="C1581" s="397">
        <v>56930.559999999998</v>
      </c>
    </row>
    <row r="1582" spans="2:3" x14ac:dyDescent="0.25">
      <c r="B1582" s="293">
        <v>44553</v>
      </c>
      <c r="C1582" s="397">
        <v>57315.28</v>
      </c>
    </row>
    <row r="1583" spans="2:3" x14ac:dyDescent="0.25">
      <c r="B1583" s="293">
        <v>44554</v>
      </c>
      <c r="C1583" s="397">
        <v>57124.31</v>
      </c>
    </row>
    <row r="1584" spans="2:3" x14ac:dyDescent="0.25">
      <c r="B1584" s="293">
        <v>44557</v>
      </c>
      <c r="C1584" s="397">
        <v>57420.24</v>
      </c>
    </row>
    <row r="1585" spans="2:3" x14ac:dyDescent="0.25">
      <c r="B1585" s="293">
        <v>44558</v>
      </c>
      <c r="C1585" s="397">
        <v>57897.48</v>
      </c>
    </row>
    <row r="1586" spans="2:3" x14ac:dyDescent="0.25">
      <c r="B1586" s="293">
        <v>44559</v>
      </c>
      <c r="C1586" s="397">
        <v>57806.49</v>
      </c>
    </row>
    <row r="1587" spans="2:3" x14ac:dyDescent="0.25">
      <c r="B1587" s="293">
        <v>44560</v>
      </c>
      <c r="C1587" s="397">
        <v>57794.32</v>
      </c>
    </row>
    <row r="1588" spans="2:3" x14ac:dyDescent="0.25">
      <c r="B1588" s="293">
        <v>44561</v>
      </c>
      <c r="C1588" s="397">
        <v>58253.82</v>
      </c>
    </row>
    <row r="1589" spans="2:3" x14ac:dyDescent="0.25">
      <c r="B1589" s="293">
        <v>44564</v>
      </c>
      <c r="C1589" s="397">
        <v>59183.22</v>
      </c>
    </row>
    <row r="1590" spans="2:3" x14ac:dyDescent="0.25">
      <c r="B1590" s="293">
        <v>44565</v>
      </c>
      <c r="C1590" s="397">
        <v>59855.93</v>
      </c>
    </row>
    <row r="1591" spans="2:3" x14ac:dyDescent="0.25">
      <c r="B1591" s="293">
        <v>44566</v>
      </c>
      <c r="C1591" s="397">
        <v>60223.15</v>
      </c>
    </row>
    <row r="1592" spans="2:3" x14ac:dyDescent="0.25">
      <c r="B1592" s="293">
        <v>44567</v>
      </c>
      <c r="C1592" s="397">
        <v>59601.84</v>
      </c>
    </row>
    <row r="1593" spans="2:3" x14ac:dyDescent="0.25">
      <c r="B1593" s="293">
        <v>44568</v>
      </c>
      <c r="C1593" s="397">
        <v>59744.65</v>
      </c>
    </row>
    <row r="1594" spans="2:3" x14ac:dyDescent="0.25">
      <c r="B1594" s="293">
        <v>44571</v>
      </c>
      <c r="C1594" s="397">
        <v>60395.63</v>
      </c>
    </row>
    <row r="1595" spans="2:3" x14ac:dyDescent="0.25">
      <c r="B1595" s="293">
        <v>44572</v>
      </c>
      <c r="C1595" s="397">
        <v>60616.89</v>
      </c>
    </row>
    <row r="1596" spans="2:3" x14ac:dyDescent="0.25">
      <c r="B1596" s="293">
        <v>44573</v>
      </c>
      <c r="C1596" s="397">
        <v>61150.04</v>
      </c>
    </row>
    <row r="1597" spans="2:3" x14ac:dyDescent="0.25">
      <c r="B1597" s="293">
        <v>44574</v>
      </c>
      <c r="C1597" s="397">
        <v>61235.3</v>
      </c>
    </row>
    <row r="1598" spans="2:3" x14ac:dyDescent="0.25">
      <c r="B1598" s="293">
        <v>44575</v>
      </c>
      <c r="C1598" s="397">
        <v>61223.03</v>
      </c>
    </row>
    <row r="1599" spans="2:3" x14ac:dyDescent="0.25">
      <c r="B1599" s="293">
        <v>44578</v>
      </c>
      <c r="C1599" s="397">
        <v>61308.91</v>
      </c>
    </row>
    <row r="1600" spans="2:3" x14ac:dyDescent="0.25">
      <c r="B1600" s="293">
        <v>44579</v>
      </c>
      <c r="C1600" s="397">
        <v>60754.86</v>
      </c>
    </row>
    <row r="1601" spans="2:3" x14ac:dyDescent="0.25">
      <c r="B1601" s="293">
        <v>44580</v>
      </c>
      <c r="C1601" s="397">
        <v>60098.82</v>
      </c>
    </row>
    <row r="1602" spans="2:3" x14ac:dyDescent="0.25">
      <c r="B1602" s="293">
        <v>44581</v>
      </c>
      <c r="C1602" s="397">
        <v>59464.62</v>
      </c>
    </row>
    <row r="1603" spans="2:3" x14ac:dyDescent="0.25">
      <c r="B1603" s="293">
        <v>44582</v>
      </c>
      <c r="C1603" s="397">
        <v>59037.18</v>
      </c>
    </row>
    <row r="1604" spans="2:3" x14ac:dyDescent="0.25">
      <c r="B1604" s="293">
        <v>44585</v>
      </c>
      <c r="C1604" s="397">
        <v>57491.51</v>
      </c>
    </row>
    <row r="1605" spans="2:3" x14ac:dyDescent="0.25">
      <c r="B1605" s="293">
        <v>44586</v>
      </c>
      <c r="C1605" s="397">
        <v>57858.15</v>
      </c>
    </row>
    <row r="1606" spans="2:3" x14ac:dyDescent="0.25">
      <c r="B1606" s="293">
        <v>44588</v>
      </c>
      <c r="C1606" s="397">
        <v>57276.94</v>
      </c>
    </row>
    <row r="1607" spans="2:3" x14ac:dyDescent="0.25">
      <c r="B1607" s="293">
        <v>44589</v>
      </c>
      <c r="C1607" s="397">
        <v>57200.23</v>
      </c>
    </row>
    <row r="1608" spans="2:3" x14ac:dyDescent="0.25">
      <c r="B1608" s="293">
        <v>44592</v>
      </c>
      <c r="C1608" s="397">
        <v>58014.17</v>
      </c>
    </row>
    <row r="1609" spans="2:3" x14ac:dyDescent="0.25">
      <c r="B1609" s="293">
        <v>44593</v>
      </c>
      <c r="C1609" s="397">
        <v>58862.57</v>
      </c>
    </row>
    <row r="1610" spans="2:3" x14ac:dyDescent="0.25">
      <c r="B1610" s="293">
        <v>44594</v>
      </c>
      <c r="C1610" s="397">
        <v>59558.33</v>
      </c>
    </row>
    <row r="1611" spans="2:3" x14ac:dyDescent="0.25">
      <c r="B1611" s="293">
        <v>44595</v>
      </c>
      <c r="C1611" s="397">
        <v>58788.02</v>
      </c>
    </row>
    <row r="1612" spans="2:3" x14ac:dyDescent="0.25">
      <c r="B1612" s="293">
        <v>44596</v>
      </c>
      <c r="C1612" s="397">
        <v>58644.82</v>
      </c>
    </row>
    <row r="1613" spans="2:3" x14ac:dyDescent="0.25">
      <c r="B1613" s="293">
        <v>44599</v>
      </c>
      <c r="C1613" s="397">
        <v>57621.19</v>
      </c>
    </row>
    <row r="1614" spans="2:3" x14ac:dyDescent="0.25">
      <c r="B1614" s="293">
        <v>44600</v>
      </c>
      <c r="C1614" s="397">
        <v>57808.58</v>
      </c>
    </row>
    <row r="1615" spans="2:3" x14ac:dyDescent="0.25">
      <c r="B1615" s="293">
        <v>44601</v>
      </c>
      <c r="C1615" s="397">
        <v>58465.97</v>
      </c>
    </row>
    <row r="1616" spans="2:3" x14ac:dyDescent="0.25">
      <c r="B1616" s="293">
        <v>44602</v>
      </c>
      <c r="C1616" s="397">
        <v>58926.03</v>
      </c>
    </row>
    <row r="1617" spans="2:3" x14ac:dyDescent="0.25">
      <c r="B1617" s="293">
        <v>44603</v>
      </c>
      <c r="C1617" s="397">
        <v>58152.92</v>
      </c>
    </row>
    <row r="1618" spans="2:3" x14ac:dyDescent="0.25">
      <c r="B1618" s="293">
        <v>44606</v>
      </c>
      <c r="C1618" s="397">
        <v>56405.84</v>
      </c>
    </row>
    <row r="1619" spans="2:3" x14ac:dyDescent="0.25">
      <c r="B1619" s="293">
        <v>44607</v>
      </c>
      <c r="C1619" s="397">
        <v>58142.05</v>
      </c>
    </row>
    <row r="1620" spans="2:3" x14ac:dyDescent="0.25">
      <c r="B1620" s="293">
        <v>44608</v>
      </c>
      <c r="C1620" s="397">
        <v>57996.68</v>
      </c>
    </row>
    <row r="1621" spans="2:3" x14ac:dyDescent="0.25">
      <c r="B1621" s="293">
        <v>44609</v>
      </c>
      <c r="C1621" s="397">
        <v>57892.01</v>
      </c>
    </row>
    <row r="1622" spans="2:3" x14ac:dyDescent="0.25">
      <c r="B1622" s="293">
        <v>44610</v>
      </c>
      <c r="C1622" s="397">
        <v>57832.97</v>
      </c>
    </row>
    <row r="1623" spans="2:3" x14ac:dyDescent="0.25">
      <c r="B1623" s="293">
        <v>44613</v>
      </c>
      <c r="C1623" s="397">
        <v>57683.59</v>
      </c>
    </row>
    <row r="1624" spans="2:3" x14ac:dyDescent="0.25">
      <c r="B1624" s="293">
        <v>44614</v>
      </c>
      <c r="C1624" s="397">
        <v>57300.68</v>
      </c>
    </row>
    <row r="1625" spans="2:3" x14ac:dyDescent="0.25">
      <c r="B1625" s="293">
        <v>44615</v>
      </c>
      <c r="C1625" s="397">
        <v>57232.06</v>
      </c>
    </row>
    <row r="1626" spans="2:3" x14ac:dyDescent="0.25">
      <c r="B1626" s="293">
        <v>44616</v>
      </c>
      <c r="C1626" s="397">
        <v>54529.91</v>
      </c>
    </row>
    <row r="1627" spans="2:3" x14ac:dyDescent="0.25">
      <c r="B1627" s="293">
        <v>44617</v>
      </c>
      <c r="C1627" s="397">
        <v>55858.52</v>
      </c>
    </row>
    <row r="1628" spans="2:3" x14ac:dyDescent="0.25">
      <c r="B1628" s="293">
        <v>44620</v>
      </c>
      <c r="C1628" s="397">
        <v>56247.28</v>
      </c>
    </row>
    <row r="1629" spans="2:3" x14ac:dyDescent="0.25">
      <c r="B1629" s="293">
        <v>44622</v>
      </c>
      <c r="C1629" s="397">
        <v>55468.9</v>
      </c>
    </row>
    <row r="1630" spans="2:3" x14ac:dyDescent="0.25">
      <c r="B1630" s="293">
        <v>44623</v>
      </c>
      <c r="C1630" s="397">
        <v>55102.68</v>
      </c>
    </row>
    <row r="1631" spans="2:3" x14ac:dyDescent="0.25">
      <c r="B1631" s="293">
        <v>44624</v>
      </c>
      <c r="C1631" s="397">
        <v>54333.81</v>
      </c>
    </row>
    <row r="1632" spans="2:3" x14ac:dyDescent="0.25">
      <c r="B1632" s="293">
        <v>44627</v>
      </c>
      <c r="C1632" s="397">
        <v>52842.75</v>
      </c>
    </row>
    <row r="1633" spans="2:3" x14ac:dyDescent="0.25">
      <c r="B1633" s="293">
        <v>44628</v>
      </c>
      <c r="C1633" s="397">
        <v>53424.09</v>
      </c>
    </row>
    <row r="1634" spans="2:3" x14ac:dyDescent="0.25">
      <c r="B1634" s="293">
        <v>44629</v>
      </c>
      <c r="C1634" s="397">
        <v>54647.33</v>
      </c>
    </row>
    <row r="1635" spans="2:3" x14ac:dyDescent="0.25">
      <c r="B1635" s="293">
        <v>44630</v>
      </c>
      <c r="C1635" s="397">
        <v>55464.39</v>
      </c>
    </row>
    <row r="1636" spans="2:3" x14ac:dyDescent="0.25">
      <c r="B1636" s="293">
        <v>44631</v>
      </c>
      <c r="C1636" s="397">
        <v>55550.3</v>
      </c>
    </row>
    <row r="1637" spans="2:3" x14ac:dyDescent="0.25">
      <c r="B1637" s="293">
        <v>44634</v>
      </c>
      <c r="C1637" s="397">
        <v>56486.02</v>
      </c>
    </row>
    <row r="1638" spans="2:3" x14ac:dyDescent="0.25">
      <c r="B1638" s="293">
        <v>44635</v>
      </c>
      <c r="C1638" s="397">
        <v>55776.85</v>
      </c>
    </row>
    <row r="1639" spans="2:3" x14ac:dyDescent="0.25">
      <c r="B1639" s="293">
        <v>44636</v>
      </c>
      <c r="C1639" s="397">
        <v>56816.65</v>
      </c>
    </row>
    <row r="1640" spans="2:3" x14ac:dyDescent="0.25">
      <c r="B1640" s="293">
        <v>44637</v>
      </c>
      <c r="C1640" s="397">
        <v>57863.93</v>
      </c>
    </row>
    <row r="1641" spans="2:3" x14ac:dyDescent="0.25">
      <c r="B1641" s="293">
        <v>44641</v>
      </c>
      <c r="C1641" s="397">
        <v>57292.49</v>
      </c>
    </row>
    <row r="1642" spans="2:3" x14ac:dyDescent="0.25">
      <c r="B1642" s="293">
        <v>44642</v>
      </c>
      <c r="C1642" s="397">
        <v>57989.3</v>
      </c>
    </row>
    <row r="1643" spans="2:3" x14ac:dyDescent="0.25">
      <c r="B1643" s="293">
        <v>44643</v>
      </c>
      <c r="C1643" s="397">
        <v>57684.82</v>
      </c>
    </row>
    <row r="1644" spans="2:3" x14ac:dyDescent="0.25">
      <c r="B1644" s="293">
        <v>44644</v>
      </c>
      <c r="C1644" s="397">
        <v>57595.68</v>
      </c>
    </row>
    <row r="1645" spans="2:3" x14ac:dyDescent="0.25">
      <c r="B1645" s="293">
        <v>44645</v>
      </c>
      <c r="C1645" s="397">
        <v>57362.2</v>
      </c>
    </row>
    <row r="1646" spans="2:3" x14ac:dyDescent="0.25">
      <c r="B1646" s="293">
        <v>44648</v>
      </c>
      <c r="C1646" s="397">
        <v>57593.49</v>
      </c>
    </row>
    <row r="1647" spans="2:3" x14ac:dyDescent="0.25">
      <c r="B1647" s="293">
        <v>44649</v>
      </c>
      <c r="C1647" s="397">
        <v>57943.65</v>
      </c>
    </row>
    <row r="1648" spans="2:3" x14ac:dyDescent="0.25">
      <c r="B1648" s="293">
        <v>44650</v>
      </c>
      <c r="C1648" s="397">
        <v>58683.99</v>
      </c>
    </row>
    <row r="1649" spans="2:3" x14ac:dyDescent="0.25">
      <c r="B1649" s="293">
        <v>44651</v>
      </c>
      <c r="C1649" s="397">
        <v>58568.51</v>
      </c>
    </row>
    <row r="1650" spans="2:3" x14ac:dyDescent="0.25">
      <c r="B1650" s="293">
        <v>44652</v>
      </c>
      <c r="C1650" s="397">
        <v>59276.69</v>
      </c>
    </row>
    <row r="1651" spans="2:3" x14ac:dyDescent="0.25">
      <c r="B1651" s="293">
        <v>44655</v>
      </c>
      <c r="C1651" s="397">
        <v>60611.74</v>
      </c>
    </row>
    <row r="1652" spans="2:3" x14ac:dyDescent="0.25">
      <c r="B1652" s="293">
        <v>44656</v>
      </c>
      <c r="C1652" s="397">
        <v>60176.5</v>
      </c>
    </row>
    <row r="1653" spans="2:3" x14ac:dyDescent="0.25">
      <c r="B1653" s="293">
        <v>44657</v>
      </c>
      <c r="C1653" s="397">
        <v>59610.41</v>
      </c>
    </row>
    <row r="1654" spans="2:3" x14ac:dyDescent="0.25">
      <c r="B1654" s="293">
        <v>44658</v>
      </c>
      <c r="C1654" s="397">
        <v>59034.95</v>
      </c>
    </row>
    <row r="1655" spans="2:3" x14ac:dyDescent="0.25">
      <c r="B1655" s="293">
        <v>44659</v>
      </c>
      <c r="C1655" s="397">
        <v>59447.18</v>
      </c>
    </row>
    <row r="1656" spans="2:3" x14ac:dyDescent="0.25">
      <c r="B1656" s="293">
        <v>44662</v>
      </c>
      <c r="C1656" s="397">
        <v>58964.57</v>
      </c>
    </row>
    <row r="1657" spans="2:3" x14ac:dyDescent="0.25">
      <c r="B1657" s="293">
        <v>44663</v>
      </c>
      <c r="C1657" s="397">
        <v>58576.37</v>
      </c>
    </row>
    <row r="1658" spans="2:3" x14ac:dyDescent="0.25">
      <c r="B1658" s="293">
        <v>44664</v>
      </c>
      <c r="C1658" s="397">
        <v>58338.93</v>
      </c>
    </row>
    <row r="1659" spans="2:3" x14ac:dyDescent="0.25">
      <c r="B1659" s="293">
        <v>44669</v>
      </c>
      <c r="C1659" s="397">
        <v>57166.74</v>
      </c>
    </row>
    <row r="1660" spans="2:3" x14ac:dyDescent="0.25">
      <c r="B1660" s="293">
        <v>44670</v>
      </c>
      <c r="C1660" s="397">
        <v>56463.15</v>
      </c>
    </row>
    <row r="1661" spans="2:3" x14ac:dyDescent="0.25">
      <c r="B1661" s="293">
        <v>44671</v>
      </c>
      <c r="C1661" s="397">
        <v>57037.5</v>
      </c>
    </row>
    <row r="1662" spans="2:3" x14ac:dyDescent="0.25">
      <c r="B1662" s="293">
        <v>44672</v>
      </c>
      <c r="C1662" s="397">
        <v>57911.68</v>
      </c>
    </row>
    <row r="1663" spans="2:3" x14ac:dyDescent="0.25">
      <c r="B1663" s="293">
        <v>44673</v>
      </c>
      <c r="C1663" s="397">
        <v>57197.15</v>
      </c>
    </row>
    <row r="1664" spans="2:3" x14ac:dyDescent="0.25">
      <c r="B1664" s="293">
        <v>44676</v>
      </c>
      <c r="C1664" s="397">
        <v>56579.89</v>
      </c>
    </row>
    <row r="1665" spans="2:3" x14ac:dyDescent="0.25">
      <c r="B1665" s="293">
        <v>44677</v>
      </c>
      <c r="C1665" s="397">
        <v>57356.61</v>
      </c>
    </row>
    <row r="1666" spans="2:3" x14ac:dyDescent="0.25">
      <c r="B1666" s="293">
        <v>44678</v>
      </c>
      <c r="C1666" s="397">
        <v>56819.39</v>
      </c>
    </row>
    <row r="1667" spans="2:3" x14ac:dyDescent="0.25">
      <c r="B1667" s="293">
        <v>44679</v>
      </c>
      <c r="C1667" s="397">
        <v>57521.06</v>
      </c>
    </row>
    <row r="1668" spans="2:3" x14ac:dyDescent="0.25">
      <c r="B1668" s="293">
        <v>44680</v>
      </c>
      <c r="C1668" s="397">
        <v>57060.87</v>
      </c>
    </row>
    <row r="1669" spans="2:3" x14ac:dyDescent="0.25">
      <c r="B1669" s="293">
        <v>44683</v>
      </c>
      <c r="C1669" s="397">
        <v>56975.99</v>
      </c>
    </row>
    <row r="1670" spans="2:3" x14ac:dyDescent="0.25">
      <c r="B1670" s="293">
        <v>44685</v>
      </c>
      <c r="C1670" s="397">
        <v>55669.03</v>
      </c>
    </row>
    <row r="1671" spans="2:3" x14ac:dyDescent="0.25">
      <c r="B1671" s="293">
        <v>44686</v>
      </c>
      <c r="C1671" s="397">
        <v>55702.23</v>
      </c>
    </row>
    <row r="1672" spans="2:3" x14ac:dyDescent="0.25">
      <c r="B1672" s="293">
        <v>44687</v>
      </c>
      <c r="C1672" s="397">
        <v>54835.58</v>
      </c>
    </row>
    <row r="1673" spans="2:3" x14ac:dyDescent="0.25">
      <c r="B1673" s="293">
        <v>44690</v>
      </c>
      <c r="C1673" s="397">
        <v>54470.67</v>
      </c>
    </row>
    <row r="1674" spans="2:3" x14ac:dyDescent="0.25">
      <c r="B1674" s="293">
        <v>44691</v>
      </c>
      <c r="C1674" s="397">
        <v>54364.85</v>
      </c>
    </row>
    <row r="1675" spans="2:3" x14ac:dyDescent="0.25">
      <c r="B1675" s="293">
        <v>44692</v>
      </c>
      <c r="C1675" s="397">
        <v>54088.39</v>
      </c>
    </row>
    <row r="1676" spans="2:3" x14ac:dyDescent="0.25">
      <c r="B1676" s="293">
        <v>44693</v>
      </c>
      <c r="C1676" s="397">
        <v>52930.31</v>
      </c>
    </row>
    <row r="1677" spans="2:3" x14ac:dyDescent="0.25">
      <c r="B1677" s="293">
        <v>44694</v>
      </c>
      <c r="C1677" s="397">
        <v>52793.62</v>
      </c>
    </row>
    <row r="1678" spans="2:3" x14ac:dyDescent="0.25">
      <c r="B1678" s="293">
        <v>44697</v>
      </c>
      <c r="C1678" s="397">
        <v>52973.84</v>
      </c>
    </row>
    <row r="1679" spans="2:3" x14ac:dyDescent="0.25">
      <c r="B1679" s="293">
        <v>44698</v>
      </c>
      <c r="C1679" s="397">
        <v>54318.47</v>
      </c>
    </row>
    <row r="1680" spans="2:3" x14ac:dyDescent="0.25">
      <c r="B1680" s="293">
        <v>44699</v>
      </c>
      <c r="C1680" s="397">
        <v>54208.53</v>
      </c>
    </row>
    <row r="1681" spans="2:3" x14ac:dyDescent="0.25">
      <c r="B1681" s="293">
        <v>44700</v>
      </c>
      <c r="C1681" s="397">
        <v>52792.23</v>
      </c>
    </row>
    <row r="1682" spans="2:3" x14ac:dyDescent="0.25">
      <c r="B1682" s="293">
        <v>44701</v>
      </c>
      <c r="C1682" s="397">
        <v>54326.39</v>
      </c>
    </row>
    <row r="1683" spans="2:3" x14ac:dyDescent="0.25">
      <c r="B1683" s="293">
        <v>44704</v>
      </c>
      <c r="C1683" s="397">
        <v>54288.61</v>
      </c>
    </row>
    <row r="1684" spans="2:3" x14ac:dyDescent="0.25">
      <c r="B1684" s="293">
        <v>44705</v>
      </c>
      <c r="C1684" s="397">
        <v>54052.61</v>
      </c>
    </row>
    <row r="1685" spans="2:3" x14ac:dyDescent="0.25">
      <c r="B1685" s="293">
        <v>44706</v>
      </c>
      <c r="C1685" s="397">
        <v>53749.26</v>
      </c>
    </row>
    <row r="1686" spans="2:3" x14ac:dyDescent="0.25">
      <c r="B1686" s="293">
        <v>44707</v>
      </c>
      <c r="C1686" s="397">
        <v>54252.53</v>
      </c>
    </row>
    <row r="1687" spans="2:3" x14ac:dyDescent="0.25">
      <c r="B1687" s="293">
        <v>44708</v>
      </c>
      <c r="C1687" s="397">
        <v>54884.66</v>
      </c>
    </row>
    <row r="1688" spans="2:3" x14ac:dyDescent="0.25">
      <c r="B1688" s="293">
        <v>44711</v>
      </c>
      <c r="C1688" s="397">
        <v>55925.74</v>
      </c>
    </row>
    <row r="1689" spans="2:3" x14ac:dyDescent="0.25">
      <c r="B1689" s="293">
        <v>44712</v>
      </c>
      <c r="C1689" s="397">
        <v>55566.41</v>
      </c>
    </row>
    <row r="1690" spans="2:3" x14ac:dyDescent="0.25">
      <c r="B1690" s="293">
        <v>44713</v>
      </c>
      <c r="C1690" s="397">
        <v>55381.17</v>
      </c>
    </row>
    <row r="1691" spans="2:3" x14ac:dyDescent="0.25">
      <c r="B1691" s="293">
        <v>44714</v>
      </c>
      <c r="C1691" s="397">
        <v>55818.11</v>
      </c>
    </row>
    <row r="1692" spans="2:3" x14ac:dyDescent="0.25">
      <c r="B1692" s="293">
        <v>44715</v>
      </c>
      <c r="C1692" s="397">
        <v>55769.23</v>
      </c>
    </row>
    <row r="1693" spans="2:3" x14ac:dyDescent="0.25">
      <c r="B1693" s="293">
        <v>44718</v>
      </c>
      <c r="C1693" s="397">
        <v>55675.32</v>
      </c>
    </row>
    <row r="1694" spans="2:3" x14ac:dyDescent="0.25">
      <c r="B1694" s="293">
        <v>44719</v>
      </c>
      <c r="C1694" s="397">
        <v>55107.34</v>
      </c>
    </row>
    <row r="1695" spans="2:3" x14ac:dyDescent="0.25">
      <c r="B1695" s="293">
        <v>44720</v>
      </c>
      <c r="C1695" s="397">
        <v>54892.49</v>
      </c>
    </row>
    <row r="1696" spans="2:3" x14ac:dyDescent="0.25">
      <c r="B1696" s="293">
        <v>44721</v>
      </c>
      <c r="C1696" s="397">
        <v>55320.28</v>
      </c>
    </row>
    <row r="1697" spans="2:3" x14ac:dyDescent="0.25">
      <c r="B1697" s="293">
        <v>44722</v>
      </c>
      <c r="C1697" s="397">
        <v>54303.44</v>
      </c>
    </row>
    <row r="1698" spans="2:3" x14ac:dyDescent="0.25">
      <c r="B1698" s="293">
        <v>44725</v>
      </c>
      <c r="C1698" s="397">
        <v>52846.7</v>
      </c>
    </row>
    <row r="1699" spans="2:3" x14ac:dyDescent="0.25">
      <c r="B1699" s="293">
        <v>44726</v>
      </c>
      <c r="C1699" s="397">
        <v>52693.57</v>
      </c>
    </row>
    <row r="1700" spans="2:3" x14ac:dyDescent="0.25">
      <c r="B1700" s="293">
        <v>44727</v>
      </c>
      <c r="C1700" s="397">
        <v>52541.39</v>
      </c>
    </row>
    <row r="1701" spans="2:3" x14ac:dyDescent="0.25">
      <c r="B1701" s="293">
        <v>44728</v>
      </c>
      <c r="C1701" s="397">
        <v>51495.79</v>
      </c>
    </row>
    <row r="1702" spans="2:3" x14ac:dyDescent="0.25">
      <c r="B1702" s="293">
        <v>44729</v>
      </c>
      <c r="C1702" s="397">
        <v>51360.42</v>
      </c>
    </row>
    <row r="1703" spans="2:3" x14ac:dyDescent="0.25">
      <c r="B1703" s="293">
        <v>44732</v>
      </c>
      <c r="C1703" s="397">
        <v>51597.84</v>
      </c>
    </row>
    <row r="1704" spans="2:3" x14ac:dyDescent="0.25">
      <c r="B1704" s="293">
        <v>44733</v>
      </c>
      <c r="C1704" s="397">
        <v>52532.07</v>
      </c>
    </row>
    <row r="1705" spans="2:3" x14ac:dyDescent="0.25">
      <c r="B1705" s="293">
        <v>44734</v>
      </c>
      <c r="C1705" s="397">
        <v>51822.53</v>
      </c>
    </row>
    <row r="1706" spans="2:3" x14ac:dyDescent="0.25">
      <c r="B1706" s="293">
        <v>44735</v>
      </c>
      <c r="C1706" s="397">
        <v>52265.72</v>
      </c>
    </row>
    <row r="1707" spans="2:3" x14ac:dyDescent="0.25">
      <c r="B1707" s="293">
        <v>44736</v>
      </c>
      <c r="C1707" s="397">
        <v>52727.98</v>
      </c>
    </row>
    <row r="1708" spans="2:3" x14ac:dyDescent="0.25">
      <c r="B1708" s="293">
        <v>44739</v>
      </c>
      <c r="C1708" s="397">
        <v>53161.279999999999</v>
      </c>
    </row>
    <row r="1709" spans="2:3" x14ac:dyDescent="0.25">
      <c r="B1709" s="293">
        <v>44740</v>
      </c>
      <c r="C1709" s="397">
        <v>53177.45</v>
      </c>
    </row>
    <row r="1710" spans="2:3" x14ac:dyDescent="0.25">
      <c r="B1710" s="293">
        <v>44741</v>
      </c>
      <c r="C1710" s="397">
        <v>53026.97</v>
      </c>
    </row>
    <row r="1711" spans="2:3" x14ac:dyDescent="0.25">
      <c r="B1711" s="293">
        <v>44742</v>
      </c>
      <c r="C1711" s="397">
        <v>53018.94</v>
      </c>
    </row>
    <row r="1712" spans="2:3" x14ac:dyDescent="0.25">
      <c r="B1712" s="293">
        <v>44743</v>
      </c>
      <c r="C1712" s="397">
        <v>52907.93</v>
      </c>
    </row>
    <row r="1713" spans="2:3" x14ac:dyDescent="0.25">
      <c r="B1713" s="293">
        <v>44746</v>
      </c>
      <c r="C1713" s="397">
        <v>53234.77</v>
      </c>
    </row>
    <row r="1714" spans="2:3" x14ac:dyDescent="0.25">
      <c r="B1714" s="293">
        <v>44747</v>
      </c>
      <c r="C1714" s="397">
        <v>53134.35</v>
      </c>
    </row>
    <row r="1715" spans="2:3" x14ac:dyDescent="0.25">
      <c r="B1715" s="293">
        <v>44748</v>
      </c>
      <c r="C1715" s="397">
        <v>53750.97</v>
      </c>
    </row>
    <row r="1716" spans="2:3" x14ac:dyDescent="0.25">
      <c r="B1716" s="293">
        <v>44749</v>
      </c>
      <c r="C1716" s="397">
        <v>54178.46</v>
      </c>
    </row>
    <row r="1717" spans="2:3" x14ac:dyDescent="0.25">
      <c r="B1717" s="293">
        <v>44750</v>
      </c>
      <c r="C1717" s="397">
        <v>54481.84</v>
      </c>
    </row>
    <row r="1718" spans="2:3" x14ac:dyDescent="0.25">
      <c r="B1718" s="293">
        <v>44753</v>
      </c>
      <c r="C1718" s="397">
        <v>54395.23</v>
      </c>
    </row>
    <row r="1719" spans="2:3" x14ac:dyDescent="0.25">
      <c r="B1719" s="293">
        <v>44754</v>
      </c>
      <c r="C1719" s="397">
        <v>53886.61</v>
      </c>
    </row>
    <row r="1720" spans="2:3" x14ac:dyDescent="0.25">
      <c r="B1720" s="293">
        <v>44755</v>
      </c>
      <c r="C1720" s="397">
        <v>53514.15</v>
      </c>
    </row>
    <row r="1721" spans="2:3" x14ac:dyDescent="0.25">
      <c r="B1721" s="293">
        <v>44756</v>
      </c>
      <c r="C1721" s="397">
        <v>53416.15</v>
      </c>
    </row>
    <row r="1722" spans="2:3" x14ac:dyDescent="0.25">
      <c r="B1722" s="293">
        <v>44757</v>
      </c>
      <c r="C1722" s="397">
        <v>53760.78</v>
      </c>
    </row>
    <row r="1723" spans="2:3" x14ac:dyDescent="0.25">
      <c r="B1723" s="293">
        <v>44760</v>
      </c>
      <c r="C1723" s="397">
        <v>54521.15</v>
      </c>
    </row>
    <row r="1724" spans="2:3" x14ac:dyDescent="0.25">
      <c r="B1724" s="293">
        <v>44761</v>
      </c>
      <c r="C1724" s="397">
        <v>54767.62</v>
      </c>
    </row>
    <row r="1725" spans="2:3" x14ac:dyDescent="0.25">
      <c r="B1725" s="293">
        <v>44762</v>
      </c>
      <c r="C1725" s="397">
        <v>55397.53</v>
      </c>
    </row>
    <row r="1726" spans="2:3" x14ac:dyDescent="0.25">
      <c r="B1726" s="293">
        <v>44763</v>
      </c>
      <c r="C1726" s="397">
        <v>55681.95</v>
      </c>
    </row>
    <row r="1727" spans="2:3" x14ac:dyDescent="0.25">
      <c r="B1727" s="293">
        <v>44764</v>
      </c>
      <c r="C1727" s="397">
        <v>56072.23</v>
      </c>
    </row>
    <row r="1728" spans="2:3" x14ac:dyDescent="0.25">
      <c r="B1728" s="293">
        <v>44767</v>
      </c>
      <c r="C1728" s="397">
        <v>55766.22</v>
      </c>
    </row>
    <row r="1729" spans="2:3" x14ac:dyDescent="0.25">
      <c r="B1729" s="293">
        <v>44768</v>
      </c>
      <c r="C1729" s="397">
        <v>55268.49</v>
      </c>
    </row>
    <row r="1730" spans="2:3" x14ac:dyDescent="0.25">
      <c r="B1730" s="293">
        <v>44769</v>
      </c>
      <c r="C1730" s="397">
        <v>55816.32</v>
      </c>
    </row>
    <row r="1731" spans="2:3" x14ac:dyDescent="0.25">
      <c r="B1731" s="293">
        <v>44770</v>
      </c>
      <c r="C1731" s="397">
        <v>56857.79</v>
      </c>
    </row>
    <row r="1732" spans="2:3" x14ac:dyDescent="0.25">
      <c r="B1732" s="293">
        <v>44771</v>
      </c>
      <c r="C1732" s="397">
        <v>57570.25</v>
      </c>
    </row>
    <row r="1733" spans="2:3" x14ac:dyDescent="0.25">
      <c r="B1733" s="293">
        <v>44774</v>
      </c>
      <c r="C1733" s="397">
        <v>58115.5</v>
      </c>
    </row>
    <row r="1734" spans="2:3" x14ac:dyDescent="0.25">
      <c r="B1734" s="293">
        <v>44775</v>
      </c>
      <c r="C1734" s="397">
        <v>58136.36</v>
      </c>
    </row>
    <row r="1735" spans="2:3" x14ac:dyDescent="0.25">
      <c r="B1735" s="293">
        <v>44776</v>
      </c>
      <c r="C1735" s="397">
        <v>58350.53</v>
      </c>
    </row>
    <row r="1736" spans="2:3" x14ac:dyDescent="0.25">
      <c r="B1736" s="293">
        <v>44777</v>
      </c>
      <c r="C1736" s="397">
        <v>58298.8</v>
      </c>
    </row>
    <row r="1737" spans="2:3" x14ac:dyDescent="0.25">
      <c r="B1737" s="293">
        <v>44778</v>
      </c>
      <c r="C1737" s="397">
        <v>58387.93</v>
      </c>
    </row>
    <row r="1738" spans="2:3" x14ac:dyDescent="0.25">
      <c r="B1738" s="293">
        <v>44781</v>
      </c>
      <c r="C1738" s="397">
        <v>58853.07</v>
      </c>
    </row>
    <row r="1739" spans="2:3" x14ac:dyDescent="0.25">
      <c r="B1739" s="293">
        <v>44783</v>
      </c>
      <c r="C1739" s="397">
        <v>58817.29</v>
      </c>
    </row>
    <row r="1740" spans="2:3" x14ac:dyDescent="0.25">
      <c r="B1740" s="293">
        <v>44784</v>
      </c>
      <c r="C1740" s="397">
        <v>59332.6</v>
      </c>
    </row>
    <row r="1741" spans="2:3" x14ac:dyDescent="0.25">
      <c r="B1741" s="293">
        <v>44785</v>
      </c>
      <c r="C1741" s="397">
        <v>59462.78</v>
      </c>
    </row>
    <row r="1742" spans="2:3" x14ac:dyDescent="0.25">
      <c r="B1742" s="293">
        <v>44789</v>
      </c>
      <c r="C1742" s="397">
        <v>59842.21</v>
      </c>
    </row>
    <row r="1743" spans="2:3" x14ac:dyDescent="0.25">
      <c r="B1743" s="293">
        <v>44790</v>
      </c>
      <c r="C1743" s="397">
        <v>60260.13</v>
      </c>
    </row>
    <row r="1744" spans="2:3" x14ac:dyDescent="0.25">
      <c r="B1744" s="293">
        <v>44791</v>
      </c>
      <c r="C1744" s="397">
        <v>60298</v>
      </c>
    </row>
    <row r="1745" spans="2:3" x14ac:dyDescent="0.25">
      <c r="B1745" s="293">
        <v>44792</v>
      </c>
      <c r="C1745" s="397">
        <v>59646.15</v>
      </c>
    </row>
    <row r="1746" spans="2:3" x14ac:dyDescent="0.25">
      <c r="B1746" s="293">
        <v>44795</v>
      </c>
      <c r="C1746" s="397">
        <v>58773.87</v>
      </c>
    </row>
    <row r="1747" spans="2:3" x14ac:dyDescent="0.25">
      <c r="B1747" s="293">
        <v>44796</v>
      </c>
      <c r="C1747" s="397">
        <v>59031.3</v>
      </c>
    </row>
    <row r="1748" spans="2:3" x14ac:dyDescent="0.25">
      <c r="B1748" s="293">
        <v>44797</v>
      </c>
      <c r="C1748" s="397">
        <v>59085.43</v>
      </c>
    </row>
    <row r="1749" spans="2:3" x14ac:dyDescent="0.25">
      <c r="B1749" s="293">
        <v>44798</v>
      </c>
      <c r="C1749" s="397">
        <v>58774.720000000001</v>
      </c>
    </row>
    <row r="1750" spans="2:3" x14ac:dyDescent="0.25">
      <c r="B1750" s="293">
        <v>44799</v>
      </c>
      <c r="C1750" s="397">
        <v>58833.87</v>
      </c>
    </row>
    <row r="1751" spans="2:3" x14ac:dyDescent="0.25">
      <c r="B1751" s="293">
        <v>44802</v>
      </c>
      <c r="C1751" s="397">
        <v>57972.62</v>
      </c>
    </row>
    <row r="1752" spans="2:3" x14ac:dyDescent="0.25">
      <c r="B1752" s="293">
        <v>44803</v>
      </c>
      <c r="C1752" s="397">
        <v>59537.07</v>
      </c>
    </row>
    <row r="1753" spans="2:3" x14ac:dyDescent="0.25">
      <c r="B1753" s="293">
        <v>44805</v>
      </c>
      <c r="C1753" s="397">
        <v>58766.59</v>
      </c>
    </row>
    <row r="1754" spans="2:3" x14ac:dyDescent="0.25">
      <c r="B1754" s="293">
        <v>44806</v>
      </c>
      <c r="C1754" s="397">
        <v>58803.33</v>
      </c>
    </row>
    <row r="1755" spans="2:3" x14ac:dyDescent="0.25">
      <c r="B1755" s="293">
        <v>44809</v>
      </c>
      <c r="C1755" s="397">
        <v>59245.98</v>
      </c>
    </row>
    <row r="1756" spans="2:3" x14ac:dyDescent="0.25">
      <c r="B1756" s="293">
        <v>44810</v>
      </c>
      <c r="C1756" s="397">
        <v>59196.99</v>
      </c>
    </row>
    <row r="1757" spans="2:3" x14ac:dyDescent="0.25">
      <c r="B1757" s="293">
        <v>44811</v>
      </c>
      <c r="C1757" s="397">
        <v>59028.91</v>
      </c>
    </row>
    <row r="1758" spans="2:3" x14ac:dyDescent="0.25">
      <c r="B1758" s="293">
        <v>44812</v>
      </c>
      <c r="C1758" s="397">
        <v>59688.22</v>
      </c>
    </row>
    <row r="1759" spans="2:3" x14ac:dyDescent="0.25">
      <c r="B1759" s="293">
        <v>44813</v>
      </c>
      <c r="C1759" s="397">
        <v>59793.14</v>
      </c>
    </row>
    <row r="1760" spans="2:3" x14ac:dyDescent="0.25">
      <c r="B1760" s="293">
        <v>44816</v>
      </c>
      <c r="C1760" s="397">
        <v>60115.13</v>
      </c>
    </row>
    <row r="1761" spans="2:3" x14ac:dyDescent="0.25">
      <c r="B1761" s="293">
        <v>44817</v>
      </c>
      <c r="C1761" s="397">
        <v>60571.08</v>
      </c>
    </row>
    <row r="1762" spans="2:3" x14ac:dyDescent="0.25">
      <c r="B1762" s="293">
        <v>44818</v>
      </c>
      <c r="C1762" s="397">
        <v>60346.97</v>
      </c>
    </row>
    <row r="1763" spans="2:3" x14ac:dyDescent="0.25">
      <c r="B1763" s="293">
        <v>44819</v>
      </c>
      <c r="C1763" s="397">
        <v>59934.01</v>
      </c>
    </row>
    <row r="1764" spans="2:3" x14ac:dyDescent="0.25">
      <c r="B1764" s="293">
        <v>44820</v>
      </c>
      <c r="C1764" s="397">
        <v>58840.79</v>
      </c>
    </row>
    <row r="1765" spans="2:3" x14ac:dyDescent="0.25">
      <c r="B1765" s="293">
        <v>44823</v>
      </c>
      <c r="C1765" s="397">
        <v>59141.23</v>
      </c>
    </row>
    <row r="1766" spans="2:3" x14ac:dyDescent="0.25">
      <c r="B1766" s="293">
        <v>44824</v>
      </c>
      <c r="C1766" s="397">
        <v>59719.74</v>
      </c>
    </row>
    <row r="1767" spans="2:3" x14ac:dyDescent="0.25">
      <c r="B1767" s="293">
        <v>44825</v>
      </c>
      <c r="C1767" s="397">
        <v>59456.78</v>
      </c>
    </row>
    <row r="1768" spans="2:3" x14ac:dyDescent="0.25">
      <c r="B1768" s="293">
        <v>44826</v>
      </c>
      <c r="C1768" s="397">
        <v>59119.72</v>
      </c>
    </row>
    <row r="1769" spans="2:3" x14ac:dyDescent="0.25">
      <c r="B1769" s="293">
        <v>44827</v>
      </c>
      <c r="C1769" s="397">
        <v>58098.92</v>
      </c>
    </row>
    <row r="1770" spans="2:3" x14ac:dyDescent="0.25">
      <c r="B1770" s="293">
        <v>44830</v>
      </c>
      <c r="C1770" s="397">
        <v>57145.22</v>
      </c>
    </row>
    <row r="1771" spans="2:3" x14ac:dyDescent="0.25">
      <c r="B1771" s="293">
        <v>44831</v>
      </c>
      <c r="C1771" s="397">
        <v>57107.519999999997</v>
      </c>
    </row>
    <row r="1772" spans="2:3" x14ac:dyDescent="0.25">
      <c r="B1772" s="293">
        <v>44832</v>
      </c>
      <c r="C1772" s="397">
        <v>56598.28</v>
      </c>
    </row>
    <row r="1773" spans="2:3" x14ac:dyDescent="0.25">
      <c r="B1773" s="293">
        <v>44833</v>
      </c>
      <c r="C1773" s="397">
        <v>56409.96</v>
      </c>
    </row>
    <row r="1774" spans="2:3" x14ac:dyDescent="0.25">
      <c r="B1774" s="293">
        <v>44834</v>
      </c>
      <c r="C1774" s="397">
        <v>57426.92</v>
      </c>
    </row>
    <row r="1775" spans="2:3" x14ac:dyDescent="0.25">
      <c r="B1775" s="293">
        <v>44837</v>
      </c>
      <c r="C1775" s="397">
        <v>56788.81</v>
      </c>
    </row>
    <row r="1776" spans="2:3" x14ac:dyDescent="0.25">
      <c r="B1776" s="293">
        <v>44838</v>
      </c>
      <c r="C1776" s="397">
        <v>58065.47</v>
      </c>
    </row>
    <row r="1777" spans="2:3" x14ac:dyDescent="0.25">
      <c r="B1777" s="293">
        <v>44840</v>
      </c>
      <c r="C1777" s="397">
        <v>58222.1</v>
      </c>
    </row>
    <row r="1778" spans="2:3" x14ac:dyDescent="0.25">
      <c r="B1778" s="293">
        <v>44841</v>
      </c>
      <c r="C1778" s="397">
        <v>58191.29</v>
      </c>
    </row>
    <row r="1779" spans="2:3" x14ac:dyDescent="0.25">
      <c r="B1779" s="293">
        <v>44844</v>
      </c>
      <c r="C1779" s="397">
        <v>57991.11</v>
      </c>
    </row>
    <row r="1780" spans="2:3" x14ac:dyDescent="0.25">
      <c r="B1780" s="293">
        <v>44845</v>
      </c>
      <c r="C1780" s="397">
        <v>57147.32</v>
      </c>
    </row>
    <row r="1781" spans="2:3" x14ac:dyDescent="0.25">
      <c r="B1781" s="293">
        <v>44846</v>
      </c>
      <c r="C1781" s="397">
        <v>57625.91</v>
      </c>
    </row>
    <row r="1782" spans="2:3" x14ac:dyDescent="0.25">
      <c r="B1782" s="293">
        <v>44847</v>
      </c>
      <c r="C1782" s="397">
        <v>57235.33</v>
      </c>
    </row>
    <row r="1783" spans="2:3" x14ac:dyDescent="0.25">
      <c r="B1783" s="293">
        <v>44848</v>
      </c>
      <c r="C1783" s="397">
        <v>57919.97</v>
      </c>
    </row>
    <row r="1784" spans="2:3" x14ac:dyDescent="0.25">
      <c r="B1784" s="293">
        <v>44851</v>
      </c>
      <c r="C1784" s="397">
        <v>58410.98</v>
      </c>
    </row>
    <row r="1785" spans="2:3" x14ac:dyDescent="0.25">
      <c r="B1785" s="293">
        <v>44852</v>
      </c>
      <c r="C1785" s="397">
        <v>58960.6</v>
      </c>
    </row>
    <row r="1786" spans="2:3" x14ac:dyDescent="0.25">
      <c r="B1786" s="293">
        <v>44853</v>
      </c>
      <c r="C1786" s="397">
        <v>59107.19</v>
      </c>
    </row>
    <row r="1787" spans="2:3" x14ac:dyDescent="0.25">
      <c r="B1787" s="293">
        <v>44854</v>
      </c>
      <c r="C1787" s="397">
        <v>59202.9</v>
      </c>
    </row>
    <row r="1788" spans="2:3" x14ac:dyDescent="0.25">
      <c r="B1788" s="293">
        <v>44855</v>
      </c>
      <c r="C1788" s="397">
        <v>59307.15</v>
      </c>
    </row>
    <row r="1789" spans="2:3" x14ac:dyDescent="0.25">
      <c r="B1789" s="293">
        <v>44858</v>
      </c>
      <c r="C1789" s="397">
        <v>59831.66</v>
      </c>
    </row>
    <row r="1790" spans="2:3" x14ac:dyDescent="0.25">
      <c r="B1790" s="293">
        <v>44859</v>
      </c>
      <c r="C1790" s="397">
        <v>59543.96</v>
      </c>
    </row>
    <row r="1791" spans="2:3" x14ac:dyDescent="0.25">
      <c r="B1791" s="293">
        <v>44861</v>
      </c>
      <c r="C1791" s="397">
        <v>59756.84</v>
      </c>
    </row>
    <row r="1792" spans="2:3" x14ac:dyDescent="0.25">
      <c r="B1792" s="293">
        <v>44862</v>
      </c>
      <c r="C1792" s="397">
        <v>59959.85</v>
      </c>
    </row>
    <row r="1793" spans="2:3" x14ac:dyDescent="0.25">
      <c r="B1793" s="293">
        <v>44865</v>
      </c>
      <c r="C1793" s="397">
        <v>60746.59</v>
      </c>
    </row>
    <row r="1794" spans="2:3" x14ac:dyDescent="0.25">
      <c r="B1794" s="293">
        <v>44866</v>
      </c>
      <c r="C1794" s="397">
        <v>61121.35</v>
      </c>
    </row>
    <row r="1795" spans="2:3" x14ac:dyDescent="0.25">
      <c r="B1795" s="293">
        <v>44867</v>
      </c>
      <c r="C1795" s="397">
        <v>60906.09</v>
      </c>
    </row>
    <row r="1796" spans="2:3" x14ac:dyDescent="0.25">
      <c r="B1796" s="293">
        <v>44868</v>
      </c>
      <c r="C1796" s="397">
        <v>60836.41</v>
      </c>
    </row>
    <row r="1797" spans="2:3" x14ac:dyDescent="0.25">
      <c r="B1797" s="293">
        <v>44869</v>
      </c>
      <c r="C1797" s="397">
        <v>60950.36</v>
      </c>
    </row>
    <row r="1798" spans="2:3" x14ac:dyDescent="0.25">
      <c r="B1798" s="293">
        <v>44872</v>
      </c>
      <c r="C1798" s="397">
        <v>61185.15</v>
      </c>
    </row>
    <row r="1799" spans="2:3" x14ac:dyDescent="0.25">
      <c r="B1799" s="293">
        <v>44874</v>
      </c>
      <c r="C1799" s="397">
        <v>61033.55</v>
      </c>
    </row>
    <row r="1800" spans="2:3" x14ac:dyDescent="0.25">
      <c r="B1800" s="293">
        <v>44875</v>
      </c>
      <c r="C1800" s="397">
        <v>60613.7</v>
      </c>
    </row>
    <row r="1801" spans="2:3" x14ac:dyDescent="0.25">
      <c r="B1801" s="293">
        <v>44876</v>
      </c>
      <c r="C1801" s="397">
        <v>61795.040000000001</v>
      </c>
    </row>
    <row r="1802" spans="2:3" x14ac:dyDescent="0.25">
      <c r="B1802" s="293">
        <v>44879</v>
      </c>
      <c r="C1802" s="397">
        <v>61624.15</v>
      </c>
    </row>
    <row r="1803" spans="2:3" x14ac:dyDescent="0.25">
      <c r="B1803" s="293">
        <v>44880</v>
      </c>
      <c r="C1803" s="397">
        <v>61872.99</v>
      </c>
    </row>
    <row r="1804" spans="2:3" x14ac:dyDescent="0.25">
      <c r="B1804" s="293">
        <v>44881</v>
      </c>
      <c r="C1804" s="397">
        <v>61980.72</v>
      </c>
    </row>
    <row r="1805" spans="2:3" x14ac:dyDescent="0.25">
      <c r="B1805" s="293">
        <v>44882</v>
      </c>
      <c r="C1805" s="397">
        <v>61750.6</v>
      </c>
    </row>
    <row r="1806" spans="2:3" x14ac:dyDescent="0.25">
      <c r="B1806" s="293">
        <v>44883</v>
      </c>
      <c r="C1806" s="397">
        <v>61663.48</v>
      </c>
    </row>
    <row r="1807" spans="2:3" x14ac:dyDescent="0.25">
      <c r="B1807" s="293">
        <v>44886</v>
      </c>
      <c r="C1807" s="397">
        <v>61144.84</v>
      </c>
    </row>
    <row r="1808" spans="2:3" x14ac:dyDescent="0.25">
      <c r="B1808" s="293">
        <v>44887</v>
      </c>
      <c r="C1808" s="397">
        <v>61418.96</v>
      </c>
    </row>
    <row r="1809" spans="2:3" x14ac:dyDescent="0.25">
      <c r="B1809" s="293">
        <v>44888</v>
      </c>
      <c r="C1809" s="397">
        <v>61510.58</v>
      </c>
    </row>
    <row r="1810" spans="2:3" x14ac:dyDescent="0.25">
      <c r="B1810" s="293">
        <v>44889</v>
      </c>
      <c r="C1810" s="397">
        <v>62272.68</v>
      </c>
    </row>
    <row r="1811" spans="2:3" x14ac:dyDescent="0.25">
      <c r="B1811" s="293">
        <v>44890</v>
      </c>
      <c r="C1811" s="397">
        <v>62293.64</v>
      </c>
    </row>
    <row r="1812" spans="2:3" x14ac:dyDescent="0.25">
      <c r="B1812" s="293">
        <v>44893</v>
      </c>
      <c r="C1812" s="397">
        <v>62504.800000000003</v>
      </c>
    </row>
    <row r="1813" spans="2:3" x14ac:dyDescent="0.25">
      <c r="B1813" s="293">
        <v>44894</v>
      </c>
      <c r="C1813" s="397">
        <v>62681.84</v>
      </c>
    </row>
    <row r="1814" spans="2:3" x14ac:dyDescent="0.25">
      <c r="B1814" s="293">
        <v>44895</v>
      </c>
      <c r="C1814" s="397">
        <v>63099.65</v>
      </c>
    </row>
    <row r="1815" spans="2:3" x14ac:dyDescent="0.25">
      <c r="B1815" s="293">
        <v>44896</v>
      </c>
      <c r="C1815" s="397">
        <v>63284.19</v>
      </c>
    </row>
    <row r="1816" spans="2:3" x14ac:dyDescent="0.25">
      <c r="B1816" s="293">
        <v>44897</v>
      </c>
      <c r="C1816" s="397">
        <v>62868.5</v>
      </c>
    </row>
    <row r="1817" spans="2:3" x14ac:dyDescent="0.25">
      <c r="B1817" s="293">
        <v>44900</v>
      </c>
      <c r="C1817" s="397">
        <v>62834.6</v>
      </c>
    </row>
    <row r="1818" spans="2:3" x14ac:dyDescent="0.25">
      <c r="B1818" s="293">
        <v>44901</v>
      </c>
      <c r="C1818" s="397">
        <v>62626.36</v>
      </c>
    </row>
    <row r="1819" spans="2:3" x14ac:dyDescent="0.25">
      <c r="B1819" s="293">
        <v>44902</v>
      </c>
      <c r="C1819" s="397">
        <v>62410.68</v>
      </c>
    </row>
    <row r="1820" spans="2:3" x14ac:dyDescent="0.25">
      <c r="B1820" s="293">
        <v>44903</v>
      </c>
      <c r="C1820" s="397">
        <v>62570.68</v>
      </c>
    </row>
    <row r="1821" spans="2:3" x14ac:dyDescent="0.25">
      <c r="B1821" s="293">
        <v>44904</v>
      </c>
      <c r="C1821" s="397">
        <v>62181.67</v>
      </c>
    </row>
    <row r="1822" spans="2:3" x14ac:dyDescent="0.25">
      <c r="B1822" s="293">
        <v>44907</v>
      </c>
      <c r="C1822" s="397">
        <v>62130.57</v>
      </c>
    </row>
    <row r="1823" spans="2:3" x14ac:dyDescent="0.25">
      <c r="B1823" s="293">
        <v>44908</v>
      </c>
      <c r="C1823" s="397">
        <v>62533.3</v>
      </c>
    </row>
    <row r="1824" spans="2:3" x14ac:dyDescent="0.25">
      <c r="B1824" s="293">
        <v>44909</v>
      </c>
      <c r="C1824" s="397">
        <v>62677.91</v>
      </c>
    </row>
    <row r="1825" spans="2:3" x14ac:dyDescent="0.25">
      <c r="B1825" s="293">
        <v>44910</v>
      </c>
      <c r="C1825" s="397">
        <v>61799.03</v>
      </c>
    </row>
    <row r="1826" spans="2:3" x14ac:dyDescent="0.25">
      <c r="B1826" s="293">
        <v>44911</v>
      </c>
      <c r="C1826" s="397">
        <v>61337.81</v>
      </c>
    </row>
    <row r="1827" spans="2:3" x14ac:dyDescent="0.25">
      <c r="B1827" s="293">
        <v>44914</v>
      </c>
      <c r="C1827" s="397">
        <v>61806.19</v>
      </c>
    </row>
    <row r="1828" spans="2:3" x14ac:dyDescent="0.25">
      <c r="B1828" s="293">
        <v>44915</v>
      </c>
      <c r="C1828" s="397">
        <v>61702.29</v>
      </c>
    </row>
    <row r="1829" spans="2:3" x14ac:dyDescent="0.25">
      <c r="B1829" s="293">
        <v>44916</v>
      </c>
      <c r="C1829" s="397">
        <v>61067.24</v>
      </c>
    </row>
    <row r="1830" spans="2:3" x14ac:dyDescent="0.25">
      <c r="B1830" s="293">
        <v>44917</v>
      </c>
      <c r="C1830" s="397">
        <v>60826.22</v>
      </c>
    </row>
    <row r="1831" spans="2:3" x14ac:dyDescent="0.25">
      <c r="B1831" s="293">
        <v>44918</v>
      </c>
      <c r="C1831" s="397">
        <v>59845.29</v>
      </c>
    </row>
    <row r="1832" spans="2:3" x14ac:dyDescent="0.25">
      <c r="B1832" s="293">
        <v>44921</v>
      </c>
      <c r="C1832" s="397">
        <v>60566.42</v>
      </c>
    </row>
    <row r="1833" spans="2:3" x14ac:dyDescent="0.25">
      <c r="B1833" s="293">
        <v>44922</v>
      </c>
      <c r="C1833" s="397">
        <v>60927.43</v>
      </c>
    </row>
    <row r="1834" spans="2:3" x14ac:dyDescent="0.25">
      <c r="B1834" s="293">
        <v>44923</v>
      </c>
      <c r="C1834" s="397">
        <v>60910.28</v>
      </c>
    </row>
    <row r="1835" spans="2:3" x14ac:dyDescent="0.25">
      <c r="B1835" s="293">
        <v>44924</v>
      </c>
      <c r="C1835" s="397">
        <v>61133.88</v>
      </c>
    </row>
    <row r="1836" spans="2:3" x14ac:dyDescent="0.25">
      <c r="B1836" s="293">
        <v>44925</v>
      </c>
      <c r="C1836" s="397">
        <v>60840.74</v>
      </c>
    </row>
    <row r="1837" spans="2:3" x14ac:dyDescent="0.25">
      <c r="B1837" s="293">
        <v>44928</v>
      </c>
      <c r="C1837" s="397">
        <v>61167.79</v>
      </c>
    </row>
    <row r="1838" spans="2:3" x14ac:dyDescent="0.25">
      <c r="B1838" s="293">
        <v>44929</v>
      </c>
      <c r="C1838" s="397">
        <v>61294.2</v>
      </c>
    </row>
    <row r="1839" spans="2:3" x14ac:dyDescent="0.25">
      <c r="B1839" s="293">
        <v>44930</v>
      </c>
      <c r="C1839" s="397">
        <v>60657.45</v>
      </c>
    </row>
    <row r="1840" spans="2:3" x14ac:dyDescent="0.25">
      <c r="B1840" s="293">
        <v>44931</v>
      </c>
      <c r="C1840" s="397">
        <v>60353.27</v>
      </c>
    </row>
    <row r="1841" spans="2:3" x14ac:dyDescent="0.25">
      <c r="B1841" s="293">
        <v>44932</v>
      </c>
      <c r="C1841" s="397">
        <v>59900.37</v>
      </c>
    </row>
    <row r="1842" spans="2:3" x14ac:dyDescent="0.25">
      <c r="B1842" s="293">
        <v>44935</v>
      </c>
      <c r="C1842" s="397">
        <v>60747.31</v>
      </c>
    </row>
    <row r="1843" spans="2:3" x14ac:dyDescent="0.25">
      <c r="B1843" s="293">
        <v>44936</v>
      </c>
      <c r="C1843" s="397">
        <v>60115.48</v>
      </c>
    </row>
    <row r="1844" spans="2:3" x14ac:dyDescent="0.25">
      <c r="B1844" s="293">
        <v>44937</v>
      </c>
      <c r="C1844" s="397">
        <v>60105.5</v>
      </c>
    </row>
    <row r="1845" spans="2:3" x14ac:dyDescent="0.25">
      <c r="B1845" s="293">
        <v>44938</v>
      </c>
      <c r="C1845" s="397">
        <v>59958.03</v>
      </c>
    </row>
    <row r="1846" spans="2:3" x14ac:dyDescent="0.25">
      <c r="B1846" s="293">
        <v>44939</v>
      </c>
      <c r="C1846" s="397">
        <v>60261.18</v>
      </c>
    </row>
    <row r="1847" spans="2:3" x14ac:dyDescent="0.25">
      <c r="B1847" s="293">
        <v>44942</v>
      </c>
      <c r="C1847" s="397">
        <v>60092.97</v>
      </c>
    </row>
    <row r="1848" spans="2:3" x14ac:dyDescent="0.25">
      <c r="B1848" s="293">
        <v>44943</v>
      </c>
      <c r="C1848" s="397">
        <v>60655.72</v>
      </c>
    </row>
    <row r="1849" spans="2:3" x14ac:dyDescent="0.25">
      <c r="B1849" s="293">
        <v>44944</v>
      </c>
      <c r="C1849" s="397">
        <v>61045.74</v>
      </c>
    </row>
    <row r="1850" spans="2:3" x14ac:dyDescent="0.25">
      <c r="B1850" s="293">
        <v>44945</v>
      </c>
      <c r="C1850" s="397">
        <v>60858.43</v>
      </c>
    </row>
    <row r="1851" spans="2:3" x14ac:dyDescent="0.25">
      <c r="B1851" s="293">
        <v>44946</v>
      </c>
      <c r="C1851" s="397">
        <v>60621.77</v>
      </c>
    </row>
    <row r="1852" spans="2:3" x14ac:dyDescent="0.25">
      <c r="B1852" s="293">
        <v>44949</v>
      </c>
      <c r="C1852" s="397">
        <v>60941.67</v>
      </c>
    </row>
    <row r="1853" spans="2:3" x14ac:dyDescent="0.25">
      <c r="B1853" s="293">
        <v>44950</v>
      </c>
      <c r="C1853" s="397">
        <v>60978.75</v>
      </c>
    </row>
    <row r="1854" spans="2:3" x14ac:dyDescent="0.25">
      <c r="B1854" s="293">
        <v>44951</v>
      </c>
      <c r="C1854" s="397">
        <v>60205.06</v>
      </c>
    </row>
    <row r="1855" spans="2:3" x14ac:dyDescent="0.25">
      <c r="B1855" s="293">
        <v>44953</v>
      </c>
      <c r="C1855" s="397">
        <v>59330.9</v>
      </c>
    </row>
    <row r="1856" spans="2:3" x14ac:dyDescent="0.25">
      <c r="B1856" s="293">
        <v>44956</v>
      </c>
      <c r="C1856" s="397">
        <v>59500.41</v>
      </c>
    </row>
    <row r="1857" spans="2:3" x14ac:dyDescent="0.25">
      <c r="B1857" s="293">
        <v>44957</v>
      </c>
      <c r="C1857" s="397">
        <v>59549.9</v>
      </c>
    </row>
    <row r="1858" spans="2:3" x14ac:dyDescent="0.25">
      <c r="B1858" s="293">
        <v>44958</v>
      </c>
      <c r="C1858" s="397">
        <v>59708.08</v>
      </c>
    </row>
    <row r="1859" spans="2:3" x14ac:dyDescent="0.25">
      <c r="B1859" s="293">
        <v>44959</v>
      </c>
      <c r="C1859" s="397">
        <v>59932.24</v>
      </c>
    </row>
    <row r="1860" spans="2:3" x14ac:dyDescent="0.25">
      <c r="B1860" s="293">
        <v>44960</v>
      </c>
      <c r="C1860" s="397">
        <v>60841.88</v>
      </c>
    </row>
    <row r="1861" spans="2:3" x14ac:dyDescent="0.25">
      <c r="B1861" s="293">
        <v>44963</v>
      </c>
      <c r="C1861" s="397">
        <v>60506.9</v>
      </c>
    </row>
    <row r="1862" spans="2:3" x14ac:dyDescent="0.25">
      <c r="B1862" s="293">
        <v>44964</v>
      </c>
      <c r="C1862" s="397">
        <v>60286.04</v>
      </c>
    </row>
    <row r="1863" spans="2:3" x14ac:dyDescent="0.25">
      <c r="B1863" s="293">
        <v>44965</v>
      </c>
      <c r="C1863" s="397">
        <v>60663.79</v>
      </c>
    </row>
    <row r="1864" spans="2:3" x14ac:dyDescent="0.25">
      <c r="B1864" s="293">
        <v>44966</v>
      </c>
      <c r="C1864" s="397">
        <v>60806.22</v>
      </c>
    </row>
    <row r="1865" spans="2:3" x14ac:dyDescent="0.25">
      <c r="B1865" s="293">
        <v>44967</v>
      </c>
      <c r="C1865" s="397">
        <v>60682.7</v>
      </c>
    </row>
    <row r="1866" spans="2:3" x14ac:dyDescent="0.25">
      <c r="B1866" s="293">
        <v>44970</v>
      </c>
      <c r="C1866" s="397">
        <v>60431.839999999997</v>
      </c>
    </row>
    <row r="1867" spans="2:3" x14ac:dyDescent="0.25">
      <c r="B1867" s="293">
        <v>44971</v>
      </c>
      <c r="C1867" s="397">
        <v>61032.26</v>
      </c>
    </row>
    <row r="1868" spans="2:3" x14ac:dyDescent="0.25">
      <c r="B1868" s="293">
        <v>44972</v>
      </c>
      <c r="C1868" s="397">
        <v>61275.09</v>
      </c>
    </row>
    <row r="1869" spans="2:3" x14ac:dyDescent="0.25">
      <c r="B1869" s="293">
        <v>44973</v>
      </c>
      <c r="C1869" s="397">
        <v>61319.51</v>
      </c>
    </row>
    <row r="1870" spans="2:3" x14ac:dyDescent="0.25">
      <c r="B1870" s="293">
        <v>44974</v>
      </c>
      <c r="C1870" s="397">
        <v>61002.57</v>
      </c>
    </row>
    <row r="1871" spans="2:3" x14ac:dyDescent="0.25">
      <c r="B1871" s="293">
        <v>44977</v>
      </c>
      <c r="C1871" s="397">
        <v>60691.54</v>
      </c>
    </row>
    <row r="1872" spans="2:3" x14ac:dyDescent="0.25">
      <c r="B1872" s="293">
        <v>44978</v>
      </c>
      <c r="C1872" s="397">
        <v>60672.72</v>
      </c>
    </row>
    <row r="1873" spans="2:3" x14ac:dyDescent="0.25">
      <c r="B1873" s="293">
        <v>44979</v>
      </c>
      <c r="C1873" s="397">
        <v>59744.98</v>
      </c>
    </row>
    <row r="1874" spans="2:3" x14ac:dyDescent="0.25">
      <c r="B1874" s="293">
        <v>44980</v>
      </c>
      <c r="C1874" s="397">
        <v>59605.8</v>
      </c>
    </row>
    <row r="1875" spans="2:3" x14ac:dyDescent="0.25">
      <c r="B1875" s="293">
        <v>44981</v>
      </c>
      <c r="C1875" s="397">
        <v>59463.93</v>
      </c>
    </row>
    <row r="1876" spans="2:3" x14ac:dyDescent="0.25">
      <c r="B1876" s="293">
        <v>44984</v>
      </c>
      <c r="C1876" s="397">
        <v>59288.35</v>
      </c>
    </row>
    <row r="1877" spans="2:3" x14ac:dyDescent="0.25">
      <c r="B1877" s="293">
        <v>44985</v>
      </c>
      <c r="C1877" s="397">
        <v>58962.12</v>
      </c>
    </row>
    <row r="1878" spans="2:3" x14ac:dyDescent="0.25">
      <c r="B1878" s="293">
        <v>44986</v>
      </c>
      <c r="C1878" s="397">
        <v>59411.08</v>
      </c>
    </row>
    <row r="1879" spans="2:3" x14ac:dyDescent="0.25">
      <c r="B1879" s="293">
        <v>44987</v>
      </c>
      <c r="C1879" s="397">
        <v>58909.35</v>
      </c>
    </row>
    <row r="1880" spans="2:3" x14ac:dyDescent="0.25">
      <c r="B1880" s="293">
        <v>44988</v>
      </c>
      <c r="C1880" s="397">
        <v>59808.97</v>
      </c>
    </row>
    <row r="1881" spans="2:3" x14ac:dyDescent="0.25">
      <c r="B1881" s="293">
        <v>44991</v>
      </c>
      <c r="C1881" s="397">
        <v>60224.46</v>
      </c>
    </row>
    <row r="1882" spans="2:3" x14ac:dyDescent="0.25">
      <c r="B1882" s="293">
        <v>44993</v>
      </c>
      <c r="C1882" s="397">
        <v>60348.09</v>
      </c>
    </row>
    <row r="1883" spans="2:3" x14ac:dyDescent="0.25">
      <c r="B1883" s="293">
        <v>44994</v>
      </c>
      <c r="C1883" s="397">
        <v>59806.28</v>
      </c>
    </row>
    <row r="1884" spans="2:3" x14ac:dyDescent="0.25">
      <c r="B1884" s="293">
        <v>44995</v>
      </c>
      <c r="C1884" s="397">
        <v>59135.13</v>
      </c>
    </row>
    <row r="1885" spans="2:3" x14ac:dyDescent="0.25">
      <c r="B1885" s="293">
        <v>44998</v>
      </c>
      <c r="C1885" s="397">
        <v>58237.85</v>
      </c>
    </row>
    <row r="1886" spans="2:3" x14ac:dyDescent="0.25">
      <c r="B1886" s="293">
        <v>44999</v>
      </c>
      <c r="C1886" s="397">
        <v>57900.19</v>
      </c>
    </row>
    <row r="1887" spans="2:3" x14ac:dyDescent="0.25">
      <c r="B1887" s="293">
        <v>45000</v>
      </c>
      <c r="C1887" s="397">
        <v>57555.9</v>
      </c>
    </row>
    <row r="1888" spans="2:3" x14ac:dyDescent="0.25">
      <c r="B1888" s="293">
        <v>45001</v>
      </c>
      <c r="C1888" s="397">
        <v>57634.84</v>
      </c>
    </row>
    <row r="1889" spans="2:3" x14ac:dyDescent="0.25">
      <c r="B1889" s="293">
        <v>45002</v>
      </c>
      <c r="C1889" s="397">
        <v>57989.9</v>
      </c>
    </row>
    <row r="1890" spans="2:3" x14ac:dyDescent="0.25">
      <c r="B1890" s="293">
        <v>45005</v>
      </c>
      <c r="C1890" s="397">
        <v>57628.95</v>
      </c>
    </row>
    <row r="1891" spans="2:3" x14ac:dyDescent="0.25">
      <c r="B1891" s="293">
        <v>45006</v>
      </c>
      <c r="C1891" s="397">
        <v>58074.68</v>
      </c>
    </row>
    <row r="1892" spans="2:3" x14ac:dyDescent="0.25">
      <c r="B1892" s="293">
        <v>45007</v>
      </c>
      <c r="C1892" s="397">
        <v>58214.59</v>
      </c>
    </row>
    <row r="1893" spans="2:3" x14ac:dyDescent="0.25">
      <c r="B1893" s="293">
        <v>45008</v>
      </c>
      <c r="C1893" s="397">
        <v>57925.279999999999</v>
      </c>
    </row>
    <row r="1894" spans="2:3" x14ac:dyDescent="0.25">
      <c r="B1894" s="293">
        <v>45009</v>
      </c>
      <c r="C1894" s="397">
        <v>57527.1</v>
      </c>
    </row>
    <row r="1895" spans="2:3" x14ac:dyDescent="0.25">
      <c r="B1895" s="293">
        <v>45012</v>
      </c>
      <c r="C1895" s="397">
        <v>57653.86</v>
      </c>
    </row>
    <row r="1896" spans="2:3" x14ac:dyDescent="0.25">
      <c r="B1896" s="293">
        <v>45013</v>
      </c>
      <c r="C1896" s="397">
        <v>57613.72</v>
      </c>
    </row>
    <row r="1897" spans="2:3" x14ac:dyDescent="0.25">
      <c r="B1897" s="293">
        <v>45014</v>
      </c>
      <c r="C1897" s="397">
        <v>57960.09</v>
      </c>
    </row>
    <row r="1898" spans="2:3" x14ac:dyDescent="0.25">
      <c r="B1898" s="293">
        <v>45016</v>
      </c>
      <c r="C1898" s="397">
        <v>58991.519999999997</v>
      </c>
    </row>
    <row r="1899" spans="2:3" x14ac:dyDescent="0.25">
      <c r="B1899" s="293">
        <v>45019</v>
      </c>
      <c r="C1899" s="397">
        <v>59106.44</v>
      </c>
    </row>
    <row r="1900" spans="2:3" x14ac:dyDescent="0.25">
      <c r="B1900" s="293">
        <v>45021</v>
      </c>
      <c r="C1900" s="397">
        <v>59689.31</v>
      </c>
    </row>
    <row r="1901" spans="2:3" x14ac:dyDescent="0.25">
      <c r="B1901" s="293">
        <v>45022</v>
      </c>
      <c r="C1901" s="397">
        <v>59832.97</v>
      </c>
    </row>
    <row r="1902" spans="2:3" x14ac:dyDescent="0.25">
      <c r="B1902" s="293">
        <v>45026</v>
      </c>
      <c r="C1902" s="397">
        <v>59846.51</v>
      </c>
    </row>
    <row r="1903" spans="2:3" x14ac:dyDescent="0.25">
      <c r="B1903" s="293">
        <v>45027</v>
      </c>
      <c r="C1903" s="397">
        <v>60157.72</v>
      </c>
    </row>
    <row r="1904" spans="2:3" x14ac:dyDescent="0.25">
      <c r="B1904" s="293">
        <v>45028</v>
      </c>
      <c r="C1904" s="397">
        <v>60392.77</v>
      </c>
    </row>
    <row r="1905" spans="2:3" x14ac:dyDescent="0.25">
      <c r="B1905" s="293">
        <v>45029</v>
      </c>
      <c r="C1905" s="397">
        <v>60431</v>
      </c>
    </row>
    <row r="1906" spans="2:3" x14ac:dyDescent="0.25">
      <c r="B1906" s="293">
        <v>45033</v>
      </c>
      <c r="C1906" s="397">
        <v>59910.75</v>
      </c>
    </row>
    <row r="1907" spans="2:3" x14ac:dyDescent="0.25">
      <c r="B1907" s="293">
        <v>45034</v>
      </c>
      <c r="C1907" s="397">
        <v>59727.01</v>
      </c>
    </row>
    <row r="1908" spans="2:3" x14ac:dyDescent="0.25">
      <c r="B1908" s="293">
        <v>45035</v>
      </c>
      <c r="C1908" s="397">
        <v>59567.8</v>
      </c>
    </row>
    <row r="1909" spans="2:3" x14ac:dyDescent="0.25">
      <c r="B1909" s="293">
        <v>45036</v>
      </c>
      <c r="C1909" s="397">
        <v>59632.35</v>
      </c>
    </row>
    <row r="1910" spans="2:3" x14ac:dyDescent="0.25">
      <c r="B1910" s="293">
        <v>45037</v>
      </c>
      <c r="C1910" s="397">
        <v>59655.06</v>
      </c>
    </row>
    <row r="1911" spans="2:3" x14ac:dyDescent="0.25">
      <c r="B1911" s="293">
        <v>45040</v>
      </c>
      <c r="C1911" s="397">
        <v>60056.1</v>
      </c>
    </row>
    <row r="1912" spans="2:3" x14ac:dyDescent="0.25">
      <c r="B1912" s="293">
        <v>45041</v>
      </c>
      <c r="C1912" s="397">
        <v>60130.71</v>
      </c>
    </row>
    <row r="1913" spans="2:3" x14ac:dyDescent="0.25">
      <c r="B1913" s="293">
        <v>45042</v>
      </c>
      <c r="C1913" s="397">
        <v>60300.58</v>
      </c>
    </row>
    <row r="1914" spans="2:3" x14ac:dyDescent="0.25">
      <c r="B1914" s="293">
        <v>45043</v>
      </c>
      <c r="C1914" s="397">
        <v>60649.38</v>
      </c>
    </row>
    <row r="1915" spans="2:3" x14ac:dyDescent="0.25">
      <c r="B1915" s="293">
        <v>45044</v>
      </c>
      <c r="C1915" s="397">
        <v>61112.44</v>
      </c>
    </row>
    <row r="1916" spans="2:3" x14ac:dyDescent="0.25">
      <c r="B1916" s="293">
        <v>45048</v>
      </c>
      <c r="C1916" s="397">
        <v>61354.71</v>
      </c>
    </row>
    <row r="1917" spans="2:3" x14ac:dyDescent="0.25">
      <c r="B1917" s="293">
        <v>45049</v>
      </c>
      <c r="C1917" s="397">
        <v>61193.3</v>
      </c>
    </row>
    <row r="1918" spans="2:3" x14ac:dyDescent="0.25">
      <c r="B1918" s="293">
        <v>45050</v>
      </c>
      <c r="C1918" s="397">
        <v>61749.25</v>
      </c>
    </row>
    <row r="1919" spans="2:3" x14ac:dyDescent="0.25">
      <c r="B1919" s="293">
        <v>45051</v>
      </c>
      <c r="C1919" s="397">
        <v>61054.29</v>
      </c>
    </row>
    <row r="1920" spans="2:3" x14ac:dyDescent="0.25">
      <c r="B1920" s="293">
        <v>45054</v>
      </c>
      <c r="C1920" s="397">
        <v>61764.25</v>
      </c>
    </row>
    <row r="1921" spans="2:3" x14ac:dyDescent="0.25">
      <c r="B1921" s="293">
        <v>45055</v>
      </c>
      <c r="C1921" s="397">
        <v>61761.33</v>
      </c>
    </row>
    <row r="1922" spans="2:3" x14ac:dyDescent="0.25">
      <c r="B1922" s="293">
        <v>45056</v>
      </c>
      <c r="C1922" s="397">
        <v>61940.2</v>
      </c>
    </row>
    <row r="1923" spans="2:3" x14ac:dyDescent="0.25">
      <c r="B1923" s="293">
        <v>45057</v>
      </c>
      <c r="C1923" s="397">
        <v>61904.52</v>
      </c>
    </row>
    <row r="1924" spans="2:3" x14ac:dyDescent="0.25">
      <c r="B1924" s="293">
        <v>45058</v>
      </c>
      <c r="C1924" s="397">
        <v>62027.9</v>
      </c>
    </row>
    <row r="1925" spans="2:3" x14ac:dyDescent="0.25">
      <c r="B1925" s="293">
        <v>45061</v>
      </c>
      <c r="C1925" s="397">
        <v>62345.71</v>
      </c>
    </row>
    <row r="1926" spans="2:3" x14ac:dyDescent="0.25">
      <c r="B1926" s="293">
        <v>45062</v>
      </c>
      <c r="C1926" s="397">
        <v>61932.47</v>
      </c>
    </row>
    <row r="1927" spans="2:3" x14ac:dyDescent="0.25">
      <c r="B1927" s="293">
        <v>45063</v>
      </c>
      <c r="C1927" s="397">
        <v>61560.639999999999</v>
      </c>
    </row>
    <row r="1928" spans="2:3" x14ac:dyDescent="0.25">
      <c r="B1928" s="293">
        <v>45064</v>
      </c>
      <c r="C1928" s="397">
        <v>61431.74</v>
      </c>
    </row>
    <row r="1929" spans="2:3" x14ac:dyDescent="0.25">
      <c r="B1929" s="293">
        <v>45065</v>
      </c>
      <c r="C1929" s="397">
        <v>61729.68</v>
      </c>
    </row>
    <row r="1930" spans="2:3" x14ac:dyDescent="0.25">
      <c r="B1930" s="293">
        <v>45068</v>
      </c>
      <c r="C1930" s="397">
        <v>61963.68</v>
      </c>
    </row>
    <row r="1931" spans="2:3" x14ac:dyDescent="0.25">
      <c r="B1931" s="293">
        <v>45069</v>
      </c>
      <c r="C1931" s="397">
        <v>61981.79</v>
      </c>
    </row>
    <row r="1932" spans="2:3" x14ac:dyDescent="0.25">
      <c r="B1932" s="293">
        <v>45070</v>
      </c>
      <c r="C1932" s="397">
        <v>61773.78</v>
      </c>
    </row>
    <row r="1933" spans="2:3" x14ac:dyDescent="0.25">
      <c r="B1933" s="293">
        <v>45071</v>
      </c>
      <c r="C1933" s="397">
        <v>61872.62</v>
      </c>
    </row>
    <row r="1934" spans="2:3" x14ac:dyDescent="0.25">
      <c r="B1934" s="293">
        <v>45072</v>
      </c>
      <c r="C1934" s="397">
        <v>62501.69</v>
      </c>
    </row>
    <row r="1935" spans="2:3" x14ac:dyDescent="0.25">
      <c r="B1935" s="293">
        <v>45075</v>
      </c>
      <c r="C1935" s="397">
        <v>62846.38</v>
      </c>
    </row>
    <row r="1936" spans="2:3" x14ac:dyDescent="0.25">
      <c r="B1936" s="293">
        <v>45076</v>
      </c>
      <c r="C1936" s="397">
        <v>62969.13</v>
      </c>
    </row>
    <row r="1937" spans="2:3" x14ac:dyDescent="0.25">
      <c r="B1937" s="293">
        <v>45077</v>
      </c>
      <c r="C1937" s="397">
        <v>62622.239999999998</v>
      </c>
    </row>
    <row r="1938" spans="2:3" x14ac:dyDescent="0.25">
      <c r="B1938" s="293">
        <v>45078</v>
      </c>
      <c r="C1938" s="397">
        <v>62428.54</v>
      </c>
    </row>
    <row r="1939" spans="2:3" x14ac:dyDescent="0.25">
      <c r="B1939" s="293">
        <v>45079</v>
      </c>
      <c r="C1939" s="397">
        <v>62547.11</v>
      </c>
    </row>
    <row r="1940" spans="2:3" x14ac:dyDescent="0.25">
      <c r="B1940" s="293">
        <v>45082</v>
      </c>
      <c r="C1940" s="397">
        <v>62787.47</v>
      </c>
    </row>
    <row r="1941" spans="2:3" x14ac:dyDescent="0.25">
      <c r="B1941" s="293">
        <v>45083</v>
      </c>
      <c r="C1941" s="397">
        <v>62792.88</v>
      </c>
    </row>
    <row r="1942" spans="2:3" x14ac:dyDescent="0.25">
      <c r="B1942" s="293">
        <v>45084</v>
      </c>
      <c r="C1942" s="397">
        <v>63142.96</v>
      </c>
    </row>
    <row r="1943" spans="2:3" x14ac:dyDescent="0.25">
      <c r="B1943" s="293">
        <v>45085</v>
      </c>
      <c r="C1943" s="397">
        <v>62848.639999999999</v>
      </c>
    </row>
    <row r="1944" spans="2:3" x14ac:dyDescent="0.25">
      <c r="B1944" s="293">
        <v>45086</v>
      </c>
      <c r="C1944" s="397">
        <v>62625.63</v>
      </c>
    </row>
    <row r="1945" spans="2:3" x14ac:dyDescent="0.25">
      <c r="B1945" s="293">
        <v>45089</v>
      </c>
      <c r="C1945" s="397">
        <v>62724.71</v>
      </c>
    </row>
    <row r="1946" spans="2:3" x14ac:dyDescent="0.25">
      <c r="B1946" s="293">
        <v>45090</v>
      </c>
      <c r="C1946" s="397">
        <v>63143.16</v>
      </c>
    </row>
    <row r="1947" spans="2:3" x14ac:dyDescent="0.25">
      <c r="B1947" s="293">
        <v>45091</v>
      </c>
      <c r="C1947" s="397">
        <v>63228.51</v>
      </c>
    </row>
    <row r="1948" spans="2:3" x14ac:dyDescent="0.25">
      <c r="B1948" s="293">
        <v>45092</v>
      </c>
      <c r="C1948" s="397">
        <v>62917.63</v>
      </c>
    </row>
    <row r="1949" spans="2:3" x14ac:dyDescent="0.25">
      <c r="B1949" s="293">
        <v>45093</v>
      </c>
      <c r="C1949" s="397">
        <v>63384.58</v>
      </c>
    </row>
    <row r="1950" spans="2:3" x14ac:dyDescent="0.25">
      <c r="B1950" s="293">
        <v>45096</v>
      </c>
      <c r="C1950" s="397">
        <v>63168.3</v>
      </c>
    </row>
    <row r="1951" spans="2:3" x14ac:dyDescent="0.25">
      <c r="B1951" s="293">
        <v>45097</v>
      </c>
      <c r="C1951" s="397">
        <v>63327.7</v>
      </c>
    </row>
    <row r="1952" spans="2:3" x14ac:dyDescent="0.25">
      <c r="B1952" s="293">
        <v>45098</v>
      </c>
      <c r="C1952" s="397">
        <v>63523.15</v>
      </c>
    </row>
    <row r="1953" spans="2:3" x14ac:dyDescent="0.25">
      <c r="B1953" s="293">
        <v>45099</v>
      </c>
      <c r="C1953" s="397">
        <v>63238.89</v>
      </c>
    </row>
    <row r="1954" spans="2:3" x14ac:dyDescent="0.25">
      <c r="B1954" s="293">
        <v>45100</v>
      </c>
      <c r="C1954" s="397">
        <v>62979.37</v>
      </c>
    </row>
    <row r="1955" spans="2:3" x14ac:dyDescent="0.25">
      <c r="B1955" s="293">
        <v>45103</v>
      </c>
      <c r="C1955" s="397">
        <v>62970</v>
      </c>
    </row>
    <row r="1956" spans="2:3" x14ac:dyDescent="0.25">
      <c r="B1956" s="293">
        <v>45104</v>
      </c>
      <c r="C1956" s="397">
        <v>63416.03</v>
      </c>
    </row>
    <row r="1957" spans="2:3" x14ac:dyDescent="0.25">
      <c r="B1957" s="293">
        <v>45105</v>
      </c>
      <c r="C1957" s="397">
        <v>63915.42</v>
      </c>
    </row>
    <row r="1958" spans="2:3" x14ac:dyDescent="0.25">
      <c r="B1958" s="293">
        <v>45107</v>
      </c>
      <c r="C1958" s="397">
        <v>64718.559999999998</v>
      </c>
    </row>
    <row r="1959" spans="2:3" x14ac:dyDescent="0.25">
      <c r="B1959" s="293">
        <v>45110</v>
      </c>
      <c r="C1959" s="397">
        <v>65205.05</v>
      </c>
    </row>
    <row r="1960" spans="2:3" x14ac:dyDescent="0.25">
      <c r="B1960" s="293">
        <v>45111</v>
      </c>
      <c r="C1960" s="397">
        <v>65479.05</v>
      </c>
    </row>
    <row r="1961" spans="2:3" x14ac:dyDescent="0.25">
      <c r="B1961" s="293">
        <v>45112</v>
      </c>
      <c r="C1961" s="397">
        <v>65446.04</v>
      </c>
    </row>
    <row r="1962" spans="2:3" x14ac:dyDescent="0.25">
      <c r="B1962" s="293">
        <v>45113</v>
      </c>
      <c r="C1962" s="397">
        <v>65785.64</v>
      </c>
    </row>
    <row r="1963" spans="2:3" x14ac:dyDescent="0.25">
      <c r="B1963" s="293">
        <v>45114</v>
      </c>
      <c r="C1963" s="397">
        <v>65280.45</v>
      </c>
    </row>
    <row r="1964" spans="2:3" x14ac:dyDescent="0.25">
      <c r="B1964" s="293">
        <v>45117</v>
      </c>
      <c r="C1964" s="397">
        <v>65344.17</v>
      </c>
    </row>
    <row r="1965" spans="2:3" x14ac:dyDescent="0.25">
      <c r="B1965" s="293">
        <v>45118</v>
      </c>
      <c r="C1965" s="397">
        <v>65617.84</v>
      </c>
    </row>
    <row r="1966" spans="2:3" x14ac:dyDescent="0.25">
      <c r="B1966" s="293">
        <v>45119</v>
      </c>
      <c r="C1966" s="397">
        <v>65393.9</v>
      </c>
    </row>
    <row r="1967" spans="2:3" x14ac:dyDescent="0.25">
      <c r="B1967" s="293">
        <v>45120</v>
      </c>
      <c r="C1967" s="397">
        <v>65558.89</v>
      </c>
    </row>
    <row r="1968" spans="2:3" x14ac:dyDescent="0.25">
      <c r="B1968" s="293">
        <v>45121</v>
      </c>
      <c r="C1968" s="397">
        <v>66060.899999999994</v>
      </c>
    </row>
    <row r="1969" spans="2:3" x14ac:dyDescent="0.25">
      <c r="B1969" s="293">
        <v>45124</v>
      </c>
      <c r="C1969" s="397">
        <v>66589.929999999993</v>
      </c>
    </row>
    <row r="1970" spans="2:3" x14ac:dyDescent="0.25">
      <c r="B1970" s="293">
        <v>45125</v>
      </c>
      <c r="C1970" s="397">
        <v>66795.14</v>
      </c>
    </row>
    <row r="1971" spans="2:3" x14ac:dyDescent="0.25">
      <c r="B1971" s="293">
        <v>45126</v>
      </c>
      <c r="C1971" s="397">
        <v>67097.440000000002</v>
      </c>
    </row>
    <row r="1972" spans="2:3" x14ac:dyDescent="0.25">
      <c r="B1972" s="293">
        <v>45127</v>
      </c>
      <c r="C1972" s="397">
        <v>67571.899999999994</v>
      </c>
    </row>
    <row r="1973" spans="2:3" x14ac:dyDescent="0.25">
      <c r="B1973" s="293">
        <v>45128</v>
      </c>
      <c r="C1973" s="397">
        <v>66684.259999999995</v>
      </c>
    </row>
    <row r="1974" spans="2:3" x14ac:dyDescent="0.25">
      <c r="B1974" s="293">
        <v>45131</v>
      </c>
      <c r="C1974" s="397">
        <v>66384.78</v>
      </c>
    </row>
    <row r="1975" spans="2:3" x14ac:dyDescent="0.25">
      <c r="B1975" s="293">
        <v>45132</v>
      </c>
      <c r="C1975" s="397">
        <v>66355.710000000006</v>
      </c>
    </row>
    <row r="1976" spans="2:3" x14ac:dyDescent="0.25">
      <c r="B1976" s="293">
        <v>45133</v>
      </c>
      <c r="C1976" s="397">
        <v>66707.199999999997</v>
      </c>
    </row>
    <row r="1977" spans="2:3" x14ac:dyDescent="0.25">
      <c r="B1977" s="293">
        <v>45134</v>
      </c>
      <c r="C1977" s="397">
        <v>66266.820000000007</v>
      </c>
    </row>
    <row r="1978" spans="2:3" x14ac:dyDescent="0.25">
      <c r="B1978" s="293">
        <v>45135</v>
      </c>
      <c r="C1978" s="397">
        <v>66160.2</v>
      </c>
    </row>
    <row r="1979" spans="2:3" x14ac:dyDescent="0.25">
      <c r="B1979" s="293">
        <v>45138</v>
      </c>
      <c r="C1979" s="397">
        <v>66527.67</v>
      </c>
    </row>
    <row r="1980" spans="2:3" x14ac:dyDescent="0.25">
      <c r="B1980" s="293">
        <v>45139</v>
      </c>
      <c r="C1980" s="397">
        <v>66459.31</v>
      </c>
    </row>
    <row r="1981" spans="2:3" x14ac:dyDescent="0.25">
      <c r="B1981" s="293">
        <v>45140</v>
      </c>
      <c r="C1981" s="397">
        <v>65782.78</v>
      </c>
    </row>
    <row r="1982" spans="2:3" x14ac:dyDescent="0.25">
      <c r="B1982" s="293">
        <v>45141</v>
      </c>
      <c r="C1982" s="397">
        <v>65240.68</v>
      </c>
    </row>
    <row r="1983" spans="2:3" x14ac:dyDescent="0.25">
      <c r="B1983" s="293">
        <v>45142</v>
      </c>
      <c r="C1983" s="397">
        <v>65721.25</v>
      </c>
    </row>
    <row r="1984" spans="2:3" x14ac:dyDescent="0.25">
      <c r="B1984" s="293">
        <v>45145</v>
      </c>
      <c r="C1984" s="397">
        <v>65953.48</v>
      </c>
    </row>
    <row r="1985" spans="2:3" x14ac:dyDescent="0.25">
      <c r="B1985" s="293">
        <v>45146</v>
      </c>
      <c r="C1985" s="397">
        <v>65846.5</v>
      </c>
    </row>
    <row r="1986" spans="2:3" x14ac:dyDescent="0.25">
      <c r="B1986" s="293">
        <v>45147</v>
      </c>
      <c r="C1986" s="397">
        <v>65995.81</v>
      </c>
    </row>
    <row r="1987" spans="2:3" x14ac:dyDescent="0.25">
      <c r="B1987" s="293">
        <v>45148</v>
      </c>
      <c r="C1987" s="397">
        <v>65688.179999999993</v>
      </c>
    </row>
    <row r="1988" spans="2:3" x14ac:dyDescent="0.25">
      <c r="B1988" s="293">
        <v>45149</v>
      </c>
      <c r="C1988" s="397">
        <v>65322.65</v>
      </c>
    </row>
    <row r="1989" spans="2:3" x14ac:dyDescent="0.25">
      <c r="B1989" s="293">
        <v>45152</v>
      </c>
      <c r="C1989" s="397">
        <v>65401.919999999998</v>
      </c>
    </row>
    <row r="1990" spans="2:3" x14ac:dyDescent="0.25">
      <c r="B1990" s="293">
        <v>45154</v>
      </c>
      <c r="C1990" s="397">
        <v>65539.42</v>
      </c>
    </row>
    <row r="1991" spans="2:3" x14ac:dyDescent="0.25">
      <c r="B1991" s="293">
        <v>45155</v>
      </c>
      <c r="C1991" s="397">
        <v>65151.02</v>
      </c>
    </row>
    <row r="1992" spans="2:3" x14ac:dyDescent="0.25">
      <c r="B1992" s="293">
        <v>45156</v>
      </c>
      <c r="C1992" s="397">
        <v>64948.66</v>
      </c>
    </row>
    <row r="1993" spans="2:3" x14ac:dyDescent="0.25">
      <c r="B1993" s="293">
        <v>45159</v>
      </c>
      <c r="C1993" s="397">
        <v>65216.09</v>
      </c>
    </row>
    <row r="1994" spans="2:3" x14ac:dyDescent="0.25">
      <c r="B1994" s="293">
        <v>45160</v>
      </c>
      <c r="C1994" s="397">
        <v>65220.03</v>
      </c>
    </row>
    <row r="1995" spans="2:3" x14ac:dyDescent="0.25">
      <c r="B1995" s="293">
        <v>45161</v>
      </c>
      <c r="C1995" s="397">
        <v>65433.3</v>
      </c>
    </row>
    <row r="1996" spans="2:3" x14ac:dyDescent="0.25">
      <c r="B1996" s="293">
        <v>45162</v>
      </c>
      <c r="C1996" s="397">
        <v>65252.34</v>
      </c>
    </row>
    <row r="1997" spans="2:3" x14ac:dyDescent="0.25">
      <c r="B1997" s="293">
        <v>45163</v>
      </c>
      <c r="C1997" s="397">
        <v>64886.51</v>
      </c>
    </row>
    <row r="1998" spans="2:3" x14ac:dyDescent="0.25">
      <c r="B1998" s="293">
        <v>45166</v>
      </c>
      <c r="C1998" s="397">
        <v>64996.6</v>
      </c>
    </row>
    <row r="1999" spans="2:3" x14ac:dyDescent="0.25">
      <c r="B1999" s="293">
        <v>45167</v>
      </c>
      <c r="C1999" s="397">
        <v>65075.82</v>
      </c>
    </row>
    <row r="2000" spans="2:3" x14ac:dyDescent="0.25">
      <c r="B2000" s="293">
        <v>45168</v>
      </c>
      <c r="C2000" s="397">
        <v>65087.25</v>
      </c>
    </row>
    <row r="2001" spans="2:3" x14ac:dyDescent="0.25">
      <c r="B2001" s="293">
        <v>45169</v>
      </c>
      <c r="C2001" s="397">
        <v>64831.41</v>
      </c>
    </row>
    <row r="2002" spans="2:3" x14ac:dyDescent="0.25">
      <c r="B2002" s="293">
        <v>45170</v>
      </c>
      <c r="C2002" s="397">
        <v>65387.16</v>
      </c>
    </row>
    <row r="2003" spans="2:3" x14ac:dyDescent="0.25">
      <c r="B2003" s="293">
        <v>45173</v>
      </c>
      <c r="C2003" s="397">
        <v>65628.14</v>
      </c>
    </row>
    <row r="2004" spans="2:3" x14ac:dyDescent="0.25">
      <c r="B2004" s="293">
        <v>45174</v>
      </c>
      <c r="C2004" s="397">
        <v>65780.259999999995</v>
      </c>
    </row>
    <row r="2005" spans="2:3" x14ac:dyDescent="0.25">
      <c r="B2005" s="293">
        <v>45175</v>
      </c>
      <c r="C2005" s="397">
        <v>65880.52</v>
      </c>
    </row>
    <row r="2006" spans="2:3" x14ac:dyDescent="0.25">
      <c r="B2006" s="293">
        <v>45176</v>
      </c>
      <c r="C2006" s="397">
        <v>66265.56</v>
      </c>
    </row>
    <row r="2007" spans="2:3" x14ac:dyDescent="0.25">
      <c r="B2007" s="293">
        <v>45177</v>
      </c>
      <c r="C2007" s="397">
        <v>66598.91</v>
      </c>
    </row>
    <row r="2008" spans="2:3" x14ac:dyDescent="0.25">
      <c r="B2008" s="293">
        <v>45180</v>
      </c>
      <c r="C2008" s="397">
        <v>67127.08</v>
      </c>
    </row>
    <row r="2009" spans="2:3" x14ac:dyDescent="0.25">
      <c r="B2009" s="293">
        <v>45181</v>
      </c>
      <c r="C2009" s="397">
        <v>67221.13</v>
      </c>
    </row>
    <row r="2010" spans="2:3" x14ac:dyDescent="0.25">
      <c r="B2010" s="293">
        <v>45182</v>
      </c>
      <c r="C2010" s="397">
        <v>67466.990000000005</v>
      </c>
    </row>
    <row r="2011" spans="2:3" x14ac:dyDescent="0.25">
      <c r="B2011" s="293">
        <v>45183</v>
      </c>
      <c r="C2011" s="397">
        <v>67519</v>
      </c>
    </row>
    <row r="2012" spans="2:3" x14ac:dyDescent="0.25">
      <c r="B2012" s="293">
        <v>45184</v>
      </c>
      <c r="C2012" s="397">
        <v>67838.63</v>
      </c>
    </row>
    <row r="2013" spans="2:3" x14ac:dyDescent="0.25">
      <c r="B2013" s="293">
        <v>45187</v>
      </c>
      <c r="C2013" s="397">
        <v>67596.84</v>
      </c>
    </row>
    <row r="2014" spans="2:3" x14ac:dyDescent="0.25">
      <c r="B2014" s="293">
        <v>45189</v>
      </c>
      <c r="C2014" s="397">
        <v>66800.84</v>
      </c>
    </row>
    <row r="2015" spans="2:3" x14ac:dyDescent="0.25">
      <c r="B2015" s="293">
        <v>45190</v>
      </c>
      <c r="C2015" s="397">
        <v>66230.240000000005</v>
      </c>
    </row>
    <row r="2016" spans="2:3" x14ac:dyDescent="0.25">
      <c r="B2016" s="293">
        <v>45191</v>
      </c>
      <c r="C2016" s="397">
        <v>66009.149999999994</v>
      </c>
    </row>
    <row r="2017" spans="2:3" x14ac:dyDescent="0.25">
      <c r="B2017" s="293">
        <v>45194</v>
      </c>
      <c r="C2017" s="397">
        <v>66023.69</v>
      </c>
    </row>
    <row r="2018" spans="2:3" x14ac:dyDescent="0.25">
      <c r="B2018" s="293">
        <v>45195</v>
      </c>
      <c r="C2018" s="397">
        <v>65945.47</v>
      </c>
    </row>
    <row r="2019" spans="2:3" x14ac:dyDescent="0.25">
      <c r="B2019" s="293">
        <v>45196</v>
      </c>
      <c r="C2019" s="397">
        <v>66118.69</v>
      </c>
    </row>
    <row r="2020" spans="2:3" x14ac:dyDescent="0.25">
      <c r="B2020" s="293">
        <v>45197</v>
      </c>
      <c r="C2020" s="397">
        <v>65508.32</v>
      </c>
    </row>
    <row r="2021" spans="2:3" x14ac:dyDescent="0.25">
      <c r="B2021" s="293">
        <v>45198</v>
      </c>
      <c r="C2021" s="397">
        <v>65828.41</v>
      </c>
    </row>
    <row r="2022" spans="2:3" x14ac:dyDescent="0.25">
      <c r="B2022" s="293">
        <v>45202</v>
      </c>
      <c r="C2022" s="397">
        <v>65512.1</v>
      </c>
    </row>
    <row r="2023" spans="2:3" x14ac:dyDescent="0.25">
      <c r="B2023" s="293">
        <v>45203</v>
      </c>
      <c r="C2023" s="397">
        <v>65226.04</v>
      </c>
    </row>
    <row r="2024" spans="2:3" x14ac:dyDescent="0.25">
      <c r="B2024" s="293">
        <v>45204</v>
      </c>
      <c r="C2024" s="397">
        <v>65631.570000000007</v>
      </c>
    </row>
    <row r="2025" spans="2:3" x14ac:dyDescent="0.25">
      <c r="B2025" s="293">
        <v>45205</v>
      </c>
      <c r="C2025" s="397">
        <v>65995.63</v>
      </c>
    </row>
    <row r="2026" spans="2:3" x14ac:dyDescent="0.25">
      <c r="B2026" s="293">
        <v>45208</v>
      </c>
      <c r="C2026" s="397">
        <v>65512.39</v>
      </c>
    </row>
    <row r="2027" spans="2:3" x14ac:dyDescent="0.25">
      <c r="B2027" s="293">
        <v>45209</v>
      </c>
      <c r="C2027" s="397">
        <v>66079.360000000001</v>
      </c>
    </row>
    <row r="2028" spans="2:3" x14ac:dyDescent="0.25">
      <c r="B2028" s="293">
        <v>45210</v>
      </c>
      <c r="C2028" s="397">
        <v>66473.05</v>
      </c>
    </row>
    <row r="2029" spans="2:3" x14ac:dyDescent="0.25">
      <c r="B2029" s="293">
        <v>45211</v>
      </c>
      <c r="C2029" s="397">
        <v>66408.39</v>
      </c>
    </row>
    <row r="2030" spans="2:3" x14ac:dyDescent="0.25">
      <c r="B2030" s="293">
        <v>45212</v>
      </c>
      <c r="C2030" s="397">
        <v>66282.740000000005</v>
      </c>
    </row>
    <row r="2031" spans="2:3" x14ac:dyDescent="0.25">
      <c r="B2031" s="293">
        <v>45215</v>
      </c>
      <c r="C2031" s="397">
        <v>66166.929999999993</v>
      </c>
    </row>
    <row r="2032" spans="2:3" x14ac:dyDescent="0.25">
      <c r="B2032" s="293">
        <v>45216</v>
      </c>
      <c r="C2032" s="397">
        <v>66428.09</v>
      </c>
    </row>
    <row r="2033" spans="2:3" x14ac:dyDescent="0.25">
      <c r="B2033" s="293">
        <v>45217</v>
      </c>
      <c r="C2033" s="397">
        <v>65877.02</v>
      </c>
    </row>
    <row r="2034" spans="2:3" x14ac:dyDescent="0.25">
      <c r="B2034" s="293">
        <v>45218</v>
      </c>
      <c r="C2034" s="397">
        <v>65629.240000000005</v>
      </c>
    </row>
    <row r="2035" spans="2:3" x14ac:dyDescent="0.25">
      <c r="B2035" s="293">
        <v>45219</v>
      </c>
      <c r="C2035" s="397">
        <v>65397.62</v>
      </c>
    </row>
    <row r="2036" spans="2:3" x14ac:dyDescent="0.25">
      <c r="B2036" s="293">
        <v>45222</v>
      </c>
      <c r="C2036" s="397">
        <v>64571.88</v>
      </c>
    </row>
    <row r="2037" spans="2:3" x14ac:dyDescent="0.25">
      <c r="B2037" s="293">
        <v>45224</v>
      </c>
      <c r="C2037" s="397">
        <v>64049.06</v>
      </c>
    </row>
    <row r="2038" spans="2:3" x14ac:dyDescent="0.25">
      <c r="B2038" s="293">
        <v>45225</v>
      </c>
      <c r="C2038" s="397">
        <v>63148.15</v>
      </c>
    </row>
    <row r="2039" spans="2:3" x14ac:dyDescent="0.25">
      <c r="B2039" s="293">
        <v>45226</v>
      </c>
      <c r="C2039" s="397">
        <v>63782.8</v>
      </c>
    </row>
    <row r="2040" spans="2:3" x14ac:dyDescent="0.25">
      <c r="B2040" s="293">
        <v>45229</v>
      </c>
      <c r="C2040" s="397">
        <v>64112.65</v>
      </c>
    </row>
    <row r="2041" spans="2:3" x14ac:dyDescent="0.25">
      <c r="B2041" s="293">
        <v>45230</v>
      </c>
      <c r="C2041" s="397">
        <v>63874.93</v>
      </c>
    </row>
    <row r="2042" spans="2:3" x14ac:dyDescent="0.25">
      <c r="B2042" s="293">
        <v>45231</v>
      </c>
      <c r="C2042" s="397">
        <v>63591.33</v>
      </c>
    </row>
    <row r="2043" spans="2:3" x14ac:dyDescent="0.25">
      <c r="B2043" s="293">
        <v>45232</v>
      </c>
      <c r="C2043" s="397">
        <v>64080.9</v>
      </c>
    </row>
    <row r="2044" spans="2:3" x14ac:dyDescent="0.25">
      <c r="B2044" s="293">
        <v>45233</v>
      </c>
      <c r="C2044" s="397">
        <v>64363.78</v>
      </c>
    </row>
    <row r="2045" spans="2:3" x14ac:dyDescent="0.25">
      <c r="B2045" s="293">
        <v>45236</v>
      </c>
      <c r="C2045" s="397">
        <v>64958.69</v>
      </c>
    </row>
    <row r="2046" spans="2:3" x14ac:dyDescent="0.25">
      <c r="B2046" s="293">
        <v>45237</v>
      </c>
      <c r="C2046" s="397">
        <v>64942.400000000001</v>
      </c>
    </row>
    <row r="2047" spans="2:3" x14ac:dyDescent="0.25">
      <c r="B2047" s="293">
        <v>45238</v>
      </c>
      <c r="C2047" s="397">
        <v>64975.61</v>
      </c>
    </row>
    <row r="2048" spans="2:3" x14ac:dyDescent="0.25">
      <c r="B2048" s="293">
        <v>45239</v>
      </c>
      <c r="C2048" s="397">
        <v>64832.2</v>
      </c>
    </row>
    <row r="2049" spans="2:3" x14ac:dyDescent="0.25">
      <c r="B2049" s="293">
        <v>45240</v>
      </c>
      <c r="C2049" s="397">
        <v>64904.68</v>
      </c>
    </row>
    <row r="2050" spans="2:3" x14ac:dyDescent="0.25">
      <c r="B2050" s="293">
        <v>45242</v>
      </c>
      <c r="C2050" s="397">
        <v>65259.45</v>
      </c>
    </row>
    <row r="2051" spans="2:3" x14ac:dyDescent="0.25">
      <c r="B2051" s="293">
        <v>45243</v>
      </c>
      <c r="C2051" s="397">
        <v>64933.87</v>
      </c>
    </row>
    <row r="2052" spans="2:3" x14ac:dyDescent="0.25">
      <c r="B2052" s="293">
        <v>45245</v>
      </c>
      <c r="C2052" s="397">
        <v>65675.929999999993</v>
      </c>
    </row>
    <row r="2053" spans="2:3" x14ac:dyDescent="0.25">
      <c r="B2053" s="293">
        <v>45246</v>
      </c>
      <c r="C2053" s="397">
        <v>65982.48</v>
      </c>
    </row>
    <row r="2054" spans="2:3" x14ac:dyDescent="0.25">
      <c r="B2054" s="293">
        <v>45247</v>
      </c>
      <c r="C2054" s="397">
        <v>65794.73</v>
      </c>
    </row>
    <row r="2055" spans="2:3" x14ac:dyDescent="0.25">
      <c r="B2055" s="293">
        <v>45250</v>
      </c>
      <c r="C2055" s="397">
        <v>65655.149999999994</v>
      </c>
    </row>
    <row r="2056" spans="2:3" x14ac:dyDescent="0.25">
      <c r="B2056" s="293">
        <v>45251</v>
      </c>
      <c r="C2056" s="397">
        <v>65930.77</v>
      </c>
    </row>
    <row r="2057" spans="2:3" x14ac:dyDescent="0.25">
      <c r="B2057" s="293">
        <v>45252</v>
      </c>
      <c r="C2057" s="397">
        <v>66023.240000000005</v>
      </c>
    </row>
    <row r="2058" spans="2:3" x14ac:dyDescent="0.25">
      <c r="B2058" s="293">
        <v>45253</v>
      </c>
      <c r="C2058" s="397">
        <v>66017.81</v>
      </c>
    </row>
    <row r="2059" spans="2:3" x14ac:dyDescent="0.25">
      <c r="B2059" s="293">
        <v>45254</v>
      </c>
      <c r="C2059" s="397">
        <v>65970.039999999994</v>
      </c>
    </row>
    <row r="2060" spans="2:3" x14ac:dyDescent="0.25">
      <c r="B2060" s="293">
        <v>45258</v>
      </c>
      <c r="C2060" s="397">
        <v>66174.2</v>
      </c>
    </row>
    <row r="2061" spans="2:3" x14ac:dyDescent="0.25">
      <c r="B2061" s="293">
        <v>45259</v>
      </c>
      <c r="C2061" s="397">
        <v>66901.91</v>
      </c>
    </row>
    <row r="2062" spans="2:3" x14ac:dyDescent="0.25">
      <c r="B2062" s="293">
        <v>45260</v>
      </c>
      <c r="C2062" s="397">
        <v>66988.44</v>
      </c>
    </row>
    <row r="2063" spans="2:3" x14ac:dyDescent="0.25">
      <c r="B2063" s="293">
        <v>45261</v>
      </c>
      <c r="C2063" s="397">
        <v>67481.19</v>
      </c>
    </row>
    <row r="2064" spans="2:3" x14ac:dyDescent="0.25">
      <c r="B2064" s="293">
        <v>45264</v>
      </c>
      <c r="C2064" s="397">
        <v>68865.119999999995</v>
      </c>
    </row>
    <row r="2065" spans="2:3" x14ac:dyDescent="0.25">
      <c r="B2065" s="293">
        <v>45265</v>
      </c>
      <c r="C2065" s="397">
        <v>69296.14</v>
      </c>
    </row>
    <row r="2066" spans="2:3" x14ac:dyDescent="0.25">
      <c r="B2066" s="293">
        <v>45266</v>
      </c>
      <c r="C2066" s="397">
        <v>69653.73</v>
      </c>
    </row>
    <row r="2067" spans="2:3" x14ac:dyDescent="0.25">
      <c r="B2067" s="293">
        <v>45267</v>
      </c>
      <c r="C2067" s="397">
        <v>69521.69</v>
      </c>
    </row>
    <row r="2068" spans="2:3" x14ac:dyDescent="0.25">
      <c r="B2068" s="293">
        <v>45268</v>
      </c>
      <c r="C2068" s="397">
        <v>69825.600000000006</v>
      </c>
    </row>
    <row r="2069" spans="2:3" x14ac:dyDescent="0.25">
      <c r="B2069" s="293">
        <v>45271</v>
      </c>
      <c r="C2069" s="397">
        <v>69928.53</v>
      </c>
    </row>
    <row r="2070" spans="2:3" x14ac:dyDescent="0.25">
      <c r="B2070" s="293">
        <v>45272</v>
      </c>
      <c r="C2070" s="397">
        <v>69551.03</v>
      </c>
    </row>
    <row r="2071" spans="2:3" x14ac:dyDescent="0.25">
      <c r="B2071" s="293">
        <v>45273</v>
      </c>
      <c r="C2071" s="397">
        <v>69584.600000000006</v>
      </c>
    </row>
    <row r="2072" spans="2:3" x14ac:dyDescent="0.25">
      <c r="B2072" s="293">
        <v>45274</v>
      </c>
      <c r="C2072" s="397">
        <v>70514.2</v>
      </c>
    </row>
    <row r="2073" spans="2:3" x14ac:dyDescent="0.25">
      <c r="B2073" s="293">
        <v>45275</v>
      </c>
      <c r="C2073" s="397">
        <v>71483.75</v>
      </c>
    </row>
    <row r="2074" spans="2:3" x14ac:dyDescent="0.25">
      <c r="B2074" s="293">
        <v>45278</v>
      </c>
      <c r="C2074" s="397">
        <v>71315.09</v>
      </c>
    </row>
    <row r="2075" spans="2:3" x14ac:dyDescent="0.25">
      <c r="B2075" s="293">
        <v>45279</v>
      </c>
      <c r="C2075" s="397">
        <v>71437.19</v>
      </c>
    </row>
    <row r="2076" spans="2:3" x14ac:dyDescent="0.25">
      <c r="B2076" s="293">
        <v>45280</v>
      </c>
      <c r="C2076" s="397">
        <v>70506.31</v>
      </c>
    </row>
    <row r="2077" spans="2:3" x14ac:dyDescent="0.25">
      <c r="B2077" s="293">
        <v>45281</v>
      </c>
      <c r="C2077" s="397">
        <v>70865.100000000006</v>
      </c>
    </row>
    <row r="2078" spans="2:3" x14ac:dyDescent="0.25">
      <c r="B2078" s="293">
        <v>45282</v>
      </c>
      <c r="C2078" s="397">
        <v>71106.960000000006</v>
      </c>
    </row>
    <row r="2079" spans="2:3" x14ac:dyDescent="0.25">
      <c r="B2079" s="293">
        <v>45286</v>
      </c>
      <c r="C2079" s="397">
        <v>71336.800000000003</v>
      </c>
    </row>
    <row r="2080" spans="2:3" x14ac:dyDescent="0.25">
      <c r="B2080" s="293">
        <v>45287</v>
      </c>
      <c r="C2080" s="397">
        <v>72038.429999999993</v>
      </c>
    </row>
    <row r="2081" spans="2:3" x14ac:dyDescent="0.25">
      <c r="B2081" s="293">
        <v>45288</v>
      </c>
      <c r="C2081" s="397">
        <v>72410.38</v>
      </c>
    </row>
    <row r="2082" spans="2:3" x14ac:dyDescent="0.25">
      <c r="B2082" s="293">
        <v>45289</v>
      </c>
      <c r="C2082" s="397">
        <v>72240.259999999995</v>
      </c>
    </row>
    <row r="2083" spans="2:3" x14ac:dyDescent="0.25">
      <c r="B2083" s="293">
        <v>45292</v>
      </c>
      <c r="C2083" s="397">
        <v>72271.94</v>
      </c>
    </row>
    <row r="2084" spans="2:3" x14ac:dyDescent="0.25">
      <c r="B2084" s="293">
        <v>45293</v>
      </c>
      <c r="C2084" s="397">
        <v>71892.479999999996</v>
      </c>
    </row>
    <row r="2085" spans="2:3" x14ac:dyDescent="0.25">
      <c r="B2085" s="293">
        <v>45294</v>
      </c>
      <c r="C2085" s="397">
        <v>71356.600000000006</v>
      </c>
    </row>
    <row r="2086" spans="2:3" x14ac:dyDescent="0.25">
      <c r="B2086" s="293">
        <v>45295</v>
      </c>
      <c r="C2086" s="397">
        <v>71847.570000000007</v>
      </c>
    </row>
    <row r="2087" spans="2:3" x14ac:dyDescent="0.25">
      <c r="B2087" s="293">
        <v>45296</v>
      </c>
      <c r="C2087" s="397">
        <v>72026.149999999994</v>
      </c>
    </row>
    <row r="2088" spans="2:3" x14ac:dyDescent="0.25">
      <c r="B2088" s="293">
        <v>45299</v>
      </c>
      <c r="C2088" s="397">
        <v>71355.22</v>
      </c>
    </row>
    <row r="2089" spans="2:3" x14ac:dyDescent="0.25">
      <c r="B2089" s="293">
        <v>45300</v>
      </c>
      <c r="C2089" s="397">
        <v>71386.210000000006</v>
      </c>
    </row>
    <row r="2090" spans="2:3" x14ac:dyDescent="0.25">
      <c r="B2090" s="293">
        <v>45301</v>
      </c>
      <c r="C2090" s="397">
        <v>71657.710000000006</v>
      </c>
    </row>
    <row r="2091" spans="2:3" x14ac:dyDescent="0.25">
      <c r="B2091" s="293">
        <v>45302</v>
      </c>
      <c r="C2091" s="397">
        <v>71721.179999999993</v>
      </c>
    </row>
    <row r="2092" spans="2:3" x14ac:dyDescent="0.25">
      <c r="B2092" s="293">
        <v>45303</v>
      </c>
      <c r="C2092" s="397">
        <v>72568.45</v>
      </c>
    </row>
    <row r="2093" spans="2:3" x14ac:dyDescent="0.25">
      <c r="B2093" s="293">
        <v>45306</v>
      </c>
      <c r="C2093" s="397">
        <v>73327.94</v>
      </c>
    </row>
    <row r="2094" spans="2:3" x14ac:dyDescent="0.25">
      <c r="B2094" s="293">
        <v>45307</v>
      </c>
      <c r="C2094" s="397">
        <v>73128.77</v>
      </c>
    </row>
    <row r="2095" spans="2:3" x14ac:dyDescent="0.25">
      <c r="B2095" s="293">
        <v>45308</v>
      </c>
      <c r="C2095" s="397">
        <v>71500.759999999995</v>
      </c>
    </row>
    <row r="2096" spans="2:3" x14ac:dyDescent="0.25">
      <c r="B2096" s="293">
        <v>45309</v>
      </c>
      <c r="C2096" s="397">
        <v>71186.86</v>
      </c>
    </row>
    <row r="2097" spans="2:3" x14ac:dyDescent="0.25">
      <c r="B2097" s="293">
        <v>45310</v>
      </c>
      <c r="C2097" s="397">
        <v>71683.23</v>
      </c>
    </row>
    <row r="2098" spans="2:3" x14ac:dyDescent="0.25">
      <c r="B2098" s="293">
        <v>45311</v>
      </c>
      <c r="C2098" s="397">
        <v>71423.649999999994</v>
      </c>
    </row>
    <row r="2099" spans="2:3" x14ac:dyDescent="0.25">
      <c r="B2099" s="293">
        <v>45314</v>
      </c>
      <c r="C2099" s="397">
        <v>70370.55</v>
      </c>
    </row>
    <row r="2100" spans="2:3" x14ac:dyDescent="0.25">
      <c r="B2100" s="293">
        <v>45315</v>
      </c>
      <c r="C2100" s="397">
        <v>71060.31</v>
      </c>
    </row>
    <row r="2101" spans="2:3" x14ac:dyDescent="0.25">
      <c r="B2101" s="293">
        <v>45316</v>
      </c>
      <c r="C2101" s="397">
        <v>70700.67</v>
      </c>
    </row>
    <row r="2102" spans="2:3" x14ac:dyDescent="0.25">
      <c r="B2102" s="293">
        <v>45320</v>
      </c>
      <c r="C2102" s="397">
        <v>71941.570000000007</v>
      </c>
    </row>
    <row r="2103" spans="2:3" x14ac:dyDescent="0.25">
      <c r="B2103" s="293">
        <v>45321</v>
      </c>
      <c r="C2103" s="397">
        <v>71139.899999999994</v>
      </c>
    </row>
    <row r="2104" spans="2:3" x14ac:dyDescent="0.25">
      <c r="B2104" s="293">
        <v>45322</v>
      </c>
      <c r="C2104" s="397">
        <v>71752.11</v>
      </c>
    </row>
    <row r="2105" spans="2:3" x14ac:dyDescent="0.25">
      <c r="B2105" s="293">
        <v>45323</v>
      </c>
      <c r="C2105" s="397">
        <v>71645.3</v>
      </c>
    </row>
    <row r="2106" spans="2:3" x14ac:dyDescent="0.25">
      <c r="B2106" s="293">
        <v>45324</v>
      </c>
      <c r="C2106" s="397">
        <v>72085.63</v>
      </c>
    </row>
    <row r="2107" spans="2:3" x14ac:dyDescent="0.25">
      <c r="B2107" s="293">
        <v>45327</v>
      </c>
      <c r="C2107" s="397">
        <v>71731.42</v>
      </c>
    </row>
    <row r="2108" spans="2:3" x14ac:dyDescent="0.25">
      <c r="B2108" s="293">
        <v>45328</v>
      </c>
      <c r="C2108" s="397">
        <v>72186.09</v>
      </c>
    </row>
    <row r="2109" spans="2:3" x14ac:dyDescent="0.25">
      <c r="B2109" s="293">
        <v>45329</v>
      </c>
      <c r="C2109" s="397">
        <v>72152</v>
      </c>
    </row>
    <row r="2110" spans="2:3" x14ac:dyDescent="0.25">
      <c r="B2110" s="293">
        <v>45330</v>
      </c>
      <c r="C2110" s="397">
        <v>71428.429999999993</v>
      </c>
    </row>
    <row r="2111" spans="2:3" x14ac:dyDescent="0.25">
      <c r="B2111" s="293">
        <v>45331</v>
      </c>
      <c r="C2111" s="397">
        <v>71595.490000000005</v>
      </c>
    </row>
    <row r="2112" spans="2:3" x14ac:dyDescent="0.25">
      <c r="B2112" s="293">
        <v>45334</v>
      </c>
      <c r="C2112" s="397">
        <v>71072.490000000005</v>
      </c>
    </row>
    <row r="2113" spans="2:3" x14ac:dyDescent="0.25">
      <c r="B2113" s="293">
        <v>45335</v>
      </c>
      <c r="C2113" s="397">
        <v>71555.19</v>
      </c>
    </row>
    <row r="2114" spans="2:3" x14ac:dyDescent="0.25">
      <c r="B2114" s="293">
        <v>45336</v>
      </c>
      <c r="C2114" s="397">
        <v>71822.83</v>
      </c>
    </row>
    <row r="2115" spans="2:3" x14ac:dyDescent="0.25">
      <c r="B2115" s="293">
        <v>45337</v>
      </c>
      <c r="C2115" s="397">
        <v>72050.38</v>
      </c>
    </row>
    <row r="2116" spans="2:3" x14ac:dyDescent="0.25">
      <c r="B2116" s="293">
        <v>45338</v>
      </c>
      <c r="C2116" s="397">
        <v>72426.64</v>
      </c>
    </row>
    <row r="2117" spans="2:3" x14ac:dyDescent="0.25">
      <c r="B2117" s="293">
        <v>45341</v>
      </c>
      <c r="C2117" s="397">
        <v>72708.160000000003</v>
      </c>
    </row>
    <row r="2118" spans="2:3" x14ac:dyDescent="0.25">
      <c r="B2118" s="293">
        <v>45342</v>
      </c>
      <c r="C2118" s="397">
        <v>73057.399999999994</v>
      </c>
    </row>
    <row r="2119" spans="2:3" x14ac:dyDescent="0.25">
      <c r="B2119" s="293">
        <v>45343</v>
      </c>
      <c r="C2119" s="397">
        <v>72623.09</v>
      </c>
    </row>
    <row r="2120" spans="2:3" x14ac:dyDescent="0.25">
      <c r="B2120" s="293">
        <v>45344</v>
      </c>
      <c r="C2120" s="397">
        <v>73158.240000000005</v>
      </c>
    </row>
    <row r="2121" spans="2:3" x14ac:dyDescent="0.25">
      <c r="B2121" s="293">
        <v>45345</v>
      </c>
      <c r="C2121" s="397">
        <v>73142.8</v>
      </c>
    </row>
    <row r="2122" spans="2:3" x14ac:dyDescent="0.25">
      <c r="B2122" s="293">
        <v>45348</v>
      </c>
      <c r="C2122" s="397">
        <v>72790.13</v>
      </c>
    </row>
    <row r="2123" spans="2:3" x14ac:dyDescent="0.25">
      <c r="B2123" s="293">
        <v>45349</v>
      </c>
      <c r="C2123" s="397">
        <v>73095.22</v>
      </c>
    </row>
    <row r="2124" spans="2:3" x14ac:dyDescent="0.25">
      <c r="B2124" s="293">
        <v>45350</v>
      </c>
      <c r="C2124" s="397">
        <v>72304.88</v>
      </c>
    </row>
    <row r="2125" spans="2:3" x14ac:dyDescent="0.25">
      <c r="B2125" s="293">
        <v>45351</v>
      </c>
      <c r="C2125" s="397">
        <v>72500.3</v>
      </c>
    </row>
    <row r="2126" spans="2:3" x14ac:dyDescent="0.25">
      <c r="B2126" s="293">
        <v>45352</v>
      </c>
      <c r="C2126" s="397">
        <v>73745.350000000006</v>
      </c>
    </row>
    <row r="2127" spans="2:3" x14ac:dyDescent="0.25">
      <c r="B2127" s="293">
        <v>45353</v>
      </c>
      <c r="C2127" s="397">
        <v>73806.149999999994</v>
      </c>
    </row>
    <row r="2128" spans="2:3" x14ac:dyDescent="0.25">
      <c r="B2128" s="293">
        <v>45355</v>
      </c>
      <c r="C2128" s="397">
        <v>73872.289999999994</v>
      </c>
    </row>
    <row r="2129" spans="2:3" x14ac:dyDescent="0.25">
      <c r="B2129" s="293">
        <v>45356</v>
      </c>
      <c r="C2129" s="397">
        <v>73677.13</v>
      </c>
    </row>
    <row r="2130" spans="2:3" x14ac:dyDescent="0.25">
      <c r="B2130" s="293">
        <v>45357</v>
      </c>
      <c r="C2130" s="397">
        <v>74085.990000000005</v>
      </c>
    </row>
    <row r="2131" spans="2:3" x14ac:dyDescent="0.25">
      <c r="B2131" s="293">
        <v>45358</v>
      </c>
      <c r="C2131" s="397">
        <v>74119.39</v>
      </c>
    </row>
    <row r="2132" spans="2:3" x14ac:dyDescent="0.25">
      <c r="B2132" s="293">
        <v>45362</v>
      </c>
      <c r="C2132" s="397">
        <v>73502.64</v>
      </c>
    </row>
    <row r="2133" spans="2:3" x14ac:dyDescent="0.25">
      <c r="B2133" s="293">
        <v>45363</v>
      </c>
      <c r="C2133" s="397">
        <v>73667.960000000006</v>
      </c>
    </row>
    <row r="2134" spans="2:3" x14ac:dyDescent="0.25">
      <c r="B2134" s="293">
        <v>45364</v>
      </c>
      <c r="C2134" s="397">
        <v>72761.89</v>
      </c>
    </row>
    <row r="2135" spans="2:3" x14ac:dyDescent="0.25">
      <c r="B2135" s="293">
        <v>45365</v>
      </c>
      <c r="C2135" s="397">
        <v>73097.279999999999</v>
      </c>
    </row>
    <row r="2136" spans="2:3" x14ac:dyDescent="0.25">
      <c r="B2136" s="293">
        <v>45366</v>
      </c>
      <c r="C2136" s="397">
        <v>72643.429999999993</v>
      </c>
    </row>
    <row r="2137" spans="2:3" x14ac:dyDescent="0.25">
      <c r="B2137" s="293">
        <v>45369</v>
      </c>
      <c r="C2137" s="397">
        <v>72748.42</v>
      </c>
    </row>
    <row r="2138" spans="2:3" x14ac:dyDescent="0.25">
      <c r="B2138" s="293">
        <v>45370</v>
      </c>
      <c r="C2138" s="397">
        <v>72012.05</v>
      </c>
    </row>
    <row r="2139" spans="2:3" x14ac:dyDescent="0.25">
      <c r="B2139" s="293">
        <v>45371</v>
      </c>
      <c r="C2139" s="397">
        <v>72101.69</v>
      </c>
    </row>
    <row r="2140" spans="2:3" x14ac:dyDescent="0.25">
      <c r="B2140" s="293">
        <v>45372</v>
      </c>
      <c r="C2140" s="397">
        <v>72641.19</v>
      </c>
    </row>
    <row r="2141" spans="2:3" x14ac:dyDescent="0.25">
      <c r="B2141" s="293">
        <v>45373</v>
      </c>
      <c r="C2141" s="397">
        <v>72831.94</v>
      </c>
    </row>
    <row r="2142" spans="2:3" x14ac:dyDescent="0.25">
      <c r="B2142" s="293">
        <v>45377</v>
      </c>
      <c r="C2142" s="397">
        <v>72470.3</v>
      </c>
    </row>
    <row r="2143" spans="2:3" x14ac:dyDescent="0.25">
      <c r="B2143" s="293">
        <v>45378</v>
      </c>
      <c r="C2143" s="397">
        <v>72996.31</v>
      </c>
    </row>
    <row r="2144" spans="2:3" x14ac:dyDescent="0.25">
      <c r="B2144" s="293">
        <v>45379</v>
      </c>
      <c r="C2144" s="397">
        <v>73651.350000000006</v>
      </c>
    </row>
    <row r="2145" spans="2:3" x14ac:dyDescent="0.25">
      <c r="B2145" s="293">
        <v>45383</v>
      </c>
      <c r="C2145" s="397">
        <v>74014.55</v>
      </c>
    </row>
    <row r="2146" spans="2:3" x14ac:dyDescent="0.25">
      <c r="B2146" s="293">
        <v>45384</v>
      </c>
      <c r="C2146" s="397">
        <v>73903.91</v>
      </c>
    </row>
    <row r="2147" spans="2:3" x14ac:dyDescent="0.25">
      <c r="B2147" s="293">
        <v>45385</v>
      </c>
      <c r="C2147" s="397">
        <v>73876.820000000007</v>
      </c>
    </row>
    <row r="2148" spans="2:3" x14ac:dyDescent="0.25">
      <c r="B2148" s="293">
        <v>45386</v>
      </c>
      <c r="C2148" s="397">
        <v>74227.63</v>
      </c>
    </row>
    <row r="2149" spans="2:3" x14ac:dyDescent="0.25">
      <c r="B2149" s="293">
        <v>45387</v>
      </c>
      <c r="C2149" s="397">
        <v>74248.22</v>
      </c>
    </row>
    <row r="2150" spans="2:3" x14ac:dyDescent="0.25">
      <c r="B2150" s="293">
        <v>45390</v>
      </c>
      <c r="C2150" s="397">
        <v>74742.5</v>
      </c>
    </row>
    <row r="2151" spans="2:3" x14ac:dyDescent="0.25">
      <c r="B2151" s="293">
        <v>45391</v>
      </c>
      <c r="C2151" s="397">
        <v>74683.7</v>
      </c>
    </row>
    <row r="2152" spans="2:3" x14ac:dyDescent="0.25">
      <c r="B2152" s="293">
        <v>45392</v>
      </c>
      <c r="C2152" s="397">
        <v>75038.149999999994</v>
      </c>
    </row>
    <row r="2153" spans="2:3" x14ac:dyDescent="0.25">
      <c r="B2153" s="293">
        <v>45394</v>
      </c>
      <c r="C2153" s="397">
        <v>74244.899999999994</v>
      </c>
    </row>
    <row r="2154" spans="2:3" x14ac:dyDescent="0.25">
      <c r="B2154" s="293">
        <v>45397</v>
      </c>
      <c r="C2154" s="397">
        <v>73399.78</v>
      </c>
    </row>
    <row r="2155" spans="2:3" x14ac:dyDescent="0.25">
      <c r="B2155" s="293">
        <v>45398</v>
      </c>
      <c r="C2155" s="397">
        <v>72943.679999999993</v>
      </c>
    </row>
    <row r="2156" spans="2:3" x14ac:dyDescent="0.25">
      <c r="B2156" s="293">
        <v>45400</v>
      </c>
      <c r="C2156" s="397">
        <v>72488.990000000005</v>
      </c>
    </row>
    <row r="2157" spans="2:3" x14ac:dyDescent="0.25">
      <c r="B2157" s="293">
        <v>45401</v>
      </c>
      <c r="C2157" s="397">
        <v>73088.33</v>
      </c>
    </row>
    <row r="2158" spans="2:3" x14ac:dyDescent="0.25">
      <c r="B2158" s="293">
        <v>45404</v>
      </c>
      <c r="C2158" s="397">
        <v>73648.62</v>
      </c>
    </row>
    <row r="2159" spans="2:3" x14ac:dyDescent="0.25">
      <c r="B2159" s="293">
        <v>45405</v>
      </c>
      <c r="C2159" s="397">
        <v>73738.45</v>
      </c>
    </row>
    <row r="2160" spans="2:3" x14ac:dyDescent="0.25">
      <c r="B2160" s="293">
        <v>45406</v>
      </c>
      <c r="C2160" s="397">
        <v>73852.94</v>
      </c>
    </row>
    <row r="2161" spans="2:3" x14ac:dyDescent="0.25">
      <c r="B2161" s="293">
        <v>45407</v>
      </c>
      <c r="C2161" s="397">
        <v>74339.44</v>
      </c>
    </row>
    <row r="2162" spans="2:3" x14ac:dyDescent="0.25">
      <c r="B2162" s="293">
        <v>45408</v>
      </c>
      <c r="C2162" s="397">
        <v>73730.16</v>
      </c>
    </row>
    <row r="2163" spans="2:3" x14ac:dyDescent="0.25">
      <c r="B2163" s="293">
        <v>45411</v>
      </c>
      <c r="C2163" s="397">
        <v>74671.28</v>
      </c>
    </row>
    <row r="2164" spans="2:3" x14ac:dyDescent="0.25">
      <c r="B2164" s="293">
        <v>45412</v>
      </c>
      <c r="C2164" s="397">
        <v>74482.78</v>
      </c>
    </row>
    <row r="2165" spans="2:3" x14ac:dyDescent="0.25">
      <c r="B2165" s="293">
        <v>45414</v>
      </c>
      <c r="C2165" s="397">
        <v>74611.11</v>
      </c>
    </row>
    <row r="2166" spans="2:3" x14ac:dyDescent="0.25">
      <c r="B2166" s="293">
        <v>45415</v>
      </c>
      <c r="C2166" s="397">
        <v>73878.149999999994</v>
      </c>
    </row>
    <row r="2167" spans="2:3" x14ac:dyDescent="0.25">
      <c r="B2167" s="293">
        <v>45418</v>
      </c>
      <c r="C2167" s="397">
        <v>73895.539999999994</v>
      </c>
    </row>
    <row r="2168" spans="2:3" x14ac:dyDescent="0.25">
      <c r="B2168" s="293">
        <v>45419</v>
      </c>
      <c r="C2168" s="397">
        <v>73511.850000000006</v>
      </c>
    </row>
    <row r="2169" spans="2:3" x14ac:dyDescent="0.25">
      <c r="B2169" s="293">
        <v>45420</v>
      </c>
      <c r="C2169" s="397">
        <v>73466.39</v>
      </c>
    </row>
    <row r="2170" spans="2:3" x14ac:dyDescent="0.25">
      <c r="B2170" s="293">
        <v>45421</v>
      </c>
      <c r="C2170" s="397">
        <v>72404.17</v>
      </c>
    </row>
    <row r="2171" spans="2:3" x14ac:dyDescent="0.25">
      <c r="B2171" s="293">
        <v>45422</v>
      </c>
      <c r="C2171" s="397">
        <v>72664.47</v>
      </c>
    </row>
    <row r="2172" spans="2:3" x14ac:dyDescent="0.25">
      <c r="B2172" s="293">
        <v>45425</v>
      </c>
      <c r="C2172" s="397">
        <v>72776.13</v>
      </c>
    </row>
    <row r="2173" spans="2:3" x14ac:dyDescent="0.25">
      <c r="B2173" s="293">
        <v>45426</v>
      </c>
      <c r="C2173" s="397">
        <v>73104.61</v>
      </c>
    </row>
    <row r="2174" spans="2:3" x14ac:dyDescent="0.25">
      <c r="B2174" s="293">
        <v>45427</v>
      </c>
      <c r="C2174" s="397">
        <v>72987.03</v>
      </c>
    </row>
    <row r="2175" spans="2:3" x14ac:dyDescent="0.25">
      <c r="B2175" s="293">
        <v>45428</v>
      </c>
      <c r="C2175" s="397">
        <v>73663.72</v>
      </c>
    </row>
    <row r="2176" spans="2:3" x14ac:dyDescent="0.25">
      <c r="B2176" s="293">
        <v>45429</v>
      </c>
      <c r="C2176" s="397">
        <v>73917.03</v>
      </c>
    </row>
    <row r="2177" spans="2:3" x14ac:dyDescent="0.25">
      <c r="B2177" s="293">
        <v>45430</v>
      </c>
      <c r="C2177" s="397">
        <v>74005.94</v>
      </c>
    </row>
    <row r="2178" spans="2:3" x14ac:dyDescent="0.25">
      <c r="B2178" s="293">
        <v>45433</v>
      </c>
      <c r="C2178" s="397">
        <v>73953.31</v>
      </c>
    </row>
    <row r="2179" spans="2:3" x14ac:dyDescent="0.25">
      <c r="B2179" s="293">
        <v>45434</v>
      </c>
      <c r="C2179" s="397">
        <v>74221.06</v>
      </c>
    </row>
    <row r="2180" spans="2:3" x14ac:dyDescent="0.25">
      <c r="B2180" s="293">
        <v>45435</v>
      </c>
      <c r="C2180" s="397">
        <v>75418.039999999994</v>
      </c>
    </row>
    <row r="2181" spans="2:3" x14ac:dyDescent="0.25">
      <c r="B2181" s="293">
        <v>45436</v>
      </c>
      <c r="C2181" s="397">
        <v>75410.39</v>
      </c>
    </row>
    <row r="2182" spans="2:3" x14ac:dyDescent="0.25">
      <c r="B2182" s="293">
        <v>45439</v>
      </c>
      <c r="C2182" s="397">
        <v>75390.5</v>
      </c>
    </row>
    <row r="2183" spans="2:3" x14ac:dyDescent="0.25">
      <c r="B2183" s="293">
        <v>45440</v>
      </c>
      <c r="C2183" s="397">
        <v>75170.45</v>
      </c>
    </row>
    <row r="2184" spans="2:3" x14ac:dyDescent="0.25">
      <c r="B2184" s="293">
        <v>45441</v>
      </c>
      <c r="C2184" s="397">
        <v>74502.899999999994</v>
      </c>
    </row>
    <row r="2185" spans="2:3" x14ac:dyDescent="0.25">
      <c r="B2185" s="293">
        <v>45442</v>
      </c>
      <c r="C2185" s="397">
        <v>73885.600000000006</v>
      </c>
    </row>
    <row r="2186" spans="2:3" x14ac:dyDescent="0.25">
      <c r="B2186" s="293">
        <v>45443</v>
      </c>
      <c r="C2186" s="397">
        <v>73961.31</v>
      </c>
    </row>
    <row r="2187" spans="2:3" x14ac:dyDescent="0.25">
      <c r="B2187" s="293">
        <v>45446</v>
      </c>
      <c r="C2187" s="397">
        <v>76468.78</v>
      </c>
    </row>
    <row r="2188" spans="2:3" x14ac:dyDescent="0.25">
      <c r="B2188" s="293">
        <v>45447</v>
      </c>
      <c r="C2188" s="397">
        <v>72079.05</v>
      </c>
    </row>
    <row r="2189" spans="2:3" x14ac:dyDescent="0.25">
      <c r="B2189" s="293">
        <v>45448</v>
      </c>
      <c r="C2189" s="397">
        <v>74382.240000000005</v>
      </c>
    </row>
    <row r="2190" spans="2:3" x14ac:dyDescent="0.25">
      <c r="B2190" s="293">
        <v>45449</v>
      </c>
      <c r="C2190" s="397">
        <v>75074.509999999995</v>
      </c>
    </row>
    <row r="2191" spans="2:3" x14ac:dyDescent="0.25">
      <c r="B2191" s="293">
        <v>45450</v>
      </c>
      <c r="C2191" s="397">
        <v>76693.36</v>
      </c>
    </row>
    <row r="2192" spans="2:3" x14ac:dyDescent="0.25">
      <c r="B2192" s="293">
        <v>45453</v>
      </c>
      <c r="C2192" s="397">
        <v>76490.080000000002</v>
      </c>
    </row>
    <row r="2193" spans="2:3" x14ac:dyDescent="0.25">
      <c r="B2193" s="293">
        <v>45454</v>
      </c>
      <c r="C2193" s="397">
        <v>76456.59</v>
      </c>
    </row>
    <row r="2194" spans="2:3" x14ac:dyDescent="0.25">
      <c r="B2194" s="293">
        <v>45455</v>
      </c>
      <c r="C2194" s="397">
        <v>76606.570000000007</v>
      </c>
    </row>
    <row r="2195" spans="2:3" x14ac:dyDescent="0.25">
      <c r="B2195" s="293">
        <v>45456</v>
      </c>
      <c r="C2195" s="397">
        <v>76810.899999999994</v>
      </c>
    </row>
    <row r="2196" spans="2:3" x14ac:dyDescent="0.25">
      <c r="B2196" s="293">
        <v>45457</v>
      </c>
      <c r="C2196" s="397">
        <v>76992.77</v>
      </c>
    </row>
    <row r="2197" spans="2:3" x14ac:dyDescent="0.25">
      <c r="B2197" s="293">
        <v>45461</v>
      </c>
      <c r="C2197" s="397">
        <v>77301.14</v>
      </c>
    </row>
    <row r="2198" spans="2:3" x14ac:dyDescent="0.25">
      <c r="B2198" s="293">
        <v>45462</v>
      </c>
      <c r="C2198" s="397">
        <v>77337.59</v>
      </c>
    </row>
    <row r="2199" spans="2:3" x14ac:dyDescent="0.25">
      <c r="B2199" s="293">
        <v>45463</v>
      </c>
      <c r="C2199" s="397">
        <v>77478.929999999993</v>
      </c>
    </row>
    <row r="2200" spans="2:3" x14ac:dyDescent="0.25">
      <c r="B2200" s="293">
        <v>45464</v>
      </c>
      <c r="C2200" s="397">
        <v>77209.899999999994</v>
      </c>
    </row>
    <row r="2201" spans="2:3" x14ac:dyDescent="0.25">
      <c r="B2201" s="293">
        <v>45467</v>
      </c>
      <c r="C2201" s="397">
        <v>77341.08</v>
      </c>
    </row>
    <row r="2202" spans="2:3" x14ac:dyDescent="0.25">
      <c r="B2202" s="293">
        <v>45468</v>
      </c>
      <c r="C2202" s="397">
        <v>78053.52</v>
      </c>
    </row>
    <row r="2203" spans="2:3" x14ac:dyDescent="0.25">
      <c r="B2203" s="293">
        <v>45469</v>
      </c>
      <c r="C2203" s="397">
        <v>78674.25</v>
      </c>
    </row>
    <row r="2204" spans="2:3" x14ac:dyDescent="0.25">
      <c r="B2204" s="293">
        <v>45470</v>
      </c>
      <c r="C2204" s="397">
        <v>79243.179999999993</v>
      </c>
    </row>
    <row r="2205" spans="2:3" x14ac:dyDescent="0.25">
      <c r="B2205" s="293">
        <v>45471</v>
      </c>
      <c r="C2205" s="397">
        <v>79032.73</v>
      </c>
    </row>
    <row r="2206" spans="2:3" x14ac:dyDescent="0.25">
      <c r="B2206" s="293">
        <v>45474</v>
      </c>
      <c r="C2206" s="397">
        <v>79476.19</v>
      </c>
    </row>
    <row r="2207" spans="2:3" x14ac:dyDescent="0.25">
      <c r="B2207" s="293">
        <v>45475</v>
      </c>
      <c r="C2207" s="397">
        <v>79441.45</v>
      </c>
    </row>
    <row r="2208" spans="2:3" x14ac:dyDescent="0.25">
      <c r="B2208" s="293">
        <v>45476</v>
      </c>
      <c r="C2208" s="397">
        <v>79986.8</v>
      </c>
    </row>
    <row r="2209" spans="2:3" x14ac:dyDescent="0.25">
      <c r="B2209" s="293">
        <v>45477</v>
      </c>
      <c r="C2209" s="397">
        <v>80049.67</v>
      </c>
    </row>
    <row r="2210" spans="2:3" x14ac:dyDescent="0.25">
      <c r="B2210" s="293">
        <v>45478</v>
      </c>
      <c r="C2210" s="397">
        <v>79996.600000000006</v>
      </c>
    </row>
    <row r="2211" spans="2:3" x14ac:dyDescent="0.25">
      <c r="B2211" s="293">
        <v>45481</v>
      </c>
      <c r="C2211" s="397">
        <v>79960.38</v>
      </c>
    </row>
    <row r="2212" spans="2:3" x14ac:dyDescent="0.25">
      <c r="B2212" s="293">
        <v>45482</v>
      </c>
      <c r="C2212" s="397">
        <v>80351.64</v>
      </c>
    </row>
    <row r="2213" spans="2:3" x14ac:dyDescent="0.25">
      <c r="B2213" s="293">
        <v>45483</v>
      </c>
      <c r="C2213" s="397">
        <v>79924.77</v>
      </c>
    </row>
    <row r="2214" spans="2:3" x14ac:dyDescent="0.25">
      <c r="B2214" s="293">
        <v>45484</v>
      </c>
      <c r="C2214" s="397">
        <v>79897.34</v>
      </c>
    </row>
    <row r="2215" spans="2:3" x14ac:dyDescent="0.25">
      <c r="B2215" s="293">
        <v>45485</v>
      </c>
      <c r="C2215" s="397">
        <v>80519.34</v>
      </c>
    </row>
    <row r="2216" spans="2:3" x14ac:dyDescent="0.25">
      <c r="B2216" s="293">
        <v>45488</v>
      </c>
      <c r="C2216" s="397">
        <v>80664.86</v>
      </c>
    </row>
    <row r="2217" spans="2:3" x14ac:dyDescent="0.25">
      <c r="B2217" s="293">
        <v>45489</v>
      </c>
      <c r="C2217" s="397">
        <v>80716.55</v>
      </c>
    </row>
    <row r="2218" spans="2:3" x14ac:dyDescent="0.25">
      <c r="B2218" s="293">
        <v>45491</v>
      </c>
      <c r="C2218" s="397">
        <v>81343.460000000006</v>
      </c>
    </row>
    <row r="2219" spans="2:3" x14ac:dyDescent="0.25">
      <c r="B2219" s="293">
        <v>45492</v>
      </c>
      <c r="C2219" s="397">
        <v>80604.649999999994</v>
      </c>
    </row>
    <row r="2220" spans="2:3" x14ac:dyDescent="0.25">
      <c r="B2220" s="293">
        <v>45495</v>
      </c>
      <c r="C2220" s="397">
        <v>80502.080000000002</v>
      </c>
    </row>
    <row r="2221" spans="2:3" x14ac:dyDescent="0.25">
      <c r="B2221" s="293">
        <v>45496</v>
      </c>
      <c r="C2221" s="397">
        <v>80429.039999999994</v>
      </c>
    </row>
    <row r="2222" spans="2:3" x14ac:dyDescent="0.25">
      <c r="B2222" s="293">
        <v>45497</v>
      </c>
      <c r="C2222" s="397">
        <v>80148.88</v>
      </c>
    </row>
    <row r="2223" spans="2:3" x14ac:dyDescent="0.25">
      <c r="B2223" s="293">
        <v>45498</v>
      </c>
      <c r="C2223" s="397">
        <v>80039.8</v>
      </c>
    </row>
    <row r="2224" spans="2:3" x14ac:dyDescent="0.25">
      <c r="B2224" s="293">
        <v>45499</v>
      </c>
      <c r="C2224" s="397">
        <v>81332.72</v>
      </c>
    </row>
    <row r="2225" spans="2:3" x14ac:dyDescent="0.25">
      <c r="B2225" s="293">
        <v>45502</v>
      </c>
      <c r="C2225" s="397">
        <v>81355.839999999997</v>
      </c>
    </row>
    <row r="2226" spans="2:3" x14ac:dyDescent="0.25">
      <c r="B2226" s="293">
        <v>45503</v>
      </c>
      <c r="C2226" s="397">
        <v>81455.399999999994</v>
      </c>
    </row>
    <row r="2227" spans="2:3" x14ac:dyDescent="0.25">
      <c r="B2227" s="293">
        <v>45504</v>
      </c>
      <c r="C2227" s="397">
        <v>81741.34</v>
      </c>
    </row>
    <row r="2228" spans="2:3" x14ac:dyDescent="0.25">
      <c r="B2228" s="293">
        <v>45505</v>
      </c>
      <c r="C2228" s="397">
        <v>81867.55</v>
      </c>
    </row>
    <row r="2229" spans="2:3" x14ac:dyDescent="0.25">
      <c r="B2229" s="293">
        <v>45506</v>
      </c>
      <c r="C2229" s="397">
        <v>80981.95</v>
      </c>
    </row>
    <row r="2230" spans="2:3" x14ac:dyDescent="0.25">
      <c r="B2230" s="293">
        <v>45509</v>
      </c>
      <c r="C2230" s="397">
        <v>78759.399999999994</v>
      </c>
    </row>
    <row r="2231" spans="2:3" x14ac:dyDescent="0.25">
      <c r="B2231" s="293">
        <v>45510</v>
      </c>
      <c r="C2231" s="397">
        <v>78593.070000000007</v>
      </c>
    </row>
    <row r="2232" spans="2:3" x14ac:dyDescent="0.25">
      <c r="B2232" s="293">
        <v>45511</v>
      </c>
      <c r="C2232" s="397">
        <v>79468.009999999995</v>
      </c>
    </row>
    <row r="2233" spans="2:3" x14ac:dyDescent="0.25">
      <c r="B2233" s="293">
        <v>45512</v>
      </c>
      <c r="C2233" s="397">
        <v>78886.22</v>
      </c>
    </row>
    <row r="2234" spans="2:3" x14ac:dyDescent="0.25">
      <c r="B2234" s="293">
        <v>45513</v>
      </c>
      <c r="C2234" s="397">
        <v>79705.91</v>
      </c>
    </row>
    <row r="2235" spans="2:3" x14ac:dyDescent="0.25">
      <c r="B2235" s="293">
        <v>45516</v>
      </c>
      <c r="C2235" s="397">
        <v>79648.92</v>
      </c>
    </row>
    <row r="2236" spans="2:3" x14ac:dyDescent="0.25">
      <c r="B2236" s="293">
        <v>45517</v>
      </c>
      <c r="C2236" s="397">
        <v>78956.03</v>
      </c>
    </row>
    <row r="2237" spans="2:3" x14ac:dyDescent="0.25">
      <c r="B2237" s="293">
        <v>45518</v>
      </c>
      <c r="C2237" s="397">
        <v>79105.88</v>
      </c>
    </row>
    <row r="2238" spans="2:3" x14ac:dyDescent="0.25">
      <c r="B2238" s="293">
        <v>45520</v>
      </c>
      <c r="C2238" s="397">
        <v>80436.84</v>
      </c>
    </row>
    <row r="2239" spans="2:3" x14ac:dyDescent="0.25">
      <c r="B2239" s="293">
        <v>45523</v>
      </c>
      <c r="C2239" s="397">
        <v>80424.679999999993</v>
      </c>
    </row>
    <row r="2240" spans="2:3" x14ac:dyDescent="0.25">
      <c r="B2240" s="293">
        <v>45524</v>
      </c>
      <c r="C2240" s="397">
        <v>80802.86</v>
      </c>
    </row>
    <row r="2241" spans="2:3" x14ac:dyDescent="0.25">
      <c r="B2241" s="293">
        <v>45525</v>
      </c>
      <c r="C2241" s="397">
        <v>80905.3</v>
      </c>
    </row>
    <row r="2242" spans="2:3" x14ac:dyDescent="0.25">
      <c r="B2242" s="293">
        <v>45526</v>
      </c>
      <c r="C2242" s="397">
        <v>81053.19</v>
      </c>
    </row>
    <row r="2243" spans="2:3" x14ac:dyDescent="0.25">
      <c r="B2243" s="293">
        <v>45527</v>
      </c>
      <c r="C2243" s="397">
        <v>81086.210000000006</v>
      </c>
    </row>
    <row r="2244" spans="2:3" x14ac:dyDescent="0.25">
      <c r="B2244" s="293">
        <v>45530</v>
      </c>
      <c r="C2244" s="397">
        <v>81698.11</v>
      </c>
    </row>
    <row r="2245" spans="2:3" x14ac:dyDescent="0.25">
      <c r="B2245" s="293">
        <v>45531</v>
      </c>
      <c r="C2245" s="397">
        <v>81711.759999999995</v>
      </c>
    </row>
    <row r="2246" spans="2:3" x14ac:dyDescent="0.25">
      <c r="B2246" s="293">
        <v>45532</v>
      </c>
      <c r="C2246" s="397">
        <v>81785.56</v>
      </c>
    </row>
    <row r="2247" spans="2:3" x14ac:dyDescent="0.25">
      <c r="B2247" s="293">
        <v>45533</v>
      </c>
      <c r="C2247" s="397">
        <v>82134.61</v>
      </c>
    </row>
    <row r="2248" spans="2:3" x14ac:dyDescent="0.25">
      <c r="B2248" s="293">
        <v>45534</v>
      </c>
      <c r="C2248" s="397">
        <v>82365.77</v>
      </c>
    </row>
    <row r="2249" spans="2:3" x14ac:dyDescent="0.25">
      <c r="B2249" s="293">
        <v>45537</v>
      </c>
      <c r="C2249" s="397">
        <v>82559.839999999997</v>
      </c>
    </row>
    <row r="2250" spans="2:3" x14ac:dyDescent="0.25">
      <c r="B2250" s="293">
        <v>45538</v>
      </c>
      <c r="C2250" s="397">
        <v>82555.44</v>
      </c>
    </row>
    <row r="2251" spans="2:3" x14ac:dyDescent="0.25">
      <c r="B2251" s="293">
        <v>45539</v>
      </c>
      <c r="C2251" s="397">
        <v>82352.639999999999</v>
      </c>
    </row>
    <row r="2252" spans="2:3" x14ac:dyDescent="0.25">
      <c r="B2252" s="293">
        <v>45540</v>
      </c>
      <c r="C2252" s="397">
        <v>82201.16</v>
      </c>
    </row>
    <row r="2253" spans="2:3" x14ac:dyDescent="0.25">
      <c r="B2253" s="293">
        <v>45541</v>
      </c>
      <c r="C2253" s="397">
        <v>81183.929999999993</v>
      </c>
    </row>
    <row r="2254" spans="2:3" x14ac:dyDescent="0.25">
      <c r="B2254" s="293">
        <v>45544</v>
      </c>
      <c r="C2254" s="397">
        <v>81559.539999999994</v>
      </c>
    </row>
    <row r="2255" spans="2:3" x14ac:dyDescent="0.25">
      <c r="B2255" s="293">
        <v>45545</v>
      </c>
      <c r="C2255" s="397">
        <v>81921.289999999994</v>
      </c>
    </row>
    <row r="2256" spans="2:3" x14ac:dyDescent="0.25">
      <c r="B2256" s="293">
        <v>45546</v>
      </c>
      <c r="C2256" s="397">
        <v>81523.16</v>
      </c>
    </row>
    <row r="2257" spans="2:3" x14ac:dyDescent="0.25">
      <c r="B2257" s="293">
        <v>45547</v>
      </c>
      <c r="C2257" s="397">
        <v>82962.710000000006</v>
      </c>
    </row>
    <row r="2258" spans="2:3" x14ac:dyDescent="0.25">
      <c r="B2258" s="293">
        <v>45548</v>
      </c>
      <c r="C2258" s="397">
        <v>82890.94</v>
      </c>
    </row>
    <row r="2259" spans="2:3" x14ac:dyDescent="0.25">
      <c r="B2259" s="293">
        <v>45551</v>
      </c>
      <c r="C2259" s="397">
        <v>82988.78</v>
      </c>
    </row>
    <row r="2260" spans="2:3" x14ac:dyDescent="0.25">
      <c r="B2260" s="293">
        <v>45552</v>
      </c>
      <c r="C2260" s="397">
        <v>83079.66</v>
      </c>
    </row>
    <row r="2261" spans="2:3" x14ac:dyDescent="0.25">
      <c r="B2261" s="293">
        <v>45553</v>
      </c>
      <c r="C2261" s="397">
        <v>82948.23</v>
      </c>
    </row>
    <row r="2262" spans="2:3" x14ac:dyDescent="0.25">
      <c r="B2262" s="293">
        <v>45554</v>
      </c>
      <c r="C2262" s="397">
        <v>83184.800000000003</v>
      </c>
    </row>
    <row r="2263" spans="2:3" x14ac:dyDescent="0.25">
      <c r="B2263" s="293">
        <v>45555</v>
      </c>
      <c r="C2263" s="397">
        <v>84544.31</v>
      </c>
    </row>
    <row r="2264" spans="2:3" x14ac:dyDescent="0.25">
      <c r="B2264" s="293">
        <v>45558</v>
      </c>
      <c r="C2264" s="397">
        <v>84928.61</v>
      </c>
    </row>
    <row r="2265" spans="2:3" x14ac:dyDescent="0.25">
      <c r="B2265" s="293">
        <v>45559</v>
      </c>
      <c r="C2265" s="397">
        <v>84914.04</v>
      </c>
    </row>
    <row r="2266" spans="2:3" x14ac:dyDescent="0.25">
      <c r="B2266" s="293">
        <v>45560</v>
      </c>
      <c r="C2266" s="397">
        <v>85169.87</v>
      </c>
    </row>
    <row r="2267" spans="2:3" x14ac:dyDescent="0.25">
      <c r="B2267" s="293">
        <v>45561</v>
      </c>
      <c r="C2267" s="397">
        <v>85836.12</v>
      </c>
    </row>
    <row r="2268" spans="2:3" x14ac:dyDescent="0.25">
      <c r="B2268" s="293">
        <v>45562</v>
      </c>
      <c r="C2268" s="397">
        <v>85571.85</v>
      </c>
    </row>
    <row r="2269" spans="2:3" x14ac:dyDescent="0.25">
      <c r="B2269" s="293">
        <v>45565</v>
      </c>
      <c r="C2269" s="397">
        <v>84299.78</v>
      </c>
    </row>
    <row r="2270" spans="2:3" x14ac:dyDescent="0.25">
      <c r="B2270" s="293">
        <v>45566</v>
      </c>
      <c r="C2270" s="397">
        <v>84266.29</v>
      </c>
    </row>
    <row r="2271" spans="2:3" x14ac:dyDescent="0.25">
      <c r="B2271" s="293">
        <v>45568</v>
      </c>
      <c r="C2271" s="397">
        <v>82497.100000000006</v>
      </c>
    </row>
    <row r="2272" spans="2:3" x14ac:dyDescent="0.25">
      <c r="B2272" s="293">
        <v>45569</v>
      </c>
      <c r="C2272" s="397">
        <v>81688.45</v>
      </c>
    </row>
    <row r="2273" spans="2:3" x14ac:dyDescent="0.25">
      <c r="B2273" s="293">
        <v>45572</v>
      </c>
      <c r="C2273" s="397">
        <v>81050</v>
      </c>
    </row>
    <row r="2274" spans="2:3" x14ac:dyDescent="0.25">
      <c r="B2274" s="293">
        <v>45573</v>
      </c>
      <c r="C2274" s="397">
        <v>81634.81</v>
      </c>
    </row>
    <row r="2275" spans="2:3" x14ac:dyDescent="0.25">
      <c r="B2275" s="293">
        <v>45574</v>
      </c>
      <c r="C2275" s="397">
        <v>81467.100000000006</v>
      </c>
    </row>
    <row r="2276" spans="2:3" x14ac:dyDescent="0.25">
      <c r="B2276" s="293">
        <v>45575</v>
      </c>
      <c r="C2276" s="397">
        <v>81611.41</v>
      </c>
    </row>
    <row r="2277" spans="2:3" x14ac:dyDescent="0.25">
      <c r="B2277" s="293">
        <v>45576</v>
      </c>
      <c r="C2277" s="397">
        <v>81381.36</v>
      </c>
    </row>
    <row r="2278" spans="2:3" x14ac:dyDescent="0.25">
      <c r="B2278" s="293">
        <v>45579</v>
      </c>
      <c r="C2278" s="397">
        <v>81973.05</v>
      </c>
    </row>
    <row r="2279" spans="2:3" x14ac:dyDescent="0.25">
      <c r="B2279" s="293">
        <v>45580</v>
      </c>
      <c r="C2279" s="397">
        <v>81820.12</v>
      </c>
    </row>
    <row r="2280" spans="2:3" x14ac:dyDescent="0.25">
      <c r="B2280" s="293">
        <v>45581</v>
      </c>
      <c r="C2280" s="397">
        <v>81501.36</v>
      </c>
    </row>
    <row r="2281" spans="2:3" x14ac:dyDescent="0.25">
      <c r="B2281" s="293">
        <v>45582</v>
      </c>
      <c r="C2281" s="397">
        <v>81006.61</v>
      </c>
    </row>
    <row r="2282" spans="2:3" x14ac:dyDescent="0.25">
      <c r="B2282" s="293">
        <v>45583</v>
      </c>
      <c r="C2282" s="397">
        <v>81224.75</v>
      </c>
    </row>
    <row r="2283" spans="2:3" x14ac:dyDescent="0.25">
      <c r="B2283" s="293">
        <v>45586</v>
      </c>
      <c r="C2283" s="397">
        <v>81151.27</v>
      </c>
    </row>
    <row r="2284" spans="2:3" x14ac:dyDescent="0.25">
      <c r="B2284" s="293">
        <v>45587</v>
      </c>
      <c r="C2284" s="397">
        <v>80220.72</v>
      </c>
    </row>
    <row r="2285" spans="2:3" x14ac:dyDescent="0.25">
      <c r="B2285" s="293">
        <v>45588</v>
      </c>
      <c r="C2285" s="397">
        <v>80081.98</v>
      </c>
    </row>
    <row r="2286" spans="2:3" x14ac:dyDescent="0.25">
      <c r="B2286" s="293">
        <v>45589</v>
      </c>
      <c r="C2286" s="397">
        <v>80065.16</v>
      </c>
    </row>
    <row r="2287" spans="2:3" x14ac:dyDescent="0.25">
      <c r="B2287" s="293">
        <v>45590</v>
      </c>
      <c r="C2287" s="397">
        <v>79402.289999999994</v>
      </c>
    </row>
    <row r="2288" spans="2:3" x14ac:dyDescent="0.25">
      <c r="B2288" s="293">
        <v>45593</v>
      </c>
      <c r="C2288" s="397">
        <v>80005.039999999994</v>
      </c>
    </row>
    <row r="2289" spans="2:3" x14ac:dyDescent="0.25">
      <c r="B2289" s="293">
        <v>45594</v>
      </c>
      <c r="C2289" s="397">
        <v>80369.03</v>
      </c>
    </row>
    <row r="2290" spans="2:3" x14ac:dyDescent="0.25">
      <c r="B2290" s="293">
        <v>45595</v>
      </c>
      <c r="C2290" s="397">
        <v>79942.179999999993</v>
      </c>
    </row>
    <row r="2291" spans="2:3" x14ac:dyDescent="0.25">
      <c r="B2291" s="293">
        <v>45596</v>
      </c>
      <c r="C2291" s="397">
        <v>79389.06</v>
      </c>
    </row>
    <row r="2292" spans="2:3" x14ac:dyDescent="0.25">
      <c r="B2292" s="293">
        <v>45597</v>
      </c>
      <c r="C2292" s="397">
        <v>79724.12</v>
      </c>
    </row>
    <row r="2293" spans="2:3" x14ac:dyDescent="0.25">
      <c r="B2293" s="293">
        <v>45600</v>
      </c>
      <c r="C2293" s="397">
        <v>78782.240000000005</v>
      </c>
    </row>
    <row r="2294" spans="2:3" x14ac:dyDescent="0.25">
      <c r="B2294" s="293">
        <v>45601</v>
      </c>
      <c r="C2294" s="397">
        <v>79476.63</v>
      </c>
    </row>
    <row r="2295" spans="2:3" x14ac:dyDescent="0.25">
      <c r="B2295" s="293">
        <v>45602</v>
      </c>
      <c r="C2295" s="397">
        <v>80378.13</v>
      </c>
    </row>
    <row r="2296" spans="2:3" x14ac:dyDescent="0.25">
      <c r="B2296" s="293">
        <v>45603</v>
      </c>
      <c r="C2296" s="397">
        <v>79541.789999999994</v>
      </c>
    </row>
    <row r="2297" spans="2:3" x14ac:dyDescent="0.25">
      <c r="B2297" s="293">
        <v>45604</v>
      </c>
      <c r="C2297" s="397">
        <v>79486.320000000007</v>
      </c>
    </row>
    <row r="2298" spans="2:3" x14ac:dyDescent="0.25">
      <c r="B2298" s="293">
        <v>45607</v>
      </c>
      <c r="C2298" s="397">
        <v>79496.149999999994</v>
      </c>
    </row>
    <row r="2299" spans="2:3" x14ac:dyDescent="0.25">
      <c r="B2299" s="293">
        <v>45608</v>
      </c>
      <c r="C2299" s="397">
        <v>78675.179999999993</v>
      </c>
    </row>
    <row r="2300" spans="2:3" x14ac:dyDescent="0.25">
      <c r="B2300" s="293">
        <v>45609</v>
      </c>
      <c r="C2300" s="397">
        <v>77690.95</v>
      </c>
    </row>
    <row r="2301" spans="2:3" x14ac:dyDescent="0.25">
      <c r="B2301" s="293">
        <v>45610</v>
      </c>
      <c r="C2301" s="397">
        <v>77580.31</v>
      </c>
    </row>
    <row r="2302" spans="2:3" x14ac:dyDescent="0.25">
      <c r="B2302" s="293">
        <v>45614</v>
      </c>
      <c r="C2302" s="397">
        <v>77339.009999999995</v>
      </c>
    </row>
    <row r="2303" spans="2:3" x14ac:dyDescent="0.25">
      <c r="B2303" s="293">
        <v>45615</v>
      </c>
      <c r="C2303" s="397">
        <v>77578.38</v>
      </c>
    </row>
    <row r="2304" spans="2:3" x14ac:dyDescent="0.25">
      <c r="B2304" s="293">
        <v>45617</v>
      </c>
      <c r="C2304" s="397">
        <v>77155.789999999994</v>
      </c>
    </row>
    <row r="2305" spans="2:3" x14ac:dyDescent="0.25">
      <c r="B2305" s="293">
        <v>45618</v>
      </c>
      <c r="C2305" s="397">
        <v>79117.11</v>
      </c>
    </row>
    <row r="2306" spans="2:3" x14ac:dyDescent="0.25">
      <c r="B2306" s="293">
        <v>45621</v>
      </c>
      <c r="C2306" s="397">
        <v>80109.850000000006</v>
      </c>
    </row>
    <row r="2307" spans="2:3" x14ac:dyDescent="0.25">
      <c r="B2307" s="293">
        <v>45622</v>
      </c>
      <c r="C2307" s="397">
        <v>80004.06</v>
      </c>
    </row>
    <row r="2308" spans="2:3" x14ac:dyDescent="0.25">
      <c r="B2308" s="293">
        <v>45623</v>
      </c>
      <c r="C2308" s="397">
        <v>80234.080000000002</v>
      </c>
    </row>
    <row r="2309" spans="2:3" x14ac:dyDescent="0.25">
      <c r="B2309" s="293">
        <v>45624</v>
      </c>
      <c r="C2309" s="397">
        <v>79043.740000000005</v>
      </c>
    </row>
    <row r="2310" spans="2:3" x14ac:dyDescent="0.25">
      <c r="B2310" s="293">
        <v>45625</v>
      </c>
      <c r="C2310" s="397">
        <v>79802.789999999994</v>
      </c>
    </row>
    <row r="2311" spans="2:3" x14ac:dyDescent="0.25">
      <c r="B2311" s="293">
        <v>45628</v>
      </c>
      <c r="C2311" s="397">
        <v>80248.08</v>
      </c>
    </row>
    <row r="2312" spans="2:3" x14ac:dyDescent="0.25">
      <c r="B2312" s="293">
        <v>45629</v>
      </c>
      <c r="C2312" s="397">
        <v>80845.75</v>
      </c>
    </row>
    <row r="2313" spans="2:3" x14ac:dyDescent="0.25">
      <c r="B2313" s="293">
        <v>45630</v>
      </c>
      <c r="C2313" s="397">
        <v>80956.33</v>
      </c>
    </row>
    <row r="2314" spans="2:3" x14ac:dyDescent="0.25">
      <c r="B2314" s="293">
        <v>45631</v>
      </c>
      <c r="C2314" s="397">
        <v>81765.86</v>
      </c>
    </row>
    <row r="2315" spans="2:3" x14ac:dyDescent="0.25">
      <c r="B2315" s="293">
        <v>45632</v>
      </c>
      <c r="C2315" s="397">
        <v>81709.119999999995</v>
      </c>
    </row>
    <row r="2316" spans="2:3" x14ac:dyDescent="0.25">
      <c r="B2316" s="293">
        <v>45635</v>
      </c>
      <c r="C2316" s="397">
        <v>81508.460000000006</v>
      </c>
    </row>
    <row r="2317" spans="2:3" x14ac:dyDescent="0.25">
      <c r="B2317" s="293">
        <v>45636</v>
      </c>
      <c r="C2317" s="397">
        <v>81510.05</v>
      </c>
    </row>
    <row r="2318" spans="2:3" x14ac:dyDescent="0.25">
      <c r="B2318" s="293">
        <v>45637</v>
      </c>
      <c r="C2318" s="397">
        <v>81526.14</v>
      </c>
    </row>
    <row r="2319" spans="2:3" x14ac:dyDescent="0.25">
      <c r="B2319" s="293">
        <v>45638</v>
      </c>
      <c r="C2319" s="397">
        <v>81289.960000000006</v>
      </c>
    </row>
    <row r="2320" spans="2:3" x14ac:dyDescent="0.25">
      <c r="B2320" s="293">
        <v>45639</v>
      </c>
      <c r="C2320" s="397">
        <v>82133.119999999995</v>
      </c>
    </row>
    <row r="2321" spans="2:3" x14ac:dyDescent="0.25">
      <c r="B2321" s="293">
        <v>45642</v>
      </c>
      <c r="C2321" s="397">
        <v>81748.570000000007</v>
      </c>
    </row>
    <row r="2322" spans="2:3" x14ac:dyDescent="0.25">
      <c r="B2322" s="293">
        <v>45643</v>
      </c>
      <c r="C2322" s="397">
        <v>80684.45</v>
      </c>
    </row>
    <row r="2323" spans="2:3" x14ac:dyDescent="0.25">
      <c r="B2323" s="293">
        <v>45644</v>
      </c>
      <c r="C2323" s="397">
        <v>80182.2</v>
      </c>
    </row>
    <row r="2324" spans="2:3" x14ac:dyDescent="0.25">
      <c r="B2324" s="293">
        <v>45645</v>
      </c>
      <c r="C2324" s="397">
        <v>79218.05</v>
      </c>
    </row>
    <row r="2325" spans="2:3" x14ac:dyDescent="0.25">
      <c r="B2325" s="293">
        <v>45646</v>
      </c>
      <c r="C2325" s="397">
        <v>78041.59</v>
      </c>
    </row>
    <row r="2326" spans="2:3" x14ac:dyDescent="0.25">
      <c r="B2326" s="293">
        <v>45649</v>
      </c>
      <c r="C2326" s="397">
        <v>78540.17</v>
      </c>
    </row>
    <row r="2327" spans="2:3" x14ac:dyDescent="0.25">
      <c r="B2327" s="293">
        <v>45650</v>
      </c>
      <c r="C2327" s="397">
        <v>78472.87</v>
      </c>
    </row>
    <row r="2328" spans="2:3" x14ac:dyDescent="0.25">
      <c r="B2328" s="293">
        <v>45652</v>
      </c>
      <c r="C2328" s="397">
        <v>78472.479999999996</v>
      </c>
    </row>
    <row r="2329" spans="2:3" x14ac:dyDescent="0.25">
      <c r="B2329" s="293">
        <v>45653</v>
      </c>
      <c r="C2329" s="397">
        <v>78699.070000000007</v>
      </c>
    </row>
    <row r="2330" spans="2:3" x14ac:dyDescent="0.25">
      <c r="B2330" s="293">
        <v>45656</v>
      </c>
      <c r="C2330" s="397">
        <v>78248.13</v>
      </c>
    </row>
    <row r="2331" spans="2:3" x14ac:dyDescent="0.25">
      <c r="B2331" s="293">
        <v>45657</v>
      </c>
      <c r="C2331" s="397">
        <v>78139.009999999995</v>
      </c>
    </row>
    <row r="2332" spans="2:3" x14ac:dyDescent="0.25">
      <c r="B2332" s="293">
        <v>45658</v>
      </c>
      <c r="C2332" s="397">
        <v>78507.41</v>
      </c>
    </row>
    <row r="2333" spans="2:3" x14ac:dyDescent="0.25">
      <c r="B2333" s="293">
        <v>45659</v>
      </c>
      <c r="C2333" s="397">
        <v>79943.710000000006</v>
      </c>
    </row>
    <row r="2334" spans="2:3" x14ac:dyDescent="0.25">
      <c r="B2334" s="293">
        <v>45660</v>
      </c>
      <c r="C2334" s="397">
        <v>79223.11</v>
      </c>
    </row>
    <row r="2335" spans="2:3" x14ac:dyDescent="0.25">
      <c r="B2335" s="293">
        <v>45663</v>
      </c>
      <c r="C2335" s="397">
        <v>77964.990000000005</v>
      </c>
    </row>
    <row r="2336" spans="2:3" x14ac:dyDescent="0.25">
      <c r="B2336" s="293">
        <v>45664</v>
      </c>
      <c r="C2336" s="397">
        <v>78199.11</v>
      </c>
    </row>
    <row r="2337" spans="2:3" x14ac:dyDescent="0.25">
      <c r="B2337" s="293">
        <v>45665</v>
      </c>
      <c r="C2337" s="397">
        <v>78148.490000000005</v>
      </c>
    </row>
    <row r="2338" spans="2:3" x14ac:dyDescent="0.25">
      <c r="B2338" s="293">
        <v>45666</v>
      </c>
      <c r="C2338" s="397">
        <v>77620.210000000006</v>
      </c>
    </row>
    <row r="2339" spans="2:3" x14ac:dyDescent="0.25">
      <c r="B2339" s="293">
        <v>45667</v>
      </c>
      <c r="C2339" s="397">
        <v>77378.91</v>
      </c>
    </row>
    <row r="2340" spans="2:3" x14ac:dyDescent="0.25">
      <c r="B2340" s="293">
        <v>45670</v>
      </c>
      <c r="C2340" s="397">
        <v>76330.009999999995</v>
      </c>
    </row>
    <row r="2341" spans="2:3" x14ac:dyDescent="0.25">
      <c r="B2341" s="293">
        <v>45671</v>
      </c>
      <c r="C2341" s="397">
        <v>76499.63</v>
      </c>
    </row>
    <row r="2342" spans="2:3" x14ac:dyDescent="0.25">
      <c r="B2342" s="293">
        <v>45672</v>
      </c>
      <c r="C2342" s="397">
        <v>76724.08</v>
      </c>
    </row>
    <row r="2343" spans="2:3" x14ac:dyDescent="0.25">
      <c r="B2343" s="293">
        <v>45673</v>
      </c>
      <c r="C2343" s="397">
        <v>77042.820000000007</v>
      </c>
    </row>
    <row r="2344" spans="2:3" x14ac:dyDescent="0.25">
      <c r="B2344" s="293">
        <v>45674</v>
      </c>
      <c r="C2344" s="397">
        <v>76619.33</v>
      </c>
    </row>
    <row r="2345" spans="2:3" x14ac:dyDescent="0.25">
      <c r="B2345" s="293">
        <v>45677</v>
      </c>
      <c r="C2345" s="397">
        <v>77073.440000000002</v>
      </c>
    </row>
    <row r="2346" spans="2:3" x14ac:dyDescent="0.25">
      <c r="B2346" s="293">
        <v>45678</v>
      </c>
      <c r="C2346" s="397">
        <v>75838.36</v>
      </c>
    </row>
    <row r="2347" spans="2:3" x14ac:dyDescent="0.25">
      <c r="B2347" s="293">
        <v>45679</v>
      </c>
      <c r="C2347" s="397">
        <v>76404.990000000005</v>
      </c>
    </row>
    <row r="2348" spans="2:3" x14ac:dyDescent="0.25">
      <c r="B2348" s="293">
        <v>45680</v>
      </c>
      <c r="C2348" s="397">
        <v>76520.38</v>
      </c>
    </row>
    <row r="2349" spans="2:3" x14ac:dyDescent="0.25">
      <c r="B2349" s="293">
        <v>45681</v>
      </c>
      <c r="C2349" s="397">
        <v>76190.460000000006</v>
      </c>
    </row>
    <row r="2350" spans="2:3" x14ac:dyDescent="0.25">
      <c r="B2350" s="293">
        <v>45684</v>
      </c>
      <c r="C2350" s="397">
        <v>75366.17</v>
      </c>
    </row>
    <row r="2351" spans="2:3" x14ac:dyDescent="0.25">
      <c r="B2351" s="293">
        <v>45685</v>
      </c>
      <c r="C2351" s="397">
        <v>75901.41</v>
      </c>
    </row>
    <row r="2352" spans="2:3" x14ac:dyDescent="0.25">
      <c r="B2352" s="293">
        <v>45686</v>
      </c>
      <c r="C2352" s="397">
        <v>76532.960000000006</v>
      </c>
    </row>
    <row r="2353" spans="2:3" x14ac:dyDescent="0.25">
      <c r="B2353" s="293">
        <v>45687</v>
      </c>
      <c r="C2353" s="397">
        <v>76759.81</v>
      </c>
    </row>
    <row r="2354" spans="2:3" x14ac:dyDescent="0.25">
      <c r="B2354" s="293">
        <v>45688</v>
      </c>
      <c r="C2354" s="397">
        <v>77500.570000000007</v>
      </c>
    </row>
    <row r="2355" spans="2:3" x14ac:dyDescent="0.25">
      <c r="B2355" s="293">
        <v>45689</v>
      </c>
      <c r="C2355" s="397">
        <v>77505.960000000006</v>
      </c>
    </row>
    <row r="2356" spans="2:3" x14ac:dyDescent="0.25">
      <c r="B2356" s="293">
        <v>45691</v>
      </c>
      <c r="C2356" s="397">
        <v>77186.740000000005</v>
      </c>
    </row>
    <row r="2357" spans="2:3" x14ac:dyDescent="0.25">
      <c r="B2357" s="293">
        <v>45692</v>
      </c>
      <c r="C2357" s="397">
        <v>78583.81</v>
      </c>
    </row>
    <row r="2358" spans="2:3" x14ac:dyDescent="0.25">
      <c r="B2358" s="293">
        <v>45693</v>
      </c>
      <c r="C2358" s="397">
        <v>78271.28</v>
      </c>
    </row>
    <row r="2359" spans="2:3" x14ac:dyDescent="0.25">
      <c r="B2359" s="293">
        <v>45694</v>
      </c>
      <c r="C2359" s="397">
        <v>78058.16</v>
      </c>
    </row>
    <row r="2360" spans="2:3" x14ac:dyDescent="0.25">
      <c r="B2360" s="293">
        <v>45695</v>
      </c>
      <c r="C2360" s="397">
        <v>77860.19</v>
      </c>
    </row>
    <row r="2361" spans="2:3" x14ac:dyDescent="0.25">
      <c r="B2361" s="293">
        <v>45698</v>
      </c>
      <c r="C2361" s="397">
        <v>77311.8</v>
      </c>
    </row>
    <row r="2362" spans="2:3" x14ac:dyDescent="0.25">
      <c r="B2362" s="293">
        <v>45699</v>
      </c>
      <c r="C2362" s="397">
        <v>76293.600000000006</v>
      </c>
    </row>
    <row r="2363" spans="2:3" x14ac:dyDescent="0.25">
      <c r="B2363" s="293">
        <v>45700</v>
      </c>
      <c r="C2363" s="397">
        <v>76171.08</v>
      </c>
    </row>
    <row r="2364" spans="2:3" x14ac:dyDescent="0.25">
      <c r="B2364" s="293">
        <v>45701</v>
      </c>
      <c r="C2364" s="397">
        <v>76138.97</v>
      </c>
    </row>
    <row r="2365" spans="2:3" x14ac:dyDescent="0.25">
      <c r="B2365" s="293">
        <v>45702</v>
      </c>
      <c r="C2365" s="397">
        <v>75939.210000000006</v>
      </c>
    </row>
    <row r="2366" spans="2:3" x14ac:dyDescent="0.25">
      <c r="B2366" s="293">
        <v>45705</v>
      </c>
      <c r="C2366" s="397">
        <v>75996.86</v>
      </c>
    </row>
    <row r="2367" spans="2:3" x14ac:dyDescent="0.25">
      <c r="B2367" s="293">
        <v>45706</v>
      </c>
      <c r="C2367" s="397">
        <v>75967.39</v>
      </c>
    </row>
    <row r="2368" spans="2:3" x14ac:dyDescent="0.25">
      <c r="B2368" s="293">
        <v>45707</v>
      </c>
      <c r="C2368" s="397">
        <v>75939.179999999993</v>
      </c>
    </row>
    <row r="2369" spans="2:3" x14ac:dyDescent="0.25">
      <c r="B2369" s="293">
        <v>45708</v>
      </c>
      <c r="C2369" s="397">
        <v>75735.960000000006</v>
      </c>
    </row>
    <row r="2370" spans="2:3" x14ac:dyDescent="0.25">
      <c r="B2370" s="293">
        <v>45709</v>
      </c>
      <c r="C2370" s="397">
        <v>75311.06</v>
      </c>
    </row>
    <row r="2371" spans="2:3" x14ac:dyDescent="0.25">
      <c r="B2371" s="293">
        <v>45712</v>
      </c>
      <c r="C2371" s="397">
        <v>74454.41</v>
      </c>
    </row>
    <row r="2372" spans="2:3" x14ac:dyDescent="0.25">
      <c r="B2372" s="293">
        <v>45713</v>
      </c>
      <c r="C2372" s="397">
        <v>74602.12</v>
      </c>
    </row>
    <row r="2373" spans="2:3" x14ac:dyDescent="0.25">
      <c r="B2373" s="293">
        <v>45715</v>
      </c>
      <c r="C2373" s="397">
        <v>74612.429999999993</v>
      </c>
    </row>
    <row r="2374" spans="2:3" x14ac:dyDescent="0.25">
      <c r="B2374" s="293">
        <v>45716</v>
      </c>
      <c r="C2374" s="397">
        <v>73198.100000000006</v>
      </c>
    </row>
    <row r="2375" spans="2:3" x14ac:dyDescent="0.25">
      <c r="B2375" s="293">
        <v>45719</v>
      </c>
      <c r="C2375" s="397">
        <v>73085.94</v>
      </c>
    </row>
    <row r="2376" spans="2:3" x14ac:dyDescent="0.25">
      <c r="B2376" s="293">
        <v>45720</v>
      </c>
      <c r="C2376" s="397">
        <v>72989.929999999993</v>
      </c>
    </row>
    <row r="2377" spans="2:3" x14ac:dyDescent="0.25">
      <c r="B2377" s="293">
        <v>45721</v>
      </c>
      <c r="C2377" s="397">
        <v>73730.23</v>
      </c>
    </row>
    <row r="2378" spans="2:3" x14ac:dyDescent="0.25">
      <c r="B2378" s="293">
        <v>45722</v>
      </c>
      <c r="C2378" s="397">
        <v>74340.09</v>
      </c>
    </row>
    <row r="2379" spans="2:3" x14ac:dyDescent="0.25">
      <c r="B2379" s="293">
        <v>45723</v>
      </c>
      <c r="C2379" s="397">
        <v>74332.58</v>
      </c>
    </row>
    <row r="2380" spans="2:3" x14ac:dyDescent="0.25">
      <c r="B2380" s="293">
        <v>45726</v>
      </c>
      <c r="C2380" s="397">
        <v>74115.17</v>
      </c>
    </row>
    <row r="2381" spans="2:3" x14ac:dyDescent="0.25">
      <c r="B2381" s="293">
        <v>45727</v>
      </c>
      <c r="C2381" s="397">
        <v>74102.320000000007</v>
      </c>
    </row>
    <row r="2382" spans="2:3" x14ac:dyDescent="0.25">
      <c r="B2382" s="293">
        <v>45728</v>
      </c>
      <c r="C2382" s="397">
        <v>74029.759999999995</v>
      </c>
    </row>
    <row r="2383" spans="2:3" x14ac:dyDescent="0.25">
      <c r="B2383" s="293">
        <v>45729</v>
      </c>
      <c r="C2383" s="397">
        <v>73828.91</v>
      </c>
    </row>
    <row r="2384" spans="2:3" x14ac:dyDescent="0.25">
      <c r="B2384" s="293">
        <v>45733</v>
      </c>
      <c r="C2384" s="397">
        <v>74169.95</v>
      </c>
    </row>
    <row r="2385" spans="2:3" x14ac:dyDescent="0.25">
      <c r="B2385" s="293">
        <v>45734</v>
      </c>
      <c r="C2385" s="397">
        <v>75301.259999999995</v>
      </c>
    </row>
    <row r="2386" spans="2:3" x14ac:dyDescent="0.25">
      <c r="B2386" s="293">
        <v>45735</v>
      </c>
      <c r="C2386" s="397">
        <v>75449.05</v>
      </c>
    </row>
    <row r="2387" spans="2:3" x14ac:dyDescent="0.25">
      <c r="B2387" s="293">
        <v>45736</v>
      </c>
      <c r="C2387" s="397">
        <v>76348.06</v>
      </c>
    </row>
    <row r="2388" spans="2:3" x14ac:dyDescent="0.25">
      <c r="B2388" s="293">
        <v>45737</v>
      </c>
      <c r="C2388" s="397">
        <v>76905.509999999995</v>
      </c>
    </row>
    <row r="2389" spans="2:3" x14ac:dyDescent="0.25">
      <c r="B2389" s="293">
        <v>45740</v>
      </c>
      <c r="C2389" s="397">
        <v>77984.38</v>
      </c>
    </row>
    <row r="2390" spans="2:3" x14ac:dyDescent="0.25">
      <c r="B2390" s="293">
        <v>45741</v>
      </c>
      <c r="C2390" s="397">
        <v>78017.19</v>
      </c>
    </row>
    <row r="2391" spans="2:3" x14ac:dyDescent="0.25">
      <c r="B2391" s="293">
        <v>45742</v>
      </c>
      <c r="C2391" s="397">
        <v>77288.5</v>
      </c>
    </row>
    <row r="2392" spans="2:3" x14ac:dyDescent="0.25">
      <c r="B2392" s="293">
        <v>45743</v>
      </c>
      <c r="C2392" s="397">
        <v>77606.429999999993</v>
      </c>
    </row>
    <row r="2393" spans="2:3" x14ac:dyDescent="0.25">
      <c r="B2393" s="293">
        <v>45744</v>
      </c>
      <c r="C2393" s="397">
        <v>77414.92</v>
      </c>
    </row>
    <row r="2394" spans="2:3" x14ac:dyDescent="0.25">
      <c r="B2394" s="293">
        <v>45748</v>
      </c>
      <c r="C2394" s="397">
        <v>76024.509999999995</v>
      </c>
    </row>
    <row r="2395" spans="2:3" x14ac:dyDescent="0.25">
      <c r="B2395" s="293">
        <v>45749</v>
      </c>
      <c r="C2395" s="397">
        <v>76617.440000000002</v>
      </c>
    </row>
    <row r="2396" spans="2:3" x14ac:dyDescent="0.25">
      <c r="B2396" s="293">
        <v>45750</v>
      </c>
      <c r="C2396" s="397">
        <v>76295.360000000001</v>
      </c>
    </row>
    <row r="2397" spans="2:3" x14ac:dyDescent="0.25">
      <c r="B2397" s="293">
        <v>45751</v>
      </c>
      <c r="C2397" s="397">
        <v>75364.69</v>
      </c>
    </row>
    <row r="2398" spans="2:3" x14ac:dyDescent="0.25">
      <c r="B2398" s="293">
        <v>45754</v>
      </c>
      <c r="C2398" s="397">
        <v>73137.899999999994</v>
      </c>
    </row>
    <row r="2399" spans="2:3" x14ac:dyDescent="0.25">
      <c r="B2399" s="293">
        <v>45755</v>
      </c>
      <c r="C2399" s="397">
        <v>74227.08</v>
      </c>
    </row>
    <row r="2400" spans="2:3" x14ac:dyDescent="0.25">
      <c r="B2400" s="293">
        <v>45756</v>
      </c>
      <c r="C2400" s="397">
        <v>73847.149999999994</v>
      </c>
    </row>
    <row r="2401" spans="2:3" x14ac:dyDescent="0.25">
      <c r="B2401" s="293">
        <v>45758</v>
      </c>
      <c r="C2401" s="397">
        <v>75157.259999999995</v>
      </c>
    </row>
    <row r="2402" spans="2:3" x14ac:dyDescent="0.25">
      <c r="B2402" s="293">
        <v>45762</v>
      </c>
      <c r="C2402" s="397">
        <v>76734.89</v>
      </c>
    </row>
    <row r="2403" spans="2:3" x14ac:dyDescent="0.25">
      <c r="B2403" s="293">
        <v>45763</v>
      </c>
      <c r="C2403" s="397">
        <v>77044.289999999994</v>
      </c>
    </row>
    <row r="2404" spans="2:3" x14ac:dyDescent="0.25">
      <c r="B2404" s="293">
        <v>45764</v>
      </c>
      <c r="C2404" s="397">
        <v>78553.2</v>
      </c>
    </row>
    <row r="2405" spans="2:3" x14ac:dyDescent="0.25">
      <c r="B2405" s="293">
        <v>45768</v>
      </c>
      <c r="C2405" s="397">
        <v>79408.5</v>
      </c>
    </row>
    <row r="2406" spans="2:3" x14ac:dyDescent="0.25">
      <c r="B2406" s="293">
        <v>45769</v>
      </c>
      <c r="C2406" s="397">
        <v>79595.59</v>
      </c>
    </row>
    <row r="2407" spans="2:3" x14ac:dyDescent="0.25">
      <c r="B2407" s="293">
        <v>45770</v>
      </c>
      <c r="C2407" s="397">
        <v>80116.490000000005</v>
      </c>
    </row>
    <row r="2408" spans="2:3" x14ac:dyDescent="0.25">
      <c r="B2408" s="293">
        <v>45771</v>
      </c>
      <c r="C2408" s="397">
        <v>79801.429999999993</v>
      </c>
    </row>
    <row r="2409" spans="2:3" x14ac:dyDescent="0.25">
      <c r="B2409" s="293">
        <v>45772</v>
      </c>
      <c r="C2409" s="397">
        <v>79212.53</v>
      </c>
    </row>
    <row r="2410" spans="2:3" x14ac:dyDescent="0.25">
      <c r="B2410" s="293">
        <v>45775</v>
      </c>
      <c r="C2410" s="397">
        <v>80218.37</v>
      </c>
    </row>
    <row r="2411" spans="2:3" x14ac:dyDescent="0.25">
      <c r="B2411" s="293">
        <v>45776</v>
      </c>
      <c r="C2411" s="397">
        <v>80288.38</v>
      </c>
    </row>
    <row r="2412" spans="2:3" x14ac:dyDescent="0.25">
      <c r="B2412" s="293">
        <v>45777</v>
      </c>
      <c r="C2412" s="397">
        <v>80242.240000000005</v>
      </c>
    </row>
    <row r="2413" spans="2:3" x14ac:dyDescent="0.25">
      <c r="B2413" s="293">
        <v>45779</v>
      </c>
      <c r="C2413" s="397">
        <v>80501.990000000005</v>
      </c>
    </row>
    <row r="2414" spans="2:3" x14ac:dyDescent="0.25">
      <c r="B2414" s="293">
        <v>45782</v>
      </c>
      <c r="C2414" s="397">
        <v>80796.84</v>
      </c>
    </row>
    <row r="2415" spans="2:3" x14ac:dyDescent="0.25">
      <c r="B2415" s="293">
        <v>45783</v>
      </c>
      <c r="C2415" s="397">
        <v>80641.070000000007</v>
      </c>
    </row>
    <row r="2416" spans="2:3" x14ac:dyDescent="0.25">
      <c r="B2416" s="293">
        <v>45784</v>
      </c>
      <c r="C2416" s="397">
        <v>80746.78</v>
      </c>
    </row>
    <row r="2417" spans="2:3" x14ac:dyDescent="0.25">
      <c r="B2417" s="293">
        <v>45785</v>
      </c>
      <c r="C2417" s="397">
        <v>80334.81</v>
      </c>
    </row>
    <row r="2418" spans="2:3" x14ac:dyDescent="0.25">
      <c r="B2418" s="293">
        <v>45786</v>
      </c>
      <c r="C2418" s="397">
        <v>79454.47</v>
      </c>
    </row>
    <row r="2419" spans="2:3" x14ac:dyDescent="0.25">
      <c r="B2419" s="293">
        <v>45789</v>
      </c>
      <c r="C2419" s="397">
        <v>82429.899999999994</v>
      </c>
    </row>
    <row r="2420" spans="2:3" x14ac:dyDescent="0.25">
      <c r="B2420" s="293">
        <v>45790</v>
      </c>
      <c r="C2420" s="397">
        <v>81148.22</v>
      </c>
    </row>
    <row r="2421" spans="2:3" x14ac:dyDescent="0.25">
      <c r="B2421" s="293">
        <v>45791</v>
      </c>
      <c r="C2421" s="397">
        <v>81330.559999999998</v>
      </c>
    </row>
    <row r="2422" spans="2:3" x14ac:dyDescent="0.25">
      <c r="B2422" s="293">
        <v>45792</v>
      </c>
      <c r="C2422" s="397">
        <v>82530.740000000005</v>
      </c>
    </row>
    <row r="2423" spans="2:3" x14ac:dyDescent="0.25">
      <c r="B2423" s="293">
        <v>45793</v>
      </c>
      <c r="C2423" s="397">
        <v>82330.59</v>
      </c>
    </row>
    <row r="2424" spans="2:3" x14ac:dyDescent="0.25">
      <c r="B2424" s="293">
        <v>45796</v>
      </c>
      <c r="C2424" s="397">
        <v>82059.42</v>
      </c>
    </row>
    <row r="2425" spans="2:3" x14ac:dyDescent="0.25">
      <c r="B2425" s="293">
        <v>45797</v>
      </c>
      <c r="C2425" s="397">
        <v>81186.44</v>
      </c>
    </row>
    <row r="2426" spans="2:3" x14ac:dyDescent="0.25">
      <c r="B2426" s="293">
        <v>45798</v>
      </c>
      <c r="C2426" s="397">
        <v>81596.63</v>
      </c>
    </row>
    <row r="2427" spans="2:3" x14ac:dyDescent="0.25">
      <c r="B2427" s="293">
        <v>45799</v>
      </c>
      <c r="C2427" s="397">
        <v>80951.990000000005</v>
      </c>
    </row>
    <row r="2428" spans="2:3" x14ac:dyDescent="0.25">
      <c r="B2428" s="293">
        <v>45800</v>
      </c>
      <c r="C2428" s="397">
        <v>81721.08</v>
      </c>
    </row>
    <row r="2429" spans="2:3" x14ac:dyDescent="0.25">
      <c r="B2429" s="293">
        <v>45803</v>
      </c>
      <c r="C2429" s="397">
        <v>82176.45</v>
      </c>
    </row>
    <row r="2430" spans="2:3" x14ac:dyDescent="0.25">
      <c r="B2430" s="293">
        <v>45804</v>
      </c>
      <c r="C2430" s="397">
        <v>81551.63</v>
      </c>
    </row>
    <row r="2431" spans="2:3" x14ac:dyDescent="0.25">
      <c r="B2431" s="293">
        <v>45805</v>
      </c>
      <c r="C2431" s="397">
        <v>81312.320000000007</v>
      </c>
    </row>
    <row r="2432" spans="2:3" x14ac:dyDescent="0.25">
      <c r="B2432" s="293">
        <v>45806</v>
      </c>
      <c r="C2432" s="397">
        <v>81633.02</v>
      </c>
    </row>
    <row r="2433" spans="2:3" x14ac:dyDescent="0.25">
      <c r="B2433" s="293">
        <v>45807</v>
      </c>
      <c r="C2433" s="397">
        <v>81451.009999999995</v>
      </c>
    </row>
    <row r="2434" spans="2:3" x14ac:dyDescent="0.25">
      <c r="B2434" s="293">
        <v>45810</v>
      </c>
      <c r="C2434" s="397">
        <v>81373.75</v>
      </c>
    </row>
    <row r="2435" spans="2:3" x14ac:dyDescent="0.25">
      <c r="B2435" s="293">
        <v>45811</v>
      </c>
      <c r="C2435" s="397">
        <v>80737.509999999995</v>
      </c>
    </row>
    <row r="2436" spans="2:3" x14ac:dyDescent="0.25">
      <c r="B2436" s="293">
        <v>45812</v>
      </c>
      <c r="C2436" s="397">
        <v>80998.25</v>
      </c>
    </row>
    <row r="2437" spans="2:3" x14ac:dyDescent="0.25">
      <c r="B2437" s="293">
        <v>45813</v>
      </c>
      <c r="C2437" s="397">
        <v>81442.039999999994</v>
      </c>
    </row>
    <row r="2438" spans="2:3" x14ac:dyDescent="0.25">
      <c r="B2438" s="293">
        <v>45814</v>
      </c>
      <c r="C2438" s="397">
        <v>82188.990000000005</v>
      </c>
    </row>
    <row r="2439" spans="2:3" x14ac:dyDescent="0.25">
      <c r="B2439" s="293">
        <v>45817</v>
      </c>
      <c r="C2439" s="397">
        <v>82445.210000000006</v>
      </c>
    </row>
    <row r="2440" spans="2:3" x14ac:dyDescent="0.25">
      <c r="B2440" s="293">
        <v>45818</v>
      </c>
      <c r="C2440" s="397">
        <v>82391.72</v>
      </c>
    </row>
    <row r="2441" spans="2:3" x14ac:dyDescent="0.25">
      <c r="B2441" s="293">
        <v>45819</v>
      </c>
      <c r="C2441" s="397">
        <v>82515.14</v>
      </c>
    </row>
    <row r="2442" spans="2:3" x14ac:dyDescent="0.25">
      <c r="B2442" s="293">
        <v>45820</v>
      </c>
      <c r="C2442" s="397">
        <v>81691.98</v>
      </c>
    </row>
    <row r="2443" spans="2:3" x14ac:dyDescent="0.25">
      <c r="B2443" s="293">
        <v>45821</v>
      </c>
      <c r="C2443" s="397">
        <v>81118.600000000006</v>
      </c>
    </row>
    <row r="2444" spans="2:3" x14ac:dyDescent="0.25">
      <c r="B2444" s="293">
        <v>45824</v>
      </c>
      <c r="C2444" s="397">
        <v>81796.149999999994</v>
      </c>
    </row>
    <row r="2445" spans="2:3" x14ac:dyDescent="0.25">
      <c r="B2445" s="293">
        <v>45825</v>
      </c>
      <c r="C2445" s="397">
        <v>81583.3</v>
      </c>
    </row>
    <row r="2446" spans="2:3" x14ac:dyDescent="0.25">
      <c r="B2446" s="293">
        <v>45826</v>
      </c>
      <c r="C2446" s="397">
        <v>81444.66</v>
      </c>
    </row>
    <row r="2447" spans="2:3" x14ac:dyDescent="0.25">
      <c r="B2447" s="293">
        <v>45827</v>
      </c>
      <c r="C2447" s="397">
        <v>81361.87</v>
      </c>
    </row>
    <row r="2448" spans="2:3" x14ac:dyDescent="0.25">
      <c r="B2448" s="293">
        <v>45828</v>
      </c>
      <c r="C2448" s="397">
        <v>82408.17</v>
      </c>
    </row>
    <row r="2449" spans="2:3" x14ac:dyDescent="0.25">
      <c r="B2449" s="293">
        <v>45831</v>
      </c>
      <c r="C2449" s="397">
        <v>81896.789999999994</v>
      </c>
    </row>
    <row r="2450" spans="2:3" x14ac:dyDescent="0.25">
      <c r="B2450" s="293">
        <v>45832</v>
      </c>
      <c r="C2450" s="397">
        <v>82055.11</v>
      </c>
    </row>
    <row r="2451" spans="2:3" x14ac:dyDescent="0.25">
      <c r="B2451" s="293">
        <v>45833</v>
      </c>
      <c r="C2451" s="397">
        <v>82755.509999999995</v>
      </c>
    </row>
    <row r="2452" spans="2:3" x14ac:dyDescent="0.25">
      <c r="B2452" s="293">
        <v>45834</v>
      </c>
      <c r="C2452" s="397">
        <v>83755.87</v>
      </c>
    </row>
    <row r="2453" spans="2:3" x14ac:dyDescent="0.25">
      <c r="B2453" s="293">
        <v>45835</v>
      </c>
      <c r="C2453" s="397">
        <v>84058.9</v>
      </c>
    </row>
    <row r="2454" spans="2:3" x14ac:dyDescent="0.25">
      <c r="B2454" s="293">
        <v>45838</v>
      </c>
      <c r="C2454" s="397">
        <v>83606.460000000006</v>
      </c>
    </row>
    <row r="2455" spans="2:3" x14ac:dyDescent="0.25">
      <c r="B2455" s="293">
        <v>45839</v>
      </c>
      <c r="C2455" s="397">
        <v>83697.289999999994</v>
      </c>
    </row>
    <row r="2456" spans="2:3" x14ac:dyDescent="0.25">
      <c r="B2456" s="293">
        <v>45840</v>
      </c>
      <c r="C2456" s="397">
        <v>83409.69</v>
      </c>
    </row>
    <row r="2457" spans="2:3" x14ac:dyDescent="0.25">
      <c r="B2457" s="293">
        <v>45841</v>
      </c>
      <c r="C2457" s="397">
        <v>83239.47</v>
      </c>
    </row>
    <row r="2458" spans="2:3" x14ac:dyDescent="0.25">
      <c r="B2458" s="293">
        <v>45842</v>
      </c>
      <c r="C2458" s="397">
        <v>83432.89</v>
      </c>
    </row>
    <row r="2459" spans="2:3" x14ac:dyDescent="0.25">
      <c r="B2459" s="293">
        <v>45845</v>
      </c>
      <c r="C2459" s="397">
        <v>83442.5</v>
      </c>
    </row>
    <row r="2460" spans="2:3" x14ac:dyDescent="0.25">
      <c r="B2460" s="293">
        <v>45846</v>
      </c>
      <c r="C2460" s="397">
        <v>83712.509999999995</v>
      </c>
    </row>
    <row r="2461" spans="2:3" x14ac:dyDescent="0.25">
      <c r="B2461" s="293">
        <v>45847</v>
      </c>
      <c r="C2461" s="397">
        <v>83536.08</v>
      </c>
    </row>
    <row r="2462" spans="2:3" x14ac:dyDescent="0.25">
      <c r="B2462" s="293">
        <v>45848</v>
      </c>
      <c r="C2462" s="397">
        <v>83190.28</v>
      </c>
    </row>
    <row r="2463" spans="2:3" x14ac:dyDescent="0.25">
      <c r="B2463" s="293">
        <v>45849</v>
      </c>
      <c r="C2463" s="397">
        <v>82500.47</v>
      </c>
    </row>
    <row r="2464" spans="2:3" x14ac:dyDescent="0.25">
      <c r="B2464" s="293">
        <v>45852</v>
      </c>
      <c r="C2464" s="397">
        <v>82253.460000000006</v>
      </c>
    </row>
    <row r="2465" spans="2:3" x14ac:dyDescent="0.25">
      <c r="B2465" s="293">
        <v>45853</v>
      </c>
      <c r="C2465" s="397">
        <v>82570.91</v>
      </c>
    </row>
    <row r="2466" spans="2:3" x14ac:dyDescent="0.25">
      <c r="B2466" s="293">
        <v>45854</v>
      </c>
      <c r="C2466" s="397">
        <v>82634.48</v>
      </c>
    </row>
    <row r="2467" spans="2:3" x14ac:dyDescent="0.25">
      <c r="B2467" s="293">
        <v>45855</v>
      </c>
      <c r="C2467" s="397">
        <v>82259.240000000005</v>
      </c>
    </row>
    <row r="2468" spans="2:3" x14ac:dyDescent="0.25">
      <c r="B2468" s="293">
        <v>45856</v>
      </c>
      <c r="C2468" s="397">
        <v>81757.73</v>
      </c>
    </row>
    <row r="2469" spans="2:3" x14ac:dyDescent="0.25">
      <c r="B2469" s="293">
        <v>45859</v>
      </c>
      <c r="C2469" s="397">
        <v>82200.34</v>
      </c>
    </row>
    <row r="2470" spans="2:3" x14ac:dyDescent="0.25">
      <c r="B2470" s="293">
        <v>45860</v>
      </c>
      <c r="C2470" s="397">
        <v>82186.81</v>
      </c>
    </row>
    <row r="2471" spans="2:3" x14ac:dyDescent="0.25">
      <c r="B2471" s="293">
        <v>45861</v>
      </c>
      <c r="C2471" s="397">
        <v>82726.64</v>
      </c>
    </row>
    <row r="2472" spans="2:3" x14ac:dyDescent="0.25">
      <c r="B2472" s="293">
        <v>45862</v>
      </c>
      <c r="C2472" s="397">
        <v>82184.17</v>
      </c>
    </row>
    <row r="2473" spans="2:3" x14ac:dyDescent="0.25">
      <c r="B2473" s="293">
        <v>45863</v>
      </c>
      <c r="C2473" s="397">
        <v>81463.09</v>
      </c>
    </row>
    <row r="2474" spans="2:3" x14ac:dyDescent="0.25">
      <c r="B2474" s="293">
        <v>45866</v>
      </c>
      <c r="C2474" s="397">
        <v>80891.02</v>
      </c>
    </row>
    <row r="2475" spans="2:3" x14ac:dyDescent="0.25">
      <c r="B2475" s="293">
        <v>45867</v>
      </c>
      <c r="C2475" s="397">
        <v>81337.95</v>
      </c>
    </row>
    <row r="2476" spans="2:3" x14ac:dyDescent="0.25">
      <c r="B2476" s="293">
        <v>45868</v>
      </c>
      <c r="C2476" s="397">
        <v>81481.86</v>
      </c>
    </row>
    <row r="2477" spans="2:3" x14ac:dyDescent="0.25">
      <c r="B2477" s="293">
        <v>45869</v>
      </c>
      <c r="C2477" s="397">
        <v>81185.58</v>
      </c>
    </row>
    <row r="2478" spans="2:3" x14ac:dyDescent="0.25">
      <c r="B2478" s="293">
        <v>45870</v>
      </c>
      <c r="C2478" s="397">
        <v>80599.91</v>
      </c>
    </row>
    <row r="2479" spans="2:3" x14ac:dyDescent="0.25">
      <c r="B2479" s="293">
        <v>45873</v>
      </c>
      <c r="C2479" s="397">
        <v>81018.720000000001</v>
      </c>
    </row>
    <row r="2480" spans="2:3" x14ac:dyDescent="0.25">
      <c r="B2480" s="293">
        <v>45874</v>
      </c>
      <c r="C2480" s="397">
        <v>80710.25</v>
      </c>
    </row>
    <row r="2481" spans="2:9" x14ac:dyDescent="0.25">
      <c r="B2481" s="293">
        <v>45875</v>
      </c>
      <c r="C2481" s="397">
        <v>80543.990000000005</v>
      </c>
    </row>
    <row r="2482" spans="2:9" x14ac:dyDescent="0.25">
      <c r="B2482" s="293">
        <v>45876</v>
      </c>
      <c r="C2482" s="397">
        <v>80623.259999999995</v>
      </c>
    </row>
    <row r="2483" spans="2:9" x14ac:dyDescent="0.25">
      <c r="B2483" s="293">
        <v>45877</v>
      </c>
      <c r="C2483" s="397">
        <v>79857.789999999994</v>
      </c>
    </row>
    <row r="2484" spans="2:9" x14ac:dyDescent="0.25">
      <c r="B2484" s="293">
        <v>45880</v>
      </c>
      <c r="C2484" s="397">
        <v>80604.08</v>
      </c>
    </row>
    <row r="2485" spans="2:9" x14ac:dyDescent="0.25">
      <c r="B2485" s="293">
        <v>45881</v>
      </c>
      <c r="C2485" s="397">
        <v>80235.59</v>
      </c>
    </row>
    <row r="2486" spans="2:9" x14ac:dyDescent="0.25">
      <c r="B2486" s="293">
        <v>45882</v>
      </c>
      <c r="C2486" s="397">
        <v>80539.91</v>
      </c>
    </row>
    <row r="2487" spans="2:9" x14ac:dyDescent="0.25">
      <c r="B2487" s="293">
        <v>45883</v>
      </c>
      <c r="C2487" s="397">
        <v>80597.66</v>
      </c>
    </row>
    <row r="2488" spans="2:9" x14ac:dyDescent="0.25">
      <c r="B2488" s="293">
        <v>45887</v>
      </c>
      <c r="C2488" s="397">
        <v>81273.75</v>
      </c>
    </row>
    <row r="2489" spans="2:9" x14ac:dyDescent="0.25">
      <c r="B2489" s="293">
        <v>45888</v>
      </c>
      <c r="C2489" s="397">
        <v>81644.39</v>
      </c>
    </row>
    <row r="2490" spans="2:9" x14ac:dyDescent="0.25">
      <c r="B2490" s="293"/>
      <c r="C2490" s="294"/>
    </row>
    <row r="2492" spans="2:9" x14ac:dyDescent="0.25">
      <c r="B2492" s="67"/>
      <c r="C2492" s="67"/>
      <c r="D2492" s="67"/>
      <c r="E2492" s="67"/>
      <c r="F2492" s="67"/>
      <c r="G2492" s="67"/>
      <c r="H2492" s="67"/>
      <c r="I2492" s="67"/>
    </row>
  </sheetData>
  <mergeCells count="1">
    <mergeCell ref="B10:F10"/>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34"/>
  <sheetViews>
    <sheetView showGridLines="0" topLeftCell="A4" workbookViewId="0">
      <pane ySplit="7" topLeftCell="A15" activePane="bottomLeft" state="frozen"/>
      <selection activeCell="A4" sqref="A4"/>
      <selection pane="bottomLeft" activeCell="J16" sqref="J16"/>
    </sheetView>
  </sheetViews>
  <sheetFormatPr defaultRowHeight="15" x14ac:dyDescent="0.25"/>
  <cols>
    <col min="1" max="1" width="1.85546875" customWidth="1"/>
    <col min="4" max="4" width="14.28515625" customWidth="1"/>
    <col min="7" max="7" width="12.85546875" customWidth="1"/>
    <col min="10" max="10" width="11.7109375" bestFit="1" customWidth="1"/>
    <col min="11" max="11" width="14.5703125" bestFit="1" customWidth="1"/>
    <col min="12" max="12" width="6.28515625" customWidth="1"/>
    <col min="13" max="13" width="8.140625" customWidth="1"/>
    <col min="14" max="14" width="10.85546875" bestFit="1" customWidth="1"/>
    <col min="15" max="15" width="11" bestFit="1" customWidth="1"/>
    <col min="16" max="16" width="12.42578125" customWidth="1"/>
    <col min="17" max="17" width="12.5703125" bestFit="1" customWidth="1"/>
  </cols>
  <sheetData>
    <row r="1" spans="2:18" x14ac:dyDescent="0.25">
      <c r="B1" s="67"/>
      <c r="C1" s="67"/>
      <c r="D1" s="67"/>
      <c r="E1" s="67"/>
      <c r="F1" s="67"/>
      <c r="G1" s="67"/>
      <c r="H1" s="67"/>
      <c r="I1" s="67"/>
      <c r="J1" s="67"/>
      <c r="K1" s="67"/>
      <c r="L1" s="67"/>
      <c r="M1" s="67"/>
      <c r="N1" s="67"/>
      <c r="O1" s="67"/>
      <c r="P1" s="67"/>
      <c r="Q1" s="67"/>
      <c r="R1" s="67"/>
    </row>
    <row r="9" spans="2:18" x14ac:dyDescent="0.25">
      <c r="B9" s="27" t="s">
        <v>344</v>
      </c>
    </row>
    <row r="10" spans="2:18" ht="15.75" x14ac:dyDescent="0.25">
      <c r="B10" s="464" t="s">
        <v>149</v>
      </c>
      <c r="C10" s="464"/>
      <c r="D10" s="464"/>
      <c r="E10" s="464"/>
      <c r="F10" s="464"/>
      <c r="G10" s="464"/>
      <c r="H10" s="464"/>
      <c r="I10" s="464"/>
      <c r="J10" s="464"/>
      <c r="K10" s="464"/>
      <c r="L10" s="464"/>
      <c r="M10" s="464"/>
      <c r="N10" s="464"/>
      <c r="O10" s="464"/>
      <c r="P10" s="464"/>
      <c r="Q10" s="464"/>
      <c r="R10" s="464"/>
    </row>
    <row r="12" spans="2:18" x14ac:dyDescent="0.25">
      <c r="B12" s="465" t="s">
        <v>144</v>
      </c>
      <c r="C12" s="78" t="s">
        <v>150</v>
      </c>
      <c r="D12" s="74" t="s">
        <v>151</v>
      </c>
      <c r="F12" s="76" t="s">
        <v>153</v>
      </c>
      <c r="G12" s="74" t="s">
        <v>151</v>
      </c>
    </row>
    <row r="13" spans="2:18" ht="15.75" thickBot="1" x14ac:dyDescent="0.3">
      <c r="B13" s="466"/>
      <c r="C13" s="79" t="s">
        <v>145</v>
      </c>
      <c r="D13" s="75" t="s">
        <v>152</v>
      </c>
      <c r="F13" s="77" t="s">
        <v>145</v>
      </c>
      <c r="G13" s="75" t="s">
        <v>152</v>
      </c>
    </row>
    <row r="14" spans="2:18" x14ac:dyDescent="0.25">
      <c r="B14" s="295">
        <v>42217</v>
      </c>
      <c r="C14" s="296">
        <v>26283.09</v>
      </c>
      <c r="D14" s="80"/>
      <c r="F14" s="296">
        <v>423.35</v>
      </c>
      <c r="G14" s="80"/>
    </row>
    <row r="15" spans="2:18" x14ac:dyDescent="0.25">
      <c r="B15" s="297">
        <v>42248</v>
      </c>
      <c r="C15" s="294">
        <v>26154.83</v>
      </c>
      <c r="D15" s="81">
        <f t="shared" ref="D15:D79" si="0">C15/C14-1</f>
        <v>-4.8799437204680718E-3</v>
      </c>
      <c r="F15" s="294">
        <v>550.75</v>
      </c>
      <c r="G15" s="81">
        <f>F15/F14-1</f>
        <v>0.30093303413251449</v>
      </c>
      <c r="I15" s="86" t="s">
        <v>154</v>
      </c>
      <c r="J15" s="87">
        <f>SLOPE(G15:G134,D15:D134)</f>
        <v>1.2168904950023181</v>
      </c>
    </row>
    <row r="16" spans="2:18" x14ac:dyDescent="0.25">
      <c r="B16" s="297">
        <v>42278</v>
      </c>
      <c r="C16" s="294">
        <v>26656.83</v>
      </c>
      <c r="D16" s="81">
        <f t="shared" si="0"/>
        <v>1.9193395636675881E-2</v>
      </c>
      <c r="F16" s="294">
        <v>511.95</v>
      </c>
      <c r="G16" s="81">
        <f t="shared" ref="G16:G79" si="1">F16/F15-1</f>
        <v>-7.0449387199273739E-2</v>
      </c>
      <c r="I16" s="88" t="s">
        <v>154</v>
      </c>
      <c r="J16" s="89">
        <f>+_xlfn.COVARIANCE.S(G15:G134,D15:D134)/_xlfn.VAR.S(D15:D134)</f>
        <v>1.2168904950023185</v>
      </c>
    </row>
    <row r="17" spans="2:17" ht="15.75" thickBot="1" x14ac:dyDescent="0.3">
      <c r="B17" s="297">
        <v>42309</v>
      </c>
      <c r="C17" s="294">
        <v>26145.67</v>
      </c>
      <c r="D17" s="81">
        <f t="shared" si="0"/>
        <v>-1.9175573389634271E-2</v>
      </c>
      <c r="F17" s="294">
        <v>496.15</v>
      </c>
      <c r="G17" s="81">
        <f t="shared" si="1"/>
        <v>-3.0862388905166571E-2</v>
      </c>
      <c r="I17" s="90" t="s">
        <v>155</v>
      </c>
      <c r="J17" s="91">
        <f>J36</f>
        <v>1.2168975279251337</v>
      </c>
    </row>
    <row r="18" spans="2:17" ht="15.75" thickBot="1" x14ac:dyDescent="0.3">
      <c r="B18" s="297">
        <v>42339</v>
      </c>
      <c r="C18" s="294">
        <v>26117.54</v>
      </c>
      <c r="D18" s="81">
        <f t="shared" si="0"/>
        <v>-1.0758951673449646E-3</v>
      </c>
      <c r="F18" s="294">
        <v>523.35</v>
      </c>
      <c r="G18" s="81">
        <f t="shared" si="1"/>
        <v>5.4822130404111657E-2</v>
      </c>
    </row>
    <row r="19" spans="2:17" x14ac:dyDescent="0.25">
      <c r="B19" s="297">
        <v>42370</v>
      </c>
      <c r="C19" s="294">
        <v>24870.69</v>
      </c>
      <c r="D19" s="81">
        <f t="shared" si="0"/>
        <v>-4.7739947943029937E-2</v>
      </c>
      <c r="F19" s="294">
        <v>491.5</v>
      </c>
      <c r="G19" s="81">
        <f t="shared" si="1"/>
        <v>-6.0857934460685992E-2</v>
      </c>
      <c r="I19" s="68" t="s">
        <v>156</v>
      </c>
      <c r="J19" s="92"/>
      <c r="K19" s="92"/>
      <c r="L19" s="92"/>
      <c r="M19" s="92"/>
      <c r="N19" s="92"/>
      <c r="O19" s="92"/>
      <c r="P19" s="92"/>
      <c r="Q19" s="93"/>
    </row>
    <row r="20" spans="2:17" ht="15.75" thickBot="1" x14ac:dyDescent="0.3">
      <c r="B20" s="297">
        <v>42401</v>
      </c>
      <c r="C20" s="294">
        <v>23002</v>
      </c>
      <c r="D20" s="81">
        <f t="shared" si="0"/>
        <v>-7.5136234660156176E-2</v>
      </c>
      <c r="F20" s="294">
        <v>425.2</v>
      </c>
      <c r="G20" s="81">
        <f t="shared" si="1"/>
        <v>-0.13489318413021367</v>
      </c>
      <c r="I20" s="94"/>
      <c r="J20" s="34"/>
      <c r="K20" s="34"/>
      <c r="L20" s="34"/>
      <c r="M20" s="34"/>
      <c r="N20" s="34"/>
      <c r="O20" s="34"/>
      <c r="P20" s="34"/>
      <c r="Q20" s="95"/>
    </row>
    <row r="21" spans="2:17" x14ac:dyDescent="0.25">
      <c r="B21" s="297">
        <v>42430</v>
      </c>
      <c r="C21" s="294">
        <v>25341.86</v>
      </c>
      <c r="D21" s="81">
        <f t="shared" si="0"/>
        <v>0.1017241978958352</v>
      </c>
      <c r="F21" s="294">
        <v>517.4</v>
      </c>
      <c r="G21" s="81">
        <f t="shared" si="1"/>
        <v>0.21683913452492942</v>
      </c>
      <c r="I21" s="96" t="s">
        <v>157</v>
      </c>
      <c r="J21" s="85"/>
      <c r="K21" s="34"/>
      <c r="L21" s="34"/>
      <c r="M21" s="34"/>
      <c r="N21" s="34"/>
      <c r="O21" s="34"/>
      <c r="P21" s="34"/>
      <c r="Q21" s="95"/>
    </row>
    <row r="22" spans="2:17" x14ac:dyDescent="0.25">
      <c r="B22" s="297">
        <v>42461</v>
      </c>
      <c r="C22" s="294">
        <v>25606.62</v>
      </c>
      <c r="D22" s="81">
        <f t="shared" si="0"/>
        <v>1.0447536210838493E-2</v>
      </c>
      <c r="F22" s="294">
        <v>534.35</v>
      </c>
      <c r="G22" s="81">
        <f t="shared" si="1"/>
        <v>3.2759953614225124E-2</v>
      </c>
      <c r="I22" s="97" t="s">
        <v>158</v>
      </c>
      <c r="J22" s="82">
        <v>0.45074951272476804</v>
      </c>
      <c r="K22" s="34"/>
      <c r="L22" s="34"/>
      <c r="M22" s="34"/>
      <c r="N22" s="34"/>
      <c r="O22" s="34"/>
      <c r="P22" s="34"/>
      <c r="Q22" s="95"/>
    </row>
    <row r="23" spans="2:17" x14ac:dyDescent="0.25">
      <c r="B23" s="297">
        <v>42491</v>
      </c>
      <c r="C23" s="294">
        <v>26667.96</v>
      </c>
      <c r="D23" s="81">
        <f t="shared" si="0"/>
        <v>4.1447875588422001E-2</v>
      </c>
      <c r="F23" s="294">
        <v>518.1</v>
      </c>
      <c r="G23" s="81">
        <f t="shared" si="1"/>
        <v>-3.0410779451670256E-2</v>
      </c>
      <c r="I23" s="97" t="s">
        <v>159</v>
      </c>
      <c r="J23" s="82">
        <v>0.20317512322161585</v>
      </c>
      <c r="K23" s="34"/>
      <c r="L23" s="34"/>
      <c r="M23" s="34"/>
      <c r="N23" s="34"/>
      <c r="O23" s="34"/>
      <c r="P23" s="34"/>
      <c r="Q23" s="95"/>
    </row>
    <row r="24" spans="2:17" x14ac:dyDescent="0.25">
      <c r="B24" s="297">
        <v>42522</v>
      </c>
      <c r="C24" s="294">
        <v>26999.72</v>
      </c>
      <c r="D24" s="81">
        <f t="shared" si="0"/>
        <v>1.2440396640762907E-2</v>
      </c>
      <c r="F24" s="294">
        <v>519.54999999999995</v>
      </c>
      <c r="G24" s="81">
        <f t="shared" si="1"/>
        <v>2.798687512063136E-3</v>
      </c>
      <c r="I24" s="97" t="s">
        <v>160</v>
      </c>
      <c r="J24" s="82">
        <v>0.19642237002857868</v>
      </c>
      <c r="K24" s="34"/>
      <c r="L24" s="34"/>
      <c r="M24" s="34"/>
      <c r="N24" s="34"/>
      <c r="O24" s="34"/>
      <c r="P24" s="34"/>
      <c r="Q24" s="95"/>
    </row>
    <row r="25" spans="2:17" x14ac:dyDescent="0.25">
      <c r="B25" s="297">
        <v>42552</v>
      </c>
      <c r="C25" s="294">
        <v>28051.86</v>
      </c>
      <c r="D25" s="81">
        <f t="shared" si="0"/>
        <v>3.8968552266468004E-2</v>
      </c>
      <c r="F25" s="294">
        <v>553.5</v>
      </c>
      <c r="G25" s="81">
        <f t="shared" si="1"/>
        <v>6.534501010489846E-2</v>
      </c>
      <c r="I25" s="97" t="s">
        <v>161</v>
      </c>
      <c r="J25" s="82">
        <v>0.11185542008383582</v>
      </c>
      <c r="K25" s="34"/>
      <c r="L25" s="34"/>
      <c r="M25" s="34"/>
      <c r="N25" s="34"/>
      <c r="O25" s="34"/>
      <c r="P25" s="34"/>
      <c r="Q25" s="95"/>
    </row>
    <row r="26" spans="2:17" ht="15.75" thickBot="1" x14ac:dyDescent="0.3">
      <c r="B26" s="297">
        <v>42583</v>
      </c>
      <c r="C26" s="294">
        <v>28452.17</v>
      </c>
      <c r="D26" s="81">
        <f t="shared" si="0"/>
        <v>1.4270354978243693E-2</v>
      </c>
      <c r="F26" s="294">
        <v>617.54999999999995</v>
      </c>
      <c r="G26" s="81">
        <f t="shared" si="1"/>
        <v>0.11571815718157175</v>
      </c>
      <c r="I26" s="98" t="s">
        <v>162</v>
      </c>
      <c r="J26" s="83">
        <v>120</v>
      </c>
      <c r="K26" s="34"/>
      <c r="L26" s="34"/>
      <c r="M26" s="34"/>
      <c r="N26" s="34"/>
      <c r="O26" s="34"/>
      <c r="P26" s="34"/>
      <c r="Q26" s="95"/>
    </row>
    <row r="27" spans="2:17" x14ac:dyDescent="0.25">
      <c r="B27" s="297">
        <v>42614</v>
      </c>
      <c r="C27" s="294">
        <v>27865.96</v>
      </c>
      <c r="D27" s="81">
        <f t="shared" si="0"/>
        <v>-2.0603349410607263E-2</v>
      </c>
      <c r="F27" s="294">
        <v>619.45000000000005</v>
      </c>
      <c r="G27" s="81">
        <f t="shared" si="1"/>
        <v>3.0766739535261767E-3</v>
      </c>
      <c r="I27" s="94"/>
      <c r="J27" s="34"/>
      <c r="K27" s="34"/>
      <c r="L27" s="34"/>
      <c r="M27" s="34"/>
      <c r="N27" s="34"/>
      <c r="O27" s="34"/>
      <c r="P27" s="34"/>
      <c r="Q27" s="95"/>
    </row>
    <row r="28" spans="2:17" ht="15.75" thickBot="1" x14ac:dyDescent="0.3">
      <c r="B28" s="297">
        <v>42644</v>
      </c>
      <c r="C28" s="294">
        <v>27930.21</v>
      </c>
      <c r="D28" s="81">
        <f t="shared" si="0"/>
        <v>2.3056804789787222E-3</v>
      </c>
      <c r="F28" s="294">
        <v>757.95</v>
      </c>
      <c r="G28" s="81">
        <f t="shared" si="1"/>
        <v>0.22358543869561709</v>
      </c>
      <c r="I28" s="94" t="s">
        <v>163</v>
      </c>
      <c r="J28" s="34"/>
      <c r="K28" s="34"/>
      <c r="L28" s="34"/>
      <c r="M28" s="34"/>
      <c r="N28" s="34"/>
      <c r="O28" s="34"/>
      <c r="P28" s="34"/>
      <c r="Q28" s="95"/>
    </row>
    <row r="29" spans="2:17" x14ac:dyDescent="0.25">
      <c r="B29" s="297">
        <v>42675</v>
      </c>
      <c r="C29" s="294">
        <v>26652.81</v>
      </c>
      <c r="D29" s="81">
        <f t="shared" si="0"/>
        <v>-4.5735424116037704E-2</v>
      </c>
      <c r="F29" s="294">
        <v>724.85</v>
      </c>
      <c r="G29" s="81">
        <f t="shared" si="1"/>
        <v>-4.3670426809156337E-2</v>
      </c>
      <c r="I29" s="99"/>
      <c r="J29" s="84" t="s">
        <v>167</v>
      </c>
      <c r="K29" s="84" t="s">
        <v>168</v>
      </c>
      <c r="L29" s="84" t="s">
        <v>169</v>
      </c>
      <c r="M29" s="84" t="s">
        <v>170</v>
      </c>
      <c r="N29" s="84" t="s">
        <v>171</v>
      </c>
      <c r="O29" s="34"/>
      <c r="P29" s="34"/>
      <c r="Q29" s="95"/>
    </row>
    <row r="30" spans="2:17" x14ac:dyDescent="0.25">
      <c r="B30" s="297">
        <v>42705</v>
      </c>
      <c r="C30" s="294">
        <v>26626.46</v>
      </c>
      <c r="D30" s="81">
        <f t="shared" si="0"/>
        <v>-9.8863872139565157E-4</v>
      </c>
      <c r="F30" s="294">
        <v>683.15</v>
      </c>
      <c r="G30" s="81">
        <f t="shared" si="1"/>
        <v>-5.752914396081954E-2</v>
      </c>
      <c r="I30" s="97" t="s">
        <v>164</v>
      </c>
      <c r="J30" s="82">
        <v>1</v>
      </c>
      <c r="K30" s="82">
        <v>0.37644689663514841</v>
      </c>
      <c r="L30" s="82">
        <v>0.37644689663514841</v>
      </c>
      <c r="M30" s="82">
        <v>30.087746051656708</v>
      </c>
      <c r="N30" s="82">
        <v>2.3897428257665579E-7</v>
      </c>
      <c r="O30" s="34"/>
      <c r="P30" s="34"/>
      <c r="Q30" s="95"/>
    </row>
    <row r="31" spans="2:17" x14ac:dyDescent="0.25">
      <c r="B31" s="297">
        <v>42736</v>
      </c>
      <c r="C31" s="294">
        <v>27655.96</v>
      </c>
      <c r="D31" s="81">
        <f t="shared" si="0"/>
        <v>3.8664546469939998E-2</v>
      </c>
      <c r="F31" s="294">
        <v>718.7</v>
      </c>
      <c r="G31" s="81">
        <f t="shared" si="1"/>
        <v>5.2038351752909495E-2</v>
      </c>
      <c r="I31" s="97" t="s">
        <v>165</v>
      </c>
      <c r="J31" s="82">
        <v>118</v>
      </c>
      <c r="K31" s="82">
        <v>1.4763729302515032</v>
      </c>
      <c r="L31" s="82">
        <v>1.2511635002131384E-2</v>
      </c>
      <c r="M31" s="82"/>
      <c r="N31" s="82"/>
      <c r="O31" s="34"/>
      <c r="P31" s="34"/>
      <c r="Q31" s="95"/>
    </row>
    <row r="32" spans="2:17" ht="15.75" thickBot="1" x14ac:dyDescent="0.3">
      <c r="B32" s="297">
        <v>42767</v>
      </c>
      <c r="C32" s="294">
        <v>28743.32</v>
      </c>
      <c r="D32" s="81">
        <f t="shared" si="0"/>
        <v>3.931738402861451E-2</v>
      </c>
      <c r="F32" s="294">
        <v>778.5</v>
      </c>
      <c r="G32" s="81">
        <f t="shared" si="1"/>
        <v>8.3205788228746247E-2</v>
      </c>
      <c r="I32" s="98" t="s">
        <v>75</v>
      </c>
      <c r="J32" s="83">
        <v>119</v>
      </c>
      <c r="K32" s="83">
        <v>1.8528198268866516</v>
      </c>
      <c r="L32" s="83"/>
      <c r="M32" s="83"/>
      <c r="N32" s="83"/>
      <c r="O32" s="34"/>
      <c r="P32" s="34"/>
      <c r="Q32" s="95"/>
    </row>
    <row r="33" spans="2:17" ht="15.75" thickBot="1" x14ac:dyDescent="0.3">
      <c r="B33" s="297">
        <v>42795</v>
      </c>
      <c r="C33" s="294">
        <v>29620.5</v>
      </c>
      <c r="D33" s="81">
        <f t="shared" si="0"/>
        <v>3.0517699416768851E-2</v>
      </c>
      <c r="F33" s="294">
        <v>765.75</v>
      </c>
      <c r="G33" s="81">
        <f t="shared" si="1"/>
        <v>-1.6377649325626242E-2</v>
      </c>
      <c r="I33" s="94"/>
      <c r="J33" s="34"/>
      <c r="K33" s="34"/>
      <c r="L33" s="34"/>
      <c r="M33" s="34"/>
      <c r="N33" s="34"/>
      <c r="O33" s="34"/>
      <c r="P33" s="34"/>
      <c r="Q33" s="95"/>
    </row>
    <row r="34" spans="2:17" x14ac:dyDescent="0.25">
      <c r="B34" s="297">
        <v>42826</v>
      </c>
      <c r="C34" s="294">
        <v>29918.400000000001</v>
      </c>
      <c r="D34" s="81">
        <f t="shared" si="0"/>
        <v>1.0057223882108834E-2</v>
      </c>
      <c r="F34" s="294">
        <v>873.25</v>
      </c>
      <c r="G34" s="81">
        <f t="shared" si="1"/>
        <v>0.14038524322559587</v>
      </c>
      <c r="I34" s="99"/>
      <c r="J34" s="84" t="s">
        <v>172</v>
      </c>
      <c r="K34" s="84" t="s">
        <v>161</v>
      </c>
      <c r="L34" s="84" t="s">
        <v>173</v>
      </c>
      <c r="M34" s="84" t="s">
        <v>174</v>
      </c>
      <c r="N34" s="84" t="s">
        <v>175</v>
      </c>
      <c r="O34" s="84" t="s">
        <v>176</v>
      </c>
      <c r="P34" s="84" t="s">
        <v>177</v>
      </c>
      <c r="Q34" s="100" t="s">
        <v>178</v>
      </c>
    </row>
    <row r="35" spans="2:17" x14ac:dyDescent="0.25">
      <c r="B35" s="297">
        <v>42856</v>
      </c>
      <c r="C35" s="294">
        <v>31145.8</v>
      </c>
      <c r="D35" s="81">
        <f t="shared" si="0"/>
        <v>4.1024921118776314E-2</v>
      </c>
      <c r="F35" s="294">
        <v>879.95</v>
      </c>
      <c r="G35" s="81">
        <f t="shared" si="1"/>
        <v>7.6724878328084944E-3</v>
      </c>
      <c r="I35" s="97" t="s">
        <v>166</v>
      </c>
      <c r="J35" s="82">
        <v>-4.644352729577644E-3</v>
      </c>
      <c r="K35" s="82">
        <v>1.0471636656634548E-2</v>
      </c>
      <c r="L35" s="82">
        <v>-0.44351736809308662</v>
      </c>
      <c r="M35" s="82">
        <v>0.6582037081276908</v>
      </c>
      <c r="N35" s="82">
        <v>-2.5381044205180642E-2</v>
      </c>
      <c r="O35" s="82">
        <v>1.609233874602535E-2</v>
      </c>
      <c r="P35" s="82">
        <v>-2.5381044205180642E-2</v>
      </c>
      <c r="Q35" s="101">
        <v>1.609233874602535E-2</v>
      </c>
    </row>
    <row r="36" spans="2:17" ht="15.75" thickBot="1" x14ac:dyDescent="0.3">
      <c r="B36" s="297">
        <v>42887</v>
      </c>
      <c r="C36" s="294">
        <v>30921.61</v>
      </c>
      <c r="D36" s="81">
        <f t="shared" si="0"/>
        <v>-7.1980812822274309E-3</v>
      </c>
      <c r="F36" s="294">
        <v>919.1</v>
      </c>
      <c r="G36" s="81">
        <f t="shared" si="1"/>
        <v>4.4491164270697103E-2</v>
      </c>
      <c r="I36" s="98" t="s">
        <v>179</v>
      </c>
      <c r="J36" s="103">
        <v>1.2168975279251337</v>
      </c>
      <c r="K36" s="83">
        <v>0.22184987145798415</v>
      </c>
      <c r="L36" s="83">
        <v>5.4852298084635143</v>
      </c>
      <c r="M36" s="83">
        <v>2.3897428257666114E-7</v>
      </c>
      <c r="N36" s="83">
        <v>0.77757438397211187</v>
      </c>
      <c r="O36" s="83">
        <v>1.6562206718781556</v>
      </c>
      <c r="P36" s="83">
        <v>0.77757438397211187</v>
      </c>
      <c r="Q36" s="102">
        <v>1.6562206718781556</v>
      </c>
    </row>
    <row r="37" spans="2:17" x14ac:dyDescent="0.25">
      <c r="B37" s="297">
        <v>42917</v>
      </c>
      <c r="C37" s="294">
        <v>32514.94</v>
      </c>
      <c r="D37" s="81">
        <f t="shared" si="0"/>
        <v>5.1528041392411295E-2</v>
      </c>
      <c r="F37" s="294">
        <v>969.85</v>
      </c>
      <c r="G37" s="81">
        <f t="shared" si="1"/>
        <v>5.5217060167555232E-2</v>
      </c>
    </row>
    <row r="38" spans="2:17" x14ac:dyDescent="0.25">
      <c r="B38" s="297">
        <v>42948</v>
      </c>
      <c r="C38" s="294">
        <v>31730.49</v>
      </c>
      <c r="D38" s="81">
        <f t="shared" si="0"/>
        <v>-2.4125832617252208E-2</v>
      </c>
      <c r="F38" s="294">
        <v>871.35</v>
      </c>
      <c r="G38" s="81">
        <f t="shared" si="1"/>
        <v>-0.10156209723153065</v>
      </c>
    </row>
    <row r="39" spans="2:17" x14ac:dyDescent="0.25">
      <c r="B39" s="297">
        <v>42979</v>
      </c>
      <c r="C39" s="294">
        <v>31283.72</v>
      </c>
      <c r="D39" s="81">
        <f t="shared" si="0"/>
        <v>-1.4080148147727956E-2</v>
      </c>
      <c r="F39" s="294">
        <v>890.4</v>
      </c>
      <c r="G39" s="81">
        <f t="shared" si="1"/>
        <v>2.1862626958168319E-2</v>
      </c>
    </row>
    <row r="40" spans="2:17" x14ac:dyDescent="0.25">
      <c r="B40" s="297">
        <v>43009</v>
      </c>
      <c r="C40" s="294">
        <v>33213.129999999997</v>
      </c>
      <c r="D40" s="81">
        <f t="shared" si="0"/>
        <v>6.1674570671262696E-2</v>
      </c>
      <c r="F40" s="294">
        <v>951.45</v>
      </c>
      <c r="G40" s="81">
        <f t="shared" si="1"/>
        <v>6.8564690026954311E-2</v>
      </c>
    </row>
    <row r="41" spans="2:17" x14ac:dyDescent="0.25">
      <c r="B41" s="297">
        <v>43040</v>
      </c>
      <c r="C41" s="294">
        <v>33149.35</v>
      </c>
      <c r="D41" s="81">
        <f t="shared" si="0"/>
        <v>-1.9203248835625297E-3</v>
      </c>
      <c r="F41" s="294">
        <v>910.4</v>
      </c>
      <c r="G41" s="81">
        <f t="shared" si="1"/>
        <v>-4.3144673918755649E-2</v>
      </c>
    </row>
    <row r="42" spans="2:17" x14ac:dyDescent="0.25">
      <c r="B42" s="297">
        <v>43070</v>
      </c>
      <c r="C42" s="294">
        <v>34056.83</v>
      </c>
      <c r="D42" s="81">
        <f t="shared" si="0"/>
        <v>2.7375499067100906E-2</v>
      </c>
      <c r="F42" s="294">
        <v>1135.5</v>
      </c>
      <c r="G42" s="81">
        <f t="shared" si="1"/>
        <v>0.24725395430579966</v>
      </c>
    </row>
    <row r="43" spans="2:17" x14ac:dyDescent="0.25">
      <c r="B43" s="297">
        <v>43101</v>
      </c>
      <c r="C43" s="294">
        <v>35965.019999999997</v>
      </c>
      <c r="D43" s="81">
        <f t="shared" si="0"/>
        <v>5.6029583493237389E-2</v>
      </c>
      <c r="F43" s="294">
        <v>1057.1500000000001</v>
      </c>
      <c r="G43" s="81">
        <f t="shared" si="1"/>
        <v>-6.9000440334654245E-2</v>
      </c>
    </row>
    <row r="44" spans="2:17" x14ac:dyDescent="0.25">
      <c r="B44" s="297">
        <v>43132</v>
      </c>
      <c r="C44" s="294">
        <v>34184.04</v>
      </c>
      <c r="D44" s="81">
        <f t="shared" si="0"/>
        <v>-4.9519783389526673E-2</v>
      </c>
      <c r="F44" s="294">
        <v>1176.0999999999999</v>
      </c>
      <c r="G44" s="81">
        <f t="shared" si="1"/>
        <v>0.11251951000331051</v>
      </c>
    </row>
    <row r="45" spans="2:17" x14ac:dyDescent="0.25">
      <c r="B45" s="297">
        <v>43160</v>
      </c>
      <c r="C45" s="294">
        <v>32968.68</v>
      </c>
      <c r="D45" s="81">
        <f t="shared" si="0"/>
        <v>-3.5553433707660065E-2</v>
      </c>
      <c r="F45" s="294">
        <v>1144.2</v>
      </c>
      <c r="G45" s="81">
        <f t="shared" si="1"/>
        <v>-2.7123543916333537E-2</v>
      </c>
    </row>
    <row r="46" spans="2:17" x14ac:dyDescent="0.25">
      <c r="B46" s="297">
        <v>43191</v>
      </c>
      <c r="C46" s="294">
        <v>35160.36</v>
      </c>
      <c r="D46" s="81">
        <f t="shared" si="0"/>
        <v>6.6477638777166614E-2</v>
      </c>
      <c r="F46" s="294">
        <v>1344.6</v>
      </c>
      <c r="G46" s="81">
        <f t="shared" si="1"/>
        <v>0.17514420555846866</v>
      </c>
    </row>
    <row r="47" spans="2:17" x14ac:dyDescent="0.25">
      <c r="B47" s="297">
        <v>43221</v>
      </c>
      <c r="C47" s="294">
        <v>35322.379999999997</v>
      </c>
      <c r="D47" s="81">
        <f t="shared" si="0"/>
        <v>4.6080301794406697E-3</v>
      </c>
      <c r="F47" s="294">
        <v>1243.3</v>
      </c>
      <c r="G47" s="81">
        <f t="shared" si="1"/>
        <v>-7.5338390599434701E-2</v>
      </c>
    </row>
    <row r="48" spans="2:17" x14ac:dyDescent="0.25">
      <c r="B48" s="297">
        <v>43252</v>
      </c>
      <c r="C48" s="294">
        <v>35423.480000000003</v>
      </c>
      <c r="D48" s="81">
        <f t="shared" si="0"/>
        <v>2.8622080392093352E-3</v>
      </c>
      <c r="F48" s="294">
        <v>1233.7</v>
      </c>
      <c r="G48" s="81">
        <f t="shared" si="1"/>
        <v>-7.7213866323493363E-3</v>
      </c>
    </row>
    <row r="49" spans="2:7" x14ac:dyDescent="0.25">
      <c r="B49" s="297">
        <v>43282</v>
      </c>
      <c r="C49" s="294">
        <v>37606.58</v>
      </c>
      <c r="D49" s="81">
        <f t="shared" si="0"/>
        <v>6.1628614692853301E-2</v>
      </c>
      <c r="F49" s="294">
        <v>1224.7</v>
      </c>
      <c r="G49" s="81">
        <f t="shared" si="1"/>
        <v>-7.2951284753181023E-3</v>
      </c>
    </row>
    <row r="50" spans="2:7" x14ac:dyDescent="0.25">
      <c r="B50" s="297">
        <v>43313</v>
      </c>
      <c r="C50" s="294">
        <v>38645.07</v>
      </c>
      <c r="D50" s="81">
        <f t="shared" si="0"/>
        <v>2.7614582341707106E-2</v>
      </c>
      <c r="F50" s="294">
        <v>1360.5</v>
      </c>
      <c r="G50" s="81">
        <f t="shared" si="1"/>
        <v>0.11088429819547629</v>
      </c>
    </row>
    <row r="51" spans="2:7" x14ac:dyDescent="0.25">
      <c r="B51" s="297">
        <v>43344</v>
      </c>
      <c r="C51" s="294">
        <v>36227.14</v>
      </c>
      <c r="D51" s="81">
        <f t="shared" si="0"/>
        <v>-6.2567618586277685E-2</v>
      </c>
      <c r="F51" s="294">
        <v>1174.45</v>
      </c>
      <c r="G51" s="81">
        <f t="shared" si="1"/>
        <v>-0.13675119441381844</v>
      </c>
    </row>
    <row r="52" spans="2:7" x14ac:dyDescent="0.25">
      <c r="B52" s="297">
        <v>43374</v>
      </c>
      <c r="C52" s="294">
        <v>34442.050000000003</v>
      </c>
      <c r="D52" s="81">
        <f t="shared" si="0"/>
        <v>-4.9274935863002023E-2</v>
      </c>
      <c r="F52" s="294">
        <v>1299.3499999999999</v>
      </c>
      <c r="G52" s="81">
        <f t="shared" si="1"/>
        <v>0.10634765209246866</v>
      </c>
    </row>
    <row r="53" spans="2:7" x14ac:dyDescent="0.25">
      <c r="B53" s="297">
        <v>43405</v>
      </c>
      <c r="C53" s="294">
        <v>36194.300000000003</v>
      </c>
      <c r="D53" s="81">
        <f t="shared" si="0"/>
        <v>5.0875310848221833E-2</v>
      </c>
      <c r="F53" s="294">
        <v>1436.2</v>
      </c>
      <c r="G53" s="81">
        <f t="shared" si="1"/>
        <v>0.10532189171508843</v>
      </c>
    </row>
    <row r="54" spans="2:7" x14ac:dyDescent="0.25">
      <c r="B54" s="297">
        <v>43435</v>
      </c>
      <c r="C54" s="294">
        <v>36068.33</v>
      </c>
      <c r="D54" s="81">
        <f t="shared" si="0"/>
        <v>-3.4803822701364728E-3</v>
      </c>
      <c r="F54" s="294">
        <v>1438.75</v>
      </c>
      <c r="G54" s="81">
        <f t="shared" si="1"/>
        <v>1.7755187299819397E-3</v>
      </c>
    </row>
    <row r="55" spans="2:7" x14ac:dyDescent="0.25">
      <c r="B55" s="297">
        <v>43466</v>
      </c>
      <c r="C55" s="294">
        <v>36256.69</v>
      </c>
      <c r="D55" s="81">
        <f t="shared" si="0"/>
        <v>5.2223099877370949E-3</v>
      </c>
      <c r="F55" s="294">
        <v>1621.8</v>
      </c>
      <c r="G55" s="81">
        <f t="shared" si="1"/>
        <v>0.12722849695916594</v>
      </c>
    </row>
    <row r="56" spans="2:7" x14ac:dyDescent="0.25">
      <c r="B56" s="297">
        <v>43497</v>
      </c>
      <c r="C56" s="294">
        <v>35867.440000000002</v>
      </c>
      <c r="D56" s="81">
        <f t="shared" si="0"/>
        <v>-1.0735949696455971E-2</v>
      </c>
      <c r="F56" s="294">
        <v>1390.45</v>
      </c>
      <c r="G56" s="81">
        <f t="shared" si="1"/>
        <v>-0.14265014181773328</v>
      </c>
    </row>
    <row r="57" spans="2:7" x14ac:dyDescent="0.25">
      <c r="B57" s="297">
        <v>43525</v>
      </c>
      <c r="C57" s="294">
        <v>38672.910000000003</v>
      </c>
      <c r="D57" s="81">
        <f t="shared" si="0"/>
        <v>7.8217737312727076E-2</v>
      </c>
      <c r="F57" s="294">
        <v>1573.1</v>
      </c>
      <c r="G57" s="81">
        <f t="shared" si="1"/>
        <v>0.13136035096551457</v>
      </c>
    </row>
    <row r="58" spans="2:7" x14ac:dyDescent="0.25">
      <c r="B58" s="297">
        <v>43556</v>
      </c>
      <c r="C58" s="294">
        <v>39031.550000000003</v>
      </c>
      <c r="D58" s="81">
        <f t="shared" si="0"/>
        <v>9.2736750350568276E-3</v>
      </c>
      <c r="F58" s="294">
        <v>1621.6</v>
      </c>
      <c r="G58" s="81">
        <f t="shared" si="1"/>
        <v>3.0830843557307253E-2</v>
      </c>
    </row>
    <row r="59" spans="2:7" x14ac:dyDescent="0.25">
      <c r="B59" s="297">
        <v>43586</v>
      </c>
      <c r="C59" s="294">
        <v>39714.199999999997</v>
      </c>
      <c r="D59" s="81">
        <f t="shared" si="0"/>
        <v>1.7489697437073293E-2</v>
      </c>
      <c r="F59" s="294">
        <v>1870.6</v>
      </c>
      <c r="G59" s="81">
        <f t="shared" si="1"/>
        <v>0.15355204736063155</v>
      </c>
    </row>
    <row r="60" spans="2:7" x14ac:dyDescent="0.25">
      <c r="B60" s="297">
        <v>43617</v>
      </c>
      <c r="C60" s="294">
        <v>39394.639999999999</v>
      </c>
      <c r="D60" s="81">
        <f t="shared" si="0"/>
        <v>-8.0464921866737482E-3</v>
      </c>
      <c r="F60" s="294">
        <v>1778.65</v>
      </c>
      <c r="G60" s="81">
        <f t="shared" si="1"/>
        <v>-4.9155351224206001E-2</v>
      </c>
    </row>
    <row r="61" spans="2:7" x14ac:dyDescent="0.25">
      <c r="B61" s="297">
        <v>43647</v>
      </c>
      <c r="C61" s="294">
        <v>37481.120000000003</v>
      </c>
      <c r="D61" s="81">
        <f t="shared" si="0"/>
        <v>-4.8573105376771952E-2</v>
      </c>
      <c r="F61" s="294">
        <v>1664.15</v>
      </c>
      <c r="G61" s="81">
        <f t="shared" si="1"/>
        <v>-6.4374666179405682E-2</v>
      </c>
    </row>
    <row r="62" spans="2:7" x14ac:dyDescent="0.25">
      <c r="B62" s="297">
        <v>43678</v>
      </c>
      <c r="C62" s="294">
        <v>37332.79</v>
      </c>
      <c r="D62" s="81">
        <f t="shared" si="0"/>
        <v>-3.9574591154160066E-3</v>
      </c>
      <c r="F62" s="294">
        <v>1593.7</v>
      </c>
      <c r="G62" s="81">
        <f t="shared" si="1"/>
        <v>-4.2333924225580688E-2</v>
      </c>
    </row>
    <row r="63" spans="2:7" x14ac:dyDescent="0.25">
      <c r="B63" s="297">
        <v>43709</v>
      </c>
      <c r="C63" s="294">
        <v>38667.33</v>
      </c>
      <c r="D63" s="81">
        <f t="shared" si="0"/>
        <v>3.5747127391229094E-2</v>
      </c>
      <c r="F63" s="294">
        <v>800.35</v>
      </c>
      <c r="G63" s="81">
        <f t="shared" si="1"/>
        <v>-0.49780385266988769</v>
      </c>
    </row>
    <row r="64" spans="2:7" x14ac:dyDescent="0.25">
      <c r="B64" s="297">
        <v>43739</v>
      </c>
      <c r="C64" s="294">
        <v>40129.050000000003</v>
      </c>
      <c r="D64" s="81">
        <f t="shared" si="0"/>
        <v>3.7802454940643715E-2</v>
      </c>
      <c r="F64" s="294">
        <v>878.05</v>
      </c>
      <c r="G64" s="81">
        <f t="shared" si="1"/>
        <v>9.7082526394702162E-2</v>
      </c>
    </row>
    <row r="65" spans="2:7" x14ac:dyDescent="0.25">
      <c r="B65" s="297">
        <v>43770</v>
      </c>
      <c r="C65" s="294">
        <v>40793.81</v>
      </c>
      <c r="D65" s="81">
        <f t="shared" si="0"/>
        <v>1.6565555376965024E-2</v>
      </c>
      <c r="F65" s="294">
        <v>843.45</v>
      </c>
      <c r="G65" s="81">
        <f t="shared" si="1"/>
        <v>-3.9405500825693163E-2</v>
      </c>
    </row>
    <row r="66" spans="2:7" x14ac:dyDescent="0.25">
      <c r="B66" s="297">
        <v>43800</v>
      </c>
      <c r="C66" s="294">
        <v>41253.74</v>
      </c>
      <c r="D66" s="81">
        <f t="shared" si="0"/>
        <v>1.127450463685542E-2</v>
      </c>
      <c r="F66" s="294">
        <v>833.25</v>
      </c>
      <c r="G66" s="81">
        <f t="shared" si="1"/>
        <v>-1.2093188689311862E-2</v>
      </c>
    </row>
    <row r="67" spans="2:7" x14ac:dyDescent="0.25">
      <c r="B67" s="297">
        <v>43831</v>
      </c>
      <c r="C67" s="294">
        <v>40723.49</v>
      </c>
      <c r="D67" s="81">
        <f t="shared" si="0"/>
        <v>-1.285338008141812E-2</v>
      </c>
      <c r="F67" s="294">
        <v>986.65</v>
      </c>
      <c r="G67" s="81">
        <f t="shared" si="1"/>
        <v>0.18409840984098413</v>
      </c>
    </row>
    <row r="68" spans="2:7" x14ac:dyDescent="0.25">
      <c r="B68" s="297">
        <v>43862</v>
      </c>
      <c r="C68" s="294">
        <v>38297.29</v>
      </c>
      <c r="D68" s="81">
        <f t="shared" si="0"/>
        <v>-5.957740851778659E-2</v>
      </c>
      <c r="F68" s="294">
        <v>978.05</v>
      </c>
      <c r="G68" s="81">
        <f t="shared" si="1"/>
        <v>-8.7163634520853739E-3</v>
      </c>
    </row>
    <row r="69" spans="2:7" x14ac:dyDescent="0.25">
      <c r="B69" s="297">
        <v>43891</v>
      </c>
      <c r="C69" s="294">
        <v>29468.49</v>
      </c>
      <c r="D69" s="81">
        <f t="shared" si="0"/>
        <v>-0.23053328316442234</v>
      </c>
      <c r="F69" s="294">
        <v>761.85</v>
      </c>
      <c r="G69" s="81">
        <f t="shared" si="1"/>
        <v>-0.22105209345125498</v>
      </c>
    </row>
    <row r="70" spans="2:7" x14ac:dyDescent="0.25">
      <c r="B70" s="297">
        <v>43922</v>
      </c>
      <c r="C70" s="294">
        <v>33717.620000000003</v>
      </c>
      <c r="D70" s="81">
        <f t="shared" si="0"/>
        <v>0.14419232203618182</v>
      </c>
      <c r="F70" s="294">
        <v>1104.8499999999999</v>
      </c>
      <c r="G70" s="81">
        <f t="shared" si="1"/>
        <v>0.45021985955240518</v>
      </c>
    </row>
    <row r="71" spans="2:7" x14ac:dyDescent="0.25">
      <c r="B71" s="297">
        <v>43952</v>
      </c>
      <c r="C71" s="294">
        <v>32424.1</v>
      </c>
      <c r="D71" s="81">
        <f t="shared" si="0"/>
        <v>-3.8363324576289881E-2</v>
      </c>
      <c r="F71" s="294">
        <v>975.8</v>
      </c>
      <c r="G71" s="81">
        <f t="shared" si="1"/>
        <v>-0.11680318595284422</v>
      </c>
    </row>
    <row r="72" spans="2:7" x14ac:dyDescent="0.25">
      <c r="B72" s="297">
        <v>43983</v>
      </c>
      <c r="C72" s="294">
        <v>34915.800000000003</v>
      </c>
      <c r="D72" s="81">
        <f t="shared" si="0"/>
        <v>7.6847159982852409E-2</v>
      </c>
      <c r="F72" s="294">
        <v>931.8</v>
      </c>
      <c r="G72" s="81">
        <f t="shared" si="1"/>
        <v>-4.5091207214593143E-2</v>
      </c>
    </row>
    <row r="73" spans="2:7" x14ac:dyDescent="0.25">
      <c r="B73" s="297">
        <v>44013</v>
      </c>
      <c r="C73" s="294">
        <v>37606.89</v>
      </c>
      <c r="D73" s="81">
        <f t="shared" si="0"/>
        <v>7.7073703022700224E-2</v>
      </c>
      <c r="F73" s="294">
        <v>990.2</v>
      </c>
      <c r="G73" s="81">
        <f t="shared" si="1"/>
        <v>6.2674393646705351E-2</v>
      </c>
    </row>
    <row r="74" spans="2:7" x14ac:dyDescent="0.25">
      <c r="B74" s="297">
        <v>44044</v>
      </c>
      <c r="C74" s="294">
        <v>38628.29</v>
      </c>
      <c r="D74" s="81">
        <f t="shared" si="0"/>
        <v>2.7159916706752441E-2</v>
      </c>
      <c r="F74" s="294">
        <v>1048.0999999999999</v>
      </c>
      <c r="G74" s="81">
        <f t="shared" si="1"/>
        <v>5.8473035750353342E-2</v>
      </c>
    </row>
    <row r="75" spans="2:7" x14ac:dyDescent="0.25">
      <c r="B75" s="297">
        <v>44075</v>
      </c>
      <c r="C75" s="294">
        <v>38067.93</v>
      </c>
      <c r="D75" s="81">
        <f t="shared" si="0"/>
        <v>-1.4506466633651183E-2</v>
      </c>
      <c r="F75" s="294">
        <v>1015.4</v>
      </c>
      <c r="G75" s="81">
        <f t="shared" si="1"/>
        <v>-3.1199313042648558E-2</v>
      </c>
    </row>
    <row r="76" spans="2:7" x14ac:dyDescent="0.25">
      <c r="B76" s="297">
        <v>44105</v>
      </c>
      <c r="C76" s="294">
        <v>39614.07</v>
      </c>
      <c r="D76" s="81">
        <f t="shared" si="0"/>
        <v>4.061528956263194E-2</v>
      </c>
      <c r="F76" s="294">
        <v>997.95</v>
      </c>
      <c r="G76" s="81">
        <f t="shared" si="1"/>
        <v>-1.7185345676580588E-2</v>
      </c>
    </row>
    <row r="77" spans="2:7" x14ac:dyDescent="0.25">
      <c r="B77" s="297">
        <v>44136</v>
      </c>
      <c r="C77" s="294">
        <v>44149.72</v>
      </c>
      <c r="D77" s="81">
        <f t="shared" si="0"/>
        <v>0.11449593540880798</v>
      </c>
      <c r="F77" s="294">
        <v>1155.1500000000001</v>
      </c>
      <c r="G77" s="81">
        <f t="shared" si="1"/>
        <v>0.15752292199007978</v>
      </c>
    </row>
    <row r="78" spans="2:7" x14ac:dyDescent="0.25">
      <c r="B78" s="297">
        <v>44166</v>
      </c>
      <c r="C78" s="294">
        <v>47751.33</v>
      </c>
      <c r="D78" s="81">
        <f t="shared" si="0"/>
        <v>8.15771878054945E-2</v>
      </c>
      <c r="F78" s="294">
        <v>1231.5</v>
      </c>
      <c r="G78" s="81">
        <f t="shared" si="1"/>
        <v>6.6095312297104192E-2</v>
      </c>
    </row>
    <row r="79" spans="2:7" x14ac:dyDescent="0.25">
      <c r="B79" s="297">
        <v>44197</v>
      </c>
      <c r="C79" s="294">
        <v>46285.77</v>
      </c>
      <c r="D79" s="81">
        <f t="shared" si="0"/>
        <v>-3.0691501158187751E-2</v>
      </c>
      <c r="F79" s="294">
        <v>1158.6500000000001</v>
      </c>
      <c r="G79" s="81">
        <f t="shared" si="1"/>
        <v>-5.9155501421031209E-2</v>
      </c>
    </row>
    <row r="80" spans="2:7" x14ac:dyDescent="0.25">
      <c r="B80" s="297">
        <v>44228</v>
      </c>
      <c r="C80" s="294">
        <v>49099.99</v>
      </c>
      <c r="D80" s="81">
        <f t="shared" ref="D80:D134" si="2">C80/C79-1</f>
        <v>6.0800976196355938E-2</v>
      </c>
      <c r="F80" s="294">
        <v>1234.8499999999999</v>
      </c>
      <c r="G80" s="81">
        <f t="shared" ref="G80:G134" si="3">F80/F79-1</f>
        <v>6.5766193414749763E-2</v>
      </c>
    </row>
    <row r="81" spans="2:7" x14ac:dyDescent="0.25">
      <c r="B81" s="297">
        <v>44256</v>
      </c>
      <c r="C81" s="294">
        <v>49509.15</v>
      </c>
      <c r="D81" s="81">
        <f t="shared" si="2"/>
        <v>8.3331992531974208E-3</v>
      </c>
      <c r="F81" s="294">
        <v>1316.55</v>
      </c>
      <c r="G81" s="81">
        <f t="shared" si="3"/>
        <v>6.616188200996076E-2</v>
      </c>
    </row>
    <row r="82" spans="2:7" x14ac:dyDescent="0.25">
      <c r="B82" s="297">
        <v>44287</v>
      </c>
      <c r="C82" s="294">
        <v>48782.36</v>
      </c>
      <c r="D82" s="81">
        <f t="shared" si="2"/>
        <v>-1.4679912703005393E-2</v>
      </c>
      <c r="F82" s="294">
        <v>1602.85</v>
      </c>
      <c r="G82" s="81">
        <f t="shared" si="3"/>
        <v>0.21746230678667722</v>
      </c>
    </row>
    <row r="83" spans="2:7" x14ac:dyDescent="0.25">
      <c r="B83" s="297">
        <v>44317</v>
      </c>
      <c r="C83" s="294">
        <v>51937.440000000002</v>
      </c>
      <c r="D83" s="81">
        <f t="shared" si="2"/>
        <v>6.4676657709877183E-2</v>
      </c>
      <c r="F83" s="294">
        <v>1676.45</v>
      </c>
      <c r="G83" s="81">
        <f t="shared" si="3"/>
        <v>4.5918208191658705E-2</v>
      </c>
    </row>
    <row r="84" spans="2:7" x14ac:dyDescent="0.25">
      <c r="B84" s="297">
        <v>44348</v>
      </c>
      <c r="C84" s="294">
        <v>52482.71</v>
      </c>
      <c r="D84" s="81">
        <f t="shared" si="2"/>
        <v>1.0498592152404784E-2</v>
      </c>
      <c r="F84" s="294">
        <v>871.55</v>
      </c>
      <c r="G84" s="81">
        <f t="shared" si="3"/>
        <v>-0.4801216857049122</v>
      </c>
    </row>
    <row r="85" spans="2:7" x14ac:dyDescent="0.25">
      <c r="B85" s="297">
        <v>44378</v>
      </c>
      <c r="C85" s="294">
        <v>52586.84</v>
      </c>
      <c r="D85" s="81">
        <f t="shared" si="2"/>
        <v>1.9840819957657185E-3</v>
      </c>
      <c r="F85" s="294">
        <v>934.5</v>
      </c>
      <c r="G85" s="81">
        <f t="shared" si="3"/>
        <v>7.2227640410762461E-2</v>
      </c>
    </row>
    <row r="86" spans="2:7" x14ac:dyDescent="0.25">
      <c r="B86" s="297">
        <v>44409</v>
      </c>
      <c r="C86" s="294">
        <v>57552.39</v>
      </c>
      <c r="D86" s="81">
        <f t="shared" si="2"/>
        <v>9.4425715635318763E-2</v>
      </c>
      <c r="F86" s="294">
        <v>937.85</v>
      </c>
      <c r="G86" s="81">
        <f t="shared" si="3"/>
        <v>3.5848047084001688E-3</v>
      </c>
    </row>
    <row r="87" spans="2:7" x14ac:dyDescent="0.25">
      <c r="B87" s="297">
        <v>44440</v>
      </c>
      <c r="C87" s="294">
        <v>59126.36</v>
      </c>
      <c r="D87" s="81">
        <f t="shared" si="2"/>
        <v>2.7348473277999386E-2</v>
      </c>
      <c r="F87" s="294">
        <v>929.6</v>
      </c>
      <c r="G87" s="81">
        <f t="shared" si="3"/>
        <v>-8.7967158927333422E-3</v>
      </c>
    </row>
    <row r="88" spans="2:7" x14ac:dyDescent="0.25">
      <c r="B88" s="297">
        <v>44470</v>
      </c>
      <c r="C88" s="294">
        <v>59306.93</v>
      </c>
      <c r="D88" s="81">
        <f t="shared" si="2"/>
        <v>3.0539678072520893E-3</v>
      </c>
      <c r="F88" s="294">
        <v>964.3</v>
      </c>
      <c r="G88" s="81">
        <f t="shared" si="3"/>
        <v>3.7327882960413117E-2</v>
      </c>
    </row>
    <row r="89" spans="2:7" x14ac:dyDescent="0.25">
      <c r="B89" s="297">
        <v>44501</v>
      </c>
      <c r="C89" s="294">
        <v>57064.87</v>
      </c>
      <c r="D89" s="81">
        <f t="shared" si="2"/>
        <v>-3.7804351026094252E-2</v>
      </c>
      <c r="F89" s="294">
        <v>936.85</v>
      </c>
      <c r="G89" s="81">
        <f t="shared" si="3"/>
        <v>-2.8466244944519326E-2</v>
      </c>
    </row>
    <row r="90" spans="2:7" x14ac:dyDescent="0.25">
      <c r="B90" s="297">
        <v>44531</v>
      </c>
      <c r="C90" s="294">
        <v>58253.82</v>
      </c>
      <c r="D90" s="81">
        <f t="shared" si="2"/>
        <v>2.0835060169242414E-2</v>
      </c>
      <c r="F90" s="294">
        <v>1006.2</v>
      </c>
      <c r="G90" s="81">
        <f t="shared" si="3"/>
        <v>7.4024657095586255E-2</v>
      </c>
    </row>
    <row r="91" spans="2:7" x14ac:dyDescent="0.25">
      <c r="B91" s="297">
        <v>44562</v>
      </c>
      <c r="C91" s="294">
        <v>58014.17</v>
      </c>
      <c r="D91" s="81">
        <f t="shared" si="2"/>
        <v>-4.113893303477778E-3</v>
      </c>
      <c r="F91" s="294">
        <v>987.45</v>
      </c>
      <c r="G91" s="81">
        <f t="shared" si="3"/>
        <v>-1.8634466308884878E-2</v>
      </c>
    </row>
    <row r="92" spans="2:7" x14ac:dyDescent="0.25">
      <c r="B92" s="297">
        <v>44593</v>
      </c>
      <c r="C92" s="294">
        <v>56247.28</v>
      </c>
      <c r="D92" s="81">
        <f t="shared" si="2"/>
        <v>-3.0456179929834404E-2</v>
      </c>
      <c r="F92" s="294">
        <v>926.35</v>
      </c>
      <c r="G92" s="81">
        <f t="shared" si="3"/>
        <v>-6.1876550711428502E-2</v>
      </c>
    </row>
    <row r="93" spans="2:7" x14ac:dyDescent="0.25">
      <c r="B93" s="297">
        <v>44621</v>
      </c>
      <c r="C93" s="294">
        <v>58568.51</v>
      </c>
      <c r="D93" s="81">
        <f t="shared" si="2"/>
        <v>4.1268306663006626E-2</v>
      </c>
      <c r="F93" s="294">
        <v>956.25</v>
      </c>
      <c r="G93" s="81">
        <f t="shared" si="3"/>
        <v>3.2277217034598182E-2</v>
      </c>
    </row>
    <row r="94" spans="2:7" x14ac:dyDescent="0.25">
      <c r="B94" s="297">
        <v>44652</v>
      </c>
      <c r="C94" s="294">
        <v>57060.87</v>
      </c>
      <c r="D94" s="81">
        <f t="shared" si="2"/>
        <v>-2.5741477800954815E-2</v>
      </c>
      <c r="F94" s="294">
        <v>888.8</v>
      </c>
      <c r="G94" s="81">
        <f t="shared" si="3"/>
        <v>-7.0535947712418334E-2</v>
      </c>
    </row>
    <row r="95" spans="2:7" x14ac:dyDescent="0.25">
      <c r="B95" s="297">
        <v>44682</v>
      </c>
      <c r="C95" s="294">
        <v>55566.41</v>
      </c>
      <c r="D95" s="81">
        <f t="shared" si="2"/>
        <v>-2.6190627657797672E-2</v>
      </c>
      <c r="F95" s="294">
        <v>761.95</v>
      </c>
      <c r="G95" s="81">
        <f t="shared" si="3"/>
        <v>-0.14272052205220509</v>
      </c>
    </row>
    <row r="96" spans="2:7" x14ac:dyDescent="0.25">
      <c r="B96" s="297">
        <v>44713</v>
      </c>
      <c r="C96" s="294">
        <v>53018.94</v>
      </c>
      <c r="D96" s="81">
        <f t="shared" si="2"/>
        <v>-4.5845502705681329E-2</v>
      </c>
      <c r="F96" s="294">
        <v>698.65</v>
      </c>
      <c r="G96" s="81">
        <f t="shared" si="3"/>
        <v>-8.3076317343657835E-2</v>
      </c>
    </row>
    <row r="97" spans="2:7" x14ac:dyDescent="0.25">
      <c r="B97" s="297">
        <v>44743</v>
      </c>
      <c r="C97" s="294">
        <v>57570.25</v>
      </c>
      <c r="D97" s="81">
        <f t="shared" si="2"/>
        <v>8.5843096825398479E-2</v>
      </c>
      <c r="F97" s="294">
        <v>779.85</v>
      </c>
      <c r="G97" s="81">
        <f t="shared" si="3"/>
        <v>0.11622414656838198</v>
      </c>
    </row>
    <row r="98" spans="2:7" x14ac:dyDescent="0.25">
      <c r="B98" s="297">
        <v>44774</v>
      </c>
      <c r="C98" s="294">
        <v>59537.07</v>
      </c>
      <c r="D98" s="81">
        <f t="shared" si="2"/>
        <v>3.4163825934401926E-2</v>
      </c>
      <c r="F98" s="294">
        <v>830.55</v>
      </c>
      <c r="G98" s="81">
        <f t="shared" si="3"/>
        <v>6.5012502404308448E-2</v>
      </c>
    </row>
    <row r="99" spans="2:7" x14ac:dyDescent="0.25">
      <c r="B99" s="297">
        <v>44805</v>
      </c>
      <c r="C99" s="294">
        <v>57426.92</v>
      </c>
      <c r="D99" s="81">
        <f t="shared" si="2"/>
        <v>-3.5442624233943731E-2</v>
      </c>
      <c r="F99" s="294">
        <v>744.55</v>
      </c>
      <c r="G99" s="81">
        <f t="shared" si="3"/>
        <v>-0.10354584311600745</v>
      </c>
    </row>
    <row r="100" spans="2:7" x14ac:dyDescent="0.25">
      <c r="B100" s="297">
        <v>44835</v>
      </c>
      <c r="C100" s="294">
        <v>60746.59</v>
      </c>
      <c r="D100" s="81">
        <f t="shared" si="2"/>
        <v>5.7806861311733293E-2</v>
      </c>
      <c r="F100" s="294">
        <v>698.75</v>
      </c>
      <c r="G100" s="81">
        <f t="shared" si="3"/>
        <v>-6.151366597273511E-2</v>
      </c>
    </row>
    <row r="101" spans="2:7" x14ac:dyDescent="0.25">
      <c r="B101" s="297">
        <v>44866</v>
      </c>
      <c r="C101" s="294">
        <v>63099.65</v>
      </c>
      <c r="D101" s="81">
        <f t="shared" si="2"/>
        <v>3.8735672241026364E-2</v>
      </c>
      <c r="F101" s="294">
        <v>674.3</v>
      </c>
      <c r="G101" s="81">
        <f t="shared" si="3"/>
        <v>-3.499105545617176E-2</v>
      </c>
    </row>
    <row r="102" spans="2:7" x14ac:dyDescent="0.25">
      <c r="B102" s="297">
        <v>44896</v>
      </c>
      <c r="C102" s="294">
        <v>60840.74</v>
      </c>
      <c r="D102" s="81">
        <f t="shared" si="2"/>
        <v>-3.5799089218403024E-2</v>
      </c>
      <c r="F102" s="294">
        <v>610.75</v>
      </c>
      <c r="G102" s="81">
        <f t="shared" si="3"/>
        <v>-9.4245884621088516E-2</v>
      </c>
    </row>
    <row r="103" spans="2:7" x14ac:dyDescent="0.25">
      <c r="B103" s="297">
        <v>44927</v>
      </c>
      <c r="C103" s="294">
        <v>59549.9</v>
      </c>
      <c r="D103" s="81">
        <f t="shared" si="2"/>
        <v>-2.1216704464804281E-2</v>
      </c>
      <c r="F103" s="294">
        <v>539.04999999999995</v>
      </c>
      <c r="G103" s="81">
        <f t="shared" si="3"/>
        <v>-0.11739664347114209</v>
      </c>
    </row>
    <row r="104" spans="2:7" x14ac:dyDescent="0.25">
      <c r="B104" s="297">
        <v>44958</v>
      </c>
      <c r="C104" s="294">
        <v>58962.12</v>
      </c>
      <c r="D104" s="81">
        <f t="shared" si="2"/>
        <v>-9.8703776160833367E-3</v>
      </c>
      <c r="F104" s="294">
        <v>529.1</v>
      </c>
      <c r="G104" s="81">
        <f t="shared" si="3"/>
        <v>-1.8458399035339856E-2</v>
      </c>
    </row>
    <row r="105" spans="2:7" x14ac:dyDescent="0.25">
      <c r="B105" s="297">
        <v>44986</v>
      </c>
      <c r="C105" s="294">
        <v>58991.519999999997</v>
      </c>
      <c r="D105" s="81">
        <f t="shared" si="2"/>
        <v>4.9862521903887291E-4</v>
      </c>
      <c r="F105" s="294">
        <v>518.20000000000005</v>
      </c>
      <c r="G105" s="81">
        <f t="shared" si="3"/>
        <v>-2.0601020601020537E-2</v>
      </c>
    </row>
    <row r="106" spans="2:7" x14ac:dyDescent="0.25">
      <c r="B106" s="297">
        <v>45017</v>
      </c>
      <c r="C106" s="294">
        <v>61112.44</v>
      </c>
      <c r="D106" s="81">
        <f t="shared" si="2"/>
        <v>3.5952964087041739E-2</v>
      </c>
      <c r="F106" s="294">
        <v>561.6</v>
      </c>
      <c r="G106" s="81">
        <f t="shared" si="3"/>
        <v>8.375144731763795E-2</v>
      </c>
    </row>
    <row r="107" spans="2:7" x14ac:dyDescent="0.25">
      <c r="B107" s="297">
        <v>45047</v>
      </c>
      <c r="C107" s="294">
        <v>62622.239999999998</v>
      </c>
      <c r="D107" s="81">
        <f t="shared" si="2"/>
        <v>2.4705280954254061E-2</v>
      </c>
      <c r="F107" s="294">
        <v>512.54999999999995</v>
      </c>
      <c r="G107" s="81">
        <f t="shared" si="3"/>
        <v>-8.7339743589743724E-2</v>
      </c>
    </row>
    <row r="108" spans="2:7" x14ac:dyDescent="0.25">
      <c r="B108" s="297">
        <v>45078</v>
      </c>
      <c r="C108" s="294">
        <v>64718.559999999998</v>
      </c>
      <c r="D108" s="81">
        <f t="shared" si="2"/>
        <v>3.3475646990589913E-2</v>
      </c>
      <c r="F108" s="294">
        <v>503.4</v>
      </c>
      <c r="G108" s="81">
        <f t="shared" si="3"/>
        <v>-1.7851916886157393E-2</v>
      </c>
    </row>
    <row r="109" spans="2:7" x14ac:dyDescent="0.25">
      <c r="B109" s="297">
        <v>45108</v>
      </c>
      <c r="C109" s="294">
        <v>66527.67</v>
      </c>
      <c r="D109" s="81">
        <f t="shared" si="2"/>
        <v>2.7953495875062684E-2</v>
      </c>
      <c r="F109" s="294">
        <v>467.45</v>
      </c>
      <c r="G109" s="81">
        <f t="shared" si="3"/>
        <v>-7.1414382201032911E-2</v>
      </c>
    </row>
    <row r="110" spans="2:7" x14ac:dyDescent="0.25">
      <c r="B110" s="297">
        <v>45139</v>
      </c>
      <c r="C110" s="294">
        <v>64831.41</v>
      </c>
      <c r="D110" s="81">
        <f t="shared" si="2"/>
        <v>-2.5497060095445945E-2</v>
      </c>
      <c r="F110" s="294">
        <v>491.9</v>
      </c>
      <c r="G110" s="81">
        <f t="shared" si="3"/>
        <v>5.2305059364637918E-2</v>
      </c>
    </row>
    <row r="111" spans="2:7" x14ac:dyDescent="0.25">
      <c r="B111" s="297">
        <v>45170</v>
      </c>
      <c r="C111" s="294">
        <v>65828.41</v>
      </c>
      <c r="D111" s="81">
        <f t="shared" si="2"/>
        <v>1.5378348242001794E-2</v>
      </c>
      <c r="F111" s="294">
        <v>491.45</v>
      </c>
      <c r="G111" s="81">
        <f t="shared" si="3"/>
        <v>-9.1482008538323889E-4</v>
      </c>
    </row>
    <row r="112" spans="2:7" x14ac:dyDescent="0.25">
      <c r="B112" s="297">
        <v>45200</v>
      </c>
      <c r="C112" s="294">
        <v>63874.93</v>
      </c>
      <c r="D112" s="81">
        <f t="shared" si="2"/>
        <v>-2.9675333188208586E-2</v>
      </c>
      <c r="F112" s="294">
        <v>454.15</v>
      </c>
      <c r="G112" s="81">
        <f t="shared" si="3"/>
        <v>-7.5897853291280959E-2</v>
      </c>
    </row>
    <row r="113" spans="2:7" x14ac:dyDescent="0.25">
      <c r="B113" s="297">
        <v>45231</v>
      </c>
      <c r="C113" s="294">
        <v>66988.44</v>
      </c>
      <c r="D113" s="81">
        <f t="shared" si="2"/>
        <v>4.8743849895412916E-2</v>
      </c>
      <c r="F113" s="294">
        <v>554.25</v>
      </c>
      <c r="G113" s="81">
        <f t="shared" si="3"/>
        <v>0.22041175822965986</v>
      </c>
    </row>
    <row r="114" spans="2:7" x14ac:dyDescent="0.25">
      <c r="B114" s="297">
        <v>45261</v>
      </c>
      <c r="C114" s="294">
        <v>72240.259999999995</v>
      </c>
      <c r="D114" s="81">
        <f t="shared" si="2"/>
        <v>7.8398899869887906E-2</v>
      </c>
      <c r="F114" s="294">
        <v>649.75</v>
      </c>
      <c r="G114" s="81">
        <f t="shared" si="3"/>
        <v>0.17230491655390168</v>
      </c>
    </row>
    <row r="115" spans="2:7" x14ac:dyDescent="0.25">
      <c r="B115" s="297">
        <v>45292</v>
      </c>
      <c r="C115" s="294">
        <v>71752.11</v>
      </c>
      <c r="D115" s="81">
        <f t="shared" si="2"/>
        <v>-6.7573123352545617E-3</v>
      </c>
      <c r="F115" s="294">
        <v>658.75</v>
      </c>
      <c r="G115" s="81">
        <f t="shared" si="3"/>
        <v>1.3851481338976512E-2</v>
      </c>
    </row>
    <row r="116" spans="2:7" x14ac:dyDescent="0.25">
      <c r="B116" s="297">
        <v>45323</v>
      </c>
      <c r="C116" s="294">
        <v>72500.3</v>
      </c>
      <c r="D116" s="81">
        <f t="shared" si="2"/>
        <v>1.0427428545306983E-2</v>
      </c>
      <c r="F116" s="294">
        <v>655.9</v>
      </c>
      <c r="G116" s="81">
        <f t="shared" si="3"/>
        <v>-4.3263757115750145E-3</v>
      </c>
    </row>
    <row r="117" spans="2:7" x14ac:dyDescent="0.25">
      <c r="B117" s="297">
        <v>45352</v>
      </c>
      <c r="C117" s="294">
        <v>73651.350000000006</v>
      </c>
      <c r="D117" s="81">
        <f t="shared" si="2"/>
        <v>1.5876486028333803E-2</v>
      </c>
      <c r="F117" s="294">
        <v>666.35</v>
      </c>
      <c r="G117" s="81">
        <f t="shared" si="3"/>
        <v>1.5932306754078418E-2</v>
      </c>
    </row>
    <row r="118" spans="2:7" x14ac:dyDescent="0.25">
      <c r="B118" s="297">
        <v>45383</v>
      </c>
      <c r="C118" s="294">
        <v>74482.78</v>
      </c>
      <c r="D118" s="81">
        <f t="shared" si="2"/>
        <v>1.1288727226316908E-2</v>
      </c>
      <c r="F118" s="294">
        <v>741.75</v>
      </c>
      <c r="G118" s="81">
        <f t="shared" si="3"/>
        <v>0.11315374803031442</v>
      </c>
    </row>
    <row r="119" spans="2:7" x14ac:dyDescent="0.25">
      <c r="B119" s="297">
        <v>45413</v>
      </c>
      <c r="C119" s="294">
        <v>73961.31</v>
      </c>
      <c r="D119" s="81">
        <f t="shared" si="2"/>
        <v>-7.0012155829843881E-3</v>
      </c>
      <c r="F119" s="294">
        <v>610.79999999999995</v>
      </c>
      <c r="G119" s="81">
        <f t="shared" si="3"/>
        <v>-0.17654196157735091</v>
      </c>
    </row>
    <row r="120" spans="2:7" x14ac:dyDescent="0.25">
      <c r="B120" s="297">
        <v>45444</v>
      </c>
      <c r="C120" s="294">
        <v>79032.73</v>
      </c>
      <c r="D120" s="81">
        <f t="shared" si="2"/>
        <v>6.8568552936663751E-2</v>
      </c>
      <c r="F120" s="294">
        <v>686.05</v>
      </c>
      <c r="G120" s="81">
        <f t="shared" si="3"/>
        <v>0.1231990831696137</v>
      </c>
    </row>
    <row r="121" spans="2:7" x14ac:dyDescent="0.25">
      <c r="B121" s="297">
        <v>45474</v>
      </c>
      <c r="C121" s="294">
        <v>81741.34</v>
      </c>
      <c r="D121" s="81">
        <f t="shared" si="2"/>
        <v>3.427200351044446E-2</v>
      </c>
      <c r="F121" s="294">
        <v>749.75</v>
      </c>
      <c r="G121" s="81">
        <f t="shared" si="3"/>
        <v>9.2850375337074631E-2</v>
      </c>
    </row>
    <row r="122" spans="2:7" x14ac:dyDescent="0.25">
      <c r="B122" s="297">
        <v>45505</v>
      </c>
      <c r="C122" s="294">
        <v>82365.77</v>
      </c>
      <c r="D122" s="81">
        <f t="shared" si="2"/>
        <v>7.6390966920778514E-3</v>
      </c>
      <c r="F122" s="294">
        <v>627.04999999999995</v>
      </c>
      <c r="G122" s="81">
        <f t="shared" si="3"/>
        <v>-0.16365455151717245</v>
      </c>
    </row>
    <row r="123" spans="2:7" x14ac:dyDescent="0.25">
      <c r="B123" s="297">
        <v>45536</v>
      </c>
      <c r="C123" s="294">
        <v>84299.78</v>
      </c>
      <c r="D123" s="81">
        <f t="shared" si="2"/>
        <v>2.3480749345268004E-2</v>
      </c>
      <c r="F123" s="294">
        <v>583</v>
      </c>
      <c r="G123" s="81">
        <f t="shared" si="3"/>
        <v>-7.0249581373096226E-2</v>
      </c>
    </row>
    <row r="124" spans="2:7" x14ac:dyDescent="0.25">
      <c r="B124" s="297">
        <v>45566</v>
      </c>
      <c r="C124" s="294">
        <v>79389.06</v>
      </c>
      <c r="D124" s="81">
        <f t="shared" si="2"/>
        <v>-5.8253058311658723E-2</v>
      </c>
      <c r="F124" s="294">
        <v>511.35</v>
      </c>
      <c r="G124" s="81">
        <f t="shared" si="3"/>
        <v>-0.12289879931389358</v>
      </c>
    </row>
    <row r="125" spans="2:7" x14ac:dyDescent="0.25">
      <c r="B125" s="297">
        <v>45597</v>
      </c>
      <c r="C125" s="294">
        <v>79802.789999999994</v>
      </c>
      <c r="D125" s="81">
        <f t="shared" si="2"/>
        <v>5.2114233371700625E-3</v>
      </c>
      <c r="F125" s="294">
        <v>448.2</v>
      </c>
      <c r="G125" s="81">
        <f t="shared" si="3"/>
        <v>-0.12349662657670879</v>
      </c>
    </row>
    <row r="126" spans="2:7" x14ac:dyDescent="0.25">
      <c r="B126" s="297">
        <v>45627</v>
      </c>
      <c r="C126" s="294">
        <v>78139.009999999995</v>
      </c>
      <c r="D126" s="81">
        <f t="shared" si="2"/>
        <v>-2.0848644514809611E-2</v>
      </c>
      <c r="F126" s="294">
        <v>410</v>
      </c>
      <c r="G126" s="81">
        <f t="shared" si="3"/>
        <v>-8.5229808121374373E-2</v>
      </c>
    </row>
    <row r="127" spans="2:7" x14ac:dyDescent="0.25">
      <c r="B127" s="297">
        <v>45658</v>
      </c>
      <c r="C127" s="294">
        <v>77500.570000000007</v>
      </c>
      <c r="D127" s="81">
        <f t="shared" si="2"/>
        <v>-8.1705667885987321E-3</v>
      </c>
      <c r="F127" s="294">
        <v>444.15</v>
      </c>
      <c r="G127" s="81">
        <f t="shared" si="3"/>
        <v>8.3292682926829231E-2</v>
      </c>
    </row>
    <row r="128" spans="2:7" x14ac:dyDescent="0.25">
      <c r="B128" s="297">
        <v>45689</v>
      </c>
      <c r="C128" s="294">
        <v>73198.100000000006</v>
      </c>
      <c r="D128" s="81">
        <f t="shared" si="2"/>
        <v>-5.5515333629159169E-2</v>
      </c>
      <c r="F128" s="294">
        <v>376.5</v>
      </c>
      <c r="G128" s="81">
        <f t="shared" si="3"/>
        <v>-0.15231340763255652</v>
      </c>
    </row>
    <row r="129" spans="2:7" x14ac:dyDescent="0.25">
      <c r="B129" s="297">
        <v>45717</v>
      </c>
      <c r="C129" s="294">
        <v>77414.92</v>
      </c>
      <c r="D129" s="81">
        <f t="shared" si="2"/>
        <v>5.760832589916931E-2</v>
      </c>
      <c r="F129" s="294">
        <v>390.5</v>
      </c>
      <c r="G129" s="81">
        <f t="shared" si="3"/>
        <v>3.7184594953519223E-2</v>
      </c>
    </row>
    <row r="130" spans="2:7" x14ac:dyDescent="0.25">
      <c r="B130" s="297">
        <v>45748</v>
      </c>
      <c r="C130" s="294">
        <v>80242.240000000005</v>
      </c>
      <c r="D130" s="81">
        <f t="shared" si="2"/>
        <v>3.652164208139741E-2</v>
      </c>
      <c r="F130" s="294">
        <v>420.4</v>
      </c>
      <c r="G130" s="81">
        <f t="shared" si="3"/>
        <v>7.6568501920614596E-2</v>
      </c>
    </row>
    <row r="131" spans="2:7" x14ac:dyDescent="0.25">
      <c r="B131" s="297">
        <v>45778</v>
      </c>
      <c r="C131" s="294">
        <v>81451.009999999995</v>
      </c>
      <c r="D131" s="81">
        <f t="shared" si="2"/>
        <v>1.5064011174164449E-2</v>
      </c>
      <c r="F131" s="294">
        <v>468.85</v>
      </c>
      <c r="G131" s="81">
        <f t="shared" si="3"/>
        <v>0.11524738344433882</v>
      </c>
    </row>
    <row r="132" spans="2:7" x14ac:dyDescent="0.25">
      <c r="B132" s="297">
        <v>45809</v>
      </c>
      <c r="C132" s="294">
        <v>83606.460000000006</v>
      </c>
      <c r="D132" s="81">
        <f t="shared" si="2"/>
        <v>2.6463146374735125E-2</v>
      </c>
      <c r="F132" s="294">
        <v>479.5</v>
      </c>
      <c r="G132" s="81">
        <f t="shared" si="3"/>
        <v>2.2715154100458435E-2</v>
      </c>
    </row>
    <row r="133" spans="2:7" x14ac:dyDescent="0.25">
      <c r="B133" s="297">
        <v>45839</v>
      </c>
      <c r="C133" s="294">
        <v>81185.58</v>
      </c>
      <c r="D133" s="81">
        <f t="shared" si="2"/>
        <v>-2.89556572542361E-2</v>
      </c>
      <c r="F133" s="294">
        <v>420.1</v>
      </c>
      <c r="G133" s="81">
        <f t="shared" si="3"/>
        <v>-0.12387904066736177</v>
      </c>
    </row>
    <row r="134" spans="2:7" x14ac:dyDescent="0.25">
      <c r="B134" s="297">
        <v>45870</v>
      </c>
      <c r="C134" s="294">
        <v>81644.39</v>
      </c>
      <c r="D134" s="81">
        <f t="shared" si="2"/>
        <v>5.6513730640341819E-3</v>
      </c>
      <c r="F134" s="294">
        <v>389.35</v>
      </c>
      <c r="G134" s="81">
        <f t="shared" si="3"/>
        <v>-7.3196857890978295E-2</v>
      </c>
    </row>
  </sheetData>
  <mergeCells count="2">
    <mergeCell ref="B10:R10"/>
    <mergeCell ref="B12:B13"/>
  </mergeCells>
  <conditionalFormatting sqref="D16:D134">
    <cfRule type="dataBar" priority="4">
      <dataBar>
        <cfvo type="min"/>
        <cfvo type="max"/>
        <color rgb="FF63C384"/>
      </dataBar>
      <extLst>
        <ext xmlns:x14="http://schemas.microsoft.com/office/spreadsheetml/2009/9/main" uri="{B025F937-C7B1-47D3-B67F-A62EFF666E3E}">
          <x14:id>{0E178A51-3984-4DD5-B3E1-D3D50EDBCC15}</x14:id>
        </ext>
      </extLst>
    </cfRule>
  </conditionalFormatting>
  <conditionalFormatting sqref="G15:G134">
    <cfRule type="dataBar" priority="3">
      <dataBar>
        <cfvo type="min"/>
        <cfvo type="max"/>
        <color rgb="FF63C384"/>
      </dataBar>
      <extLst>
        <ext xmlns:x14="http://schemas.microsoft.com/office/spreadsheetml/2009/9/main" uri="{B025F937-C7B1-47D3-B67F-A62EFF666E3E}">
          <x14:id>{52E3B005-63FA-4C7F-BD53-E44597C074E5}</x14:id>
        </ext>
      </extLst>
    </cfRule>
  </conditionalFormatting>
  <conditionalFormatting sqref="D15">
    <cfRule type="dataBar" priority="2">
      <dataBar>
        <cfvo type="min"/>
        <cfvo type="max"/>
        <color rgb="FF63C384"/>
      </dataBar>
      <extLst>
        <ext xmlns:x14="http://schemas.microsoft.com/office/spreadsheetml/2009/9/main" uri="{B025F937-C7B1-47D3-B67F-A62EFF666E3E}">
          <x14:id>{71871DE8-A591-451E-9CAC-9E8C7F42A28A}</x14:id>
        </ext>
      </extLst>
    </cfRule>
  </conditionalFormatting>
  <conditionalFormatting sqref="D15:D134">
    <cfRule type="dataBar" priority="1">
      <dataBar>
        <cfvo type="min"/>
        <cfvo type="max"/>
        <color rgb="FF63C384"/>
      </dataBar>
      <extLst>
        <ext xmlns:x14="http://schemas.microsoft.com/office/spreadsheetml/2009/9/main" uri="{B025F937-C7B1-47D3-B67F-A62EFF666E3E}">
          <x14:id>{004E553D-B609-442E-9507-42196870179B}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E178A51-3984-4DD5-B3E1-D3D50EDBCC15}">
            <x14:dataBar minLength="0" maxLength="100" border="1" negativeBarBorderColorSameAsPositive="0">
              <x14:cfvo type="autoMin"/>
              <x14:cfvo type="autoMax"/>
              <x14:borderColor rgb="FF63C384"/>
              <x14:negativeFillColor rgb="FFFF0000"/>
              <x14:negativeBorderColor rgb="FFFF0000"/>
              <x14:axisColor rgb="FF000000"/>
            </x14:dataBar>
          </x14:cfRule>
          <xm:sqref>D16:D134</xm:sqref>
        </x14:conditionalFormatting>
        <x14:conditionalFormatting xmlns:xm="http://schemas.microsoft.com/office/excel/2006/main">
          <x14:cfRule type="dataBar" id="{52E3B005-63FA-4C7F-BD53-E44597C074E5}">
            <x14:dataBar minLength="0" maxLength="100" border="1" negativeBarBorderColorSameAsPositive="0">
              <x14:cfvo type="autoMin"/>
              <x14:cfvo type="autoMax"/>
              <x14:borderColor rgb="FF63C384"/>
              <x14:negativeFillColor rgb="FFFF0000"/>
              <x14:negativeBorderColor rgb="FFFF0000"/>
              <x14:axisColor rgb="FF000000"/>
            </x14:dataBar>
          </x14:cfRule>
          <xm:sqref>G15:G134</xm:sqref>
        </x14:conditionalFormatting>
        <x14:conditionalFormatting xmlns:xm="http://schemas.microsoft.com/office/excel/2006/main">
          <x14:cfRule type="dataBar" id="{71871DE8-A591-451E-9CAC-9E8C7F42A28A}">
            <x14:dataBar minLength="0" maxLength="100" border="1" negativeBarBorderColorSameAsPositive="0">
              <x14:cfvo type="autoMin"/>
              <x14:cfvo type="autoMax"/>
              <x14:borderColor rgb="FF63C384"/>
              <x14:negativeFillColor rgb="FFFF0000"/>
              <x14:negativeBorderColor rgb="FFFF0000"/>
              <x14:axisColor rgb="FF000000"/>
            </x14:dataBar>
          </x14:cfRule>
          <xm:sqref>D15</xm:sqref>
        </x14:conditionalFormatting>
        <x14:conditionalFormatting xmlns:xm="http://schemas.microsoft.com/office/excel/2006/main">
          <x14:cfRule type="dataBar" id="{004E553D-B609-442E-9507-42196870179B}">
            <x14:dataBar minLength="0" maxLength="100" border="1" negativeBarBorderColorSameAsPositive="0">
              <x14:cfvo type="autoMin"/>
              <x14:cfvo type="autoMax"/>
              <x14:borderColor rgb="FF63C384"/>
              <x14:negativeFillColor rgb="FFFF0000"/>
              <x14:negativeBorderColor rgb="FFFF0000"/>
              <x14:axisColor rgb="FF000000"/>
            </x14:dataBar>
          </x14:cfRule>
          <xm:sqref>D15:D134</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
  <sheetViews>
    <sheetView showGridLines="0" topLeftCell="A5" workbookViewId="0">
      <selection activeCell="D22" sqref="D22"/>
    </sheetView>
  </sheetViews>
  <sheetFormatPr defaultRowHeight="15" x14ac:dyDescent="0.25"/>
  <cols>
    <col min="1" max="1" width="1.85546875" customWidth="1"/>
    <col min="2" max="2" width="5.7109375" customWidth="1"/>
    <col min="3" max="3" width="16.140625" bestFit="1" customWidth="1"/>
    <col min="4" max="4" width="8" customWidth="1"/>
    <col min="5" max="5" width="16.5703125" bestFit="1" customWidth="1"/>
    <col min="6" max="6" width="10.7109375" bestFit="1" customWidth="1"/>
    <col min="7" max="7" width="10.5703125" bestFit="1" customWidth="1"/>
    <col min="8" max="8" width="13.140625" bestFit="1" customWidth="1"/>
    <col min="9" max="9" width="15.140625" bestFit="1" customWidth="1"/>
    <col min="10" max="10" width="14.140625" bestFit="1" customWidth="1"/>
    <col min="11" max="11" width="14.28515625" bestFit="1" customWidth="1"/>
    <col min="12" max="12" width="11.28515625" bestFit="1" customWidth="1"/>
    <col min="13" max="13" width="8.7109375" customWidth="1"/>
    <col min="14" max="15" width="13.7109375" bestFit="1" customWidth="1"/>
  </cols>
  <sheetData>
    <row r="1" spans="2:15" x14ac:dyDescent="0.25">
      <c r="B1" s="67"/>
      <c r="C1" s="67"/>
      <c r="D1" s="67"/>
      <c r="E1" s="67"/>
      <c r="F1" s="67"/>
      <c r="G1" s="67"/>
      <c r="H1" s="67"/>
      <c r="I1" s="67"/>
      <c r="J1" s="67"/>
      <c r="K1" s="67"/>
      <c r="L1" s="67"/>
      <c r="M1" s="67"/>
      <c r="N1" s="67"/>
      <c r="O1" s="67"/>
    </row>
    <row r="7" spans="2:15" x14ac:dyDescent="0.25">
      <c r="B7" s="405" t="s">
        <v>305</v>
      </c>
      <c r="C7" s="405"/>
      <c r="D7" s="405"/>
      <c r="E7" s="405"/>
      <c r="F7" s="405"/>
      <c r="G7" s="405"/>
      <c r="H7" s="405"/>
      <c r="I7" s="405"/>
      <c r="J7" s="405"/>
      <c r="K7" s="405"/>
      <c r="L7" s="405"/>
      <c r="M7" s="405"/>
      <c r="N7" s="405"/>
      <c r="O7" s="405"/>
    </row>
    <row r="8" spans="2:15" x14ac:dyDescent="0.25">
      <c r="B8" s="104" t="s">
        <v>206</v>
      </c>
    </row>
    <row r="9" spans="2:15" x14ac:dyDescent="0.25">
      <c r="B9" s="166" t="s">
        <v>190</v>
      </c>
      <c r="C9" s="166" t="s">
        <v>191</v>
      </c>
      <c r="D9" s="166" t="s">
        <v>192</v>
      </c>
      <c r="E9" s="166" t="s">
        <v>193</v>
      </c>
      <c r="F9" s="166" t="s">
        <v>194</v>
      </c>
      <c r="G9" s="166" t="s">
        <v>195</v>
      </c>
      <c r="H9" s="166" t="s">
        <v>196</v>
      </c>
      <c r="I9" s="166" t="s">
        <v>197</v>
      </c>
      <c r="J9" s="166" t="s">
        <v>198</v>
      </c>
      <c r="K9" s="166" t="s">
        <v>199</v>
      </c>
      <c r="L9" s="166" t="s">
        <v>200</v>
      </c>
      <c r="M9" s="166" t="s">
        <v>201</v>
      </c>
      <c r="N9" s="166" t="s">
        <v>202</v>
      </c>
      <c r="O9" s="166" t="s">
        <v>203</v>
      </c>
    </row>
    <row r="10" spans="2:15" x14ac:dyDescent="0.25">
      <c r="B10" s="298">
        <v>1</v>
      </c>
      <c r="C10" s="298" t="s">
        <v>204</v>
      </c>
      <c r="D10" s="299">
        <v>4526.3999999999996</v>
      </c>
      <c r="E10" s="300">
        <v>4.33</v>
      </c>
      <c r="F10" s="299">
        <v>156.76</v>
      </c>
      <c r="G10" s="299">
        <v>807.1</v>
      </c>
      <c r="H10" s="299">
        <v>499.2</v>
      </c>
      <c r="I10" s="299">
        <v>15162.35</v>
      </c>
      <c r="J10" s="299">
        <v>177.79</v>
      </c>
      <c r="K10" s="299">
        <v>648.26</v>
      </c>
      <c r="L10" s="299">
        <v>27.53</v>
      </c>
      <c r="M10" s="299">
        <v>20238.439999999999</v>
      </c>
      <c r="N10" s="299">
        <v>20888.78</v>
      </c>
      <c r="O10" s="299">
        <v>148.05000000000001</v>
      </c>
    </row>
    <row r="11" spans="2:15" x14ac:dyDescent="0.25">
      <c r="B11" s="17">
        <f>B10+1</f>
        <v>2</v>
      </c>
      <c r="C11" s="17" t="s">
        <v>180</v>
      </c>
      <c r="D11" s="301">
        <v>6420</v>
      </c>
      <c r="E11" s="302">
        <v>2.94</v>
      </c>
      <c r="F11" s="301">
        <v>201.73</v>
      </c>
      <c r="G11" s="301">
        <v>64.66</v>
      </c>
      <c r="H11" s="301">
        <v>498.83</v>
      </c>
      <c r="I11" s="301">
        <v>5583.35</v>
      </c>
      <c r="J11" s="301">
        <v>316.82</v>
      </c>
      <c r="K11" s="301">
        <v>721.32</v>
      </c>
      <c r="L11" s="301">
        <v>18.21</v>
      </c>
      <c r="M11" s="301">
        <v>19249.189999999999</v>
      </c>
      <c r="N11" s="301">
        <v>19112.12</v>
      </c>
      <c r="O11" s="301">
        <v>192.81</v>
      </c>
    </row>
    <row r="12" spans="2:15" x14ac:dyDescent="0.25">
      <c r="B12" s="17">
        <f>B11+1</f>
        <v>3</v>
      </c>
      <c r="C12" s="17" t="s">
        <v>181</v>
      </c>
      <c r="D12" s="301">
        <v>1743.65</v>
      </c>
      <c r="E12" s="302">
        <v>10.37</v>
      </c>
      <c r="F12" s="301">
        <v>62.62</v>
      </c>
      <c r="G12" s="301">
        <v>3.51</v>
      </c>
      <c r="H12" s="301">
        <v>415.23</v>
      </c>
      <c r="I12" s="301">
        <v>2248.1</v>
      </c>
      <c r="J12" s="301">
        <v>80.75</v>
      </c>
      <c r="K12" s="301">
        <v>548.75</v>
      </c>
      <c r="L12" s="301">
        <v>29.66</v>
      </c>
      <c r="M12" s="301">
        <v>18669.16</v>
      </c>
      <c r="N12" s="301">
        <v>18610.05</v>
      </c>
      <c r="O12" s="301">
        <v>133</v>
      </c>
    </row>
    <row r="13" spans="2:15" x14ac:dyDescent="0.25">
      <c r="B13" s="17">
        <f t="shared" ref="B13:B19" si="0">B12+1</f>
        <v>4</v>
      </c>
      <c r="C13" s="17" t="s">
        <v>182</v>
      </c>
      <c r="D13" s="301">
        <v>4865</v>
      </c>
      <c r="E13" s="302">
        <v>3.07</v>
      </c>
      <c r="F13" s="301">
        <v>2.65</v>
      </c>
      <c r="G13" s="301">
        <v>891.01</v>
      </c>
      <c r="H13" s="301">
        <v>389.66</v>
      </c>
      <c r="I13" s="301">
        <v>2205.1999999999998</v>
      </c>
      <c r="J13" s="301">
        <v>51.38</v>
      </c>
      <c r="K13" s="301">
        <v>526.33000000000004</v>
      </c>
      <c r="L13" s="301">
        <v>26.29</v>
      </c>
      <c r="M13" s="301">
        <v>15186.67</v>
      </c>
      <c r="N13" s="301">
        <v>16075.03</v>
      </c>
      <c r="O13" s="301">
        <v>134.99</v>
      </c>
    </row>
    <row r="14" spans="2:15" x14ac:dyDescent="0.25">
      <c r="B14" s="17">
        <f t="shared" si="0"/>
        <v>5</v>
      </c>
      <c r="C14" s="17" t="s">
        <v>184</v>
      </c>
      <c r="D14" s="301">
        <v>1190.6500000000001</v>
      </c>
      <c r="E14" s="302">
        <v>10.63</v>
      </c>
      <c r="F14" s="301">
        <v>1.06</v>
      </c>
      <c r="G14" s="301">
        <v>14.86</v>
      </c>
      <c r="H14" s="301">
        <v>292.3</v>
      </c>
      <c r="I14" s="301">
        <v>922.32</v>
      </c>
      <c r="J14" s="301">
        <v>44.44</v>
      </c>
      <c r="K14" s="301">
        <v>390.83</v>
      </c>
      <c r="L14" s="301">
        <v>29.03</v>
      </c>
      <c r="M14" s="301">
        <v>12814.78</v>
      </c>
      <c r="N14" s="301">
        <v>12828.58</v>
      </c>
      <c r="O14" s="301">
        <v>100.01</v>
      </c>
    </row>
    <row r="15" spans="2:15" x14ac:dyDescent="0.25">
      <c r="B15" s="17">
        <f t="shared" si="0"/>
        <v>6</v>
      </c>
      <c r="C15" s="17" t="s">
        <v>185</v>
      </c>
      <c r="D15" s="301">
        <v>1140.9000000000001</v>
      </c>
      <c r="E15" s="302">
        <v>10.99</v>
      </c>
      <c r="F15" s="301">
        <v>1373.39</v>
      </c>
      <c r="G15" s="301">
        <v>127.72</v>
      </c>
      <c r="H15" s="301">
        <v>159.97</v>
      </c>
      <c r="I15" s="301">
        <v>1436.97</v>
      </c>
      <c r="J15" s="301">
        <v>102.28</v>
      </c>
      <c r="K15" s="301">
        <v>310.07</v>
      </c>
      <c r="L15" s="301">
        <v>33.32</v>
      </c>
      <c r="M15" s="301">
        <v>13740.47</v>
      </c>
      <c r="N15" s="301">
        <v>12494.8</v>
      </c>
      <c r="O15" s="301">
        <v>37.880000000000003</v>
      </c>
    </row>
    <row r="16" spans="2:15" x14ac:dyDescent="0.25">
      <c r="B16" s="17">
        <f t="shared" si="0"/>
        <v>7</v>
      </c>
      <c r="C16" s="17" t="s">
        <v>186</v>
      </c>
      <c r="D16" s="301">
        <v>701.4</v>
      </c>
      <c r="E16" s="302">
        <v>15.93</v>
      </c>
      <c r="F16" s="301">
        <v>763.78</v>
      </c>
      <c r="G16" s="301">
        <v>98.73</v>
      </c>
      <c r="H16" s="301">
        <v>251.17</v>
      </c>
      <c r="I16" s="301">
        <v>4177.6099999999997</v>
      </c>
      <c r="J16" s="301">
        <v>157.63</v>
      </c>
      <c r="K16" s="301">
        <v>399.25</v>
      </c>
      <c r="L16" s="301">
        <v>21.46</v>
      </c>
      <c r="M16" s="301">
        <v>12681.22</v>
      </c>
      <c r="N16" s="301">
        <v>12016.17</v>
      </c>
      <c r="O16" s="301">
        <v>99.82</v>
      </c>
    </row>
    <row r="17" spans="2:15" x14ac:dyDescent="0.25">
      <c r="B17" s="17">
        <f t="shared" si="0"/>
        <v>8</v>
      </c>
      <c r="C17" s="17" t="s">
        <v>187</v>
      </c>
      <c r="D17" s="301">
        <v>2104.1</v>
      </c>
      <c r="E17" s="302">
        <v>5.1100000000000003</v>
      </c>
      <c r="F17" s="301">
        <v>5.52</v>
      </c>
      <c r="G17" s="301">
        <v>204.06</v>
      </c>
      <c r="H17" s="301">
        <v>186.11</v>
      </c>
      <c r="I17" s="301">
        <v>1571.82</v>
      </c>
      <c r="J17" s="301">
        <v>71.239999999999995</v>
      </c>
      <c r="K17" s="301">
        <v>249.92</v>
      </c>
      <c r="L17" s="301">
        <v>36.64</v>
      </c>
      <c r="M17" s="301">
        <v>11768.83</v>
      </c>
      <c r="N17" s="301">
        <v>11967.37</v>
      </c>
      <c r="O17" s="301">
        <v>62.53</v>
      </c>
    </row>
    <row r="18" spans="2:15" x14ac:dyDescent="0.25">
      <c r="B18" s="17">
        <f t="shared" si="0"/>
        <v>9</v>
      </c>
      <c r="C18" s="17" t="s">
        <v>188</v>
      </c>
      <c r="D18" s="301">
        <v>765.1</v>
      </c>
      <c r="E18" s="302">
        <v>13.26</v>
      </c>
      <c r="F18" s="301">
        <v>137.07</v>
      </c>
      <c r="G18" s="301">
        <v>239.75</v>
      </c>
      <c r="H18" s="301">
        <v>152.09</v>
      </c>
      <c r="I18" s="301">
        <v>788.52</v>
      </c>
      <c r="J18" s="301">
        <v>42.8</v>
      </c>
      <c r="K18" s="301">
        <v>226.99</v>
      </c>
      <c r="L18" s="301">
        <v>34.549999999999997</v>
      </c>
      <c r="M18" s="301">
        <v>9887.99</v>
      </c>
      <c r="N18" s="301">
        <v>9990.67</v>
      </c>
      <c r="O18" s="301">
        <v>56.38</v>
      </c>
    </row>
    <row r="19" spans="2:15" x14ac:dyDescent="0.25">
      <c r="B19" s="303">
        <f t="shared" si="0"/>
        <v>10</v>
      </c>
      <c r="C19" s="303" t="s">
        <v>189</v>
      </c>
      <c r="D19" s="304">
        <v>2419</v>
      </c>
      <c r="E19" s="305">
        <v>3.91</v>
      </c>
      <c r="F19" s="304">
        <v>1142.83</v>
      </c>
      <c r="G19" s="304">
        <v>50.19</v>
      </c>
      <c r="H19" s="304">
        <v>184.75</v>
      </c>
      <c r="I19" s="304">
        <v>2101.19</v>
      </c>
      <c r="J19" s="304">
        <v>131.75</v>
      </c>
      <c r="K19" s="304">
        <v>345.74</v>
      </c>
      <c r="L19" s="304">
        <v>20.6</v>
      </c>
      <c r="M19" s="304">
        <v>10675.11</v>
      </c>
      <c r="N19" s="304">
        <v>9582.4699999999993</v>
      </c>
      <c r="O19" s="304">
        <v>81.93</v>
      </c>
    </row>
    <row r="22" spans="2:15" x14ac:dyDescent="0.25">
      <c r="B22" s="306">
        <f>B13+1</f>
        <v>5</v>
      </c>
      <c r="C22" s="306" t="s">
        <v>183</v>
      </c>
      <c r="D22" s="307">
        <v>389.45</v>
      </c>
      <c r="E22" s="308">
        <v>36.26</v>
      </c>
      <c r="F22" s="307">
        <v>3847</v>
      </c>
      <c r="G22" s="307">
        <v>295</v>
      </c>
      <c r="H22" s="307">
        <v>331</v>
      </c>
      <c r="I22" s="307">
        <v>7271</v>
      </c>
      <c r="J22" s="307">
        <v>434</v>
      </c>
      <c r="K22" s="307">
        <v>580</v>
      </c>
      <c r="L22" s="307">
        <v>19.899999999999999</v>
      </c>
      <c r="M22" s="307">
        <v>18284.349999999999</v>
      </c>
      <c r="N22" s="307">
        <v>14732.35</v>
      </c>
      <c r="O22" s="307">
        <v>-33</v>
      </c>
    </row>
    <row r="24" spans="2:15" x14ac:dyDescent="0.25">
      <c r="B24" s="67"/>
      <c r="C24" s="67"/>
      <c r="D24" s="67"/>
      <c r="E24" s="67"/>
      <c r="F24" s="67"/>
      <c r="G24" s="67"/>
      <c r="H24" s="67"/>
      <c r="I24" s="67"/>
      <c r="J24" s="67"/>
      <c r="K24" s="67"/>
      <c r="L24" s="67"/>
      <c r="M24" s="67"/>
      <c r="N24" s="67"/>
      <c r="O24" s="67"/>
    </row>
  </sheetData>
  <mergeCells count="1">
    <mergeCell ref="B7:O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7"/>
  <sheetViews>
    <sheetView showGridLines="0" tabSelected="1" topLeftCell="B4" zoomScaleNormal="100" workbookViewId="0">
      <pane ySplit="7" topLeftCell="A35" activePane="bottomLeft" state="frozen"/>
      <selection activeCell="A4" sqref="A4"/>
      <selection pane="bottomLeft" activeCell="J36" sqref="J36"/>
    </sheetView>
  </sheetViews>
  <sheetFormatPr defaultRowHeight="15" x14ac:dyDescent="0.25"/>
  <cols>
    <col min="1" max="1" width="1.85546875" customWidth="1"/>
    <col min="2" max="2" width="17.140625" customWidth="1"/>
    <col min="5" max="5" width="8.7109375" bestFit="1" customWidth="1"/>
    <col min="6" max="6" width="8.140625" bestFit="1" customWidth="1"/>
    <col min="7" max="7" width="8.85546875" customWidth="1"/>
    <col min="8" max="8" width="12.140625" bestFit="1" customWidth="1"/>
    <col min="9" max="9" width="12.28515625" bestFit="1" customWidth="1"/>
    <col min="10" max="10" width="11.28515625" bestFit="1" customWidth="1"/>
    <col min="11" max="11" width="3.140625" customWidth="1"/>
    <col min="12" max="12" width="12.42578125" bestFit="1" customWidth="1"/>
    <col min="18" max="18" width="12.5703125" bestFit="1" customWidth="1"/>
  </cols>
  <sheetData>
    <row r="1" spans="2:18" x14ac:dyDescent="0.25">
      <c r="B1" s="67"/>
      <c r="C1" s="67"/>
      <c r="D1" s="67"/>
      <c r="E1" s="67"/>
      <c r="F1" s="67"/>
      <c r="G1" s="67"/>
      <c r="H1" s="67"/>
      <c r="I1" s="67"/>
      <c r="J1" s="67"/>
      <c r="K1" s="67"/>
      <c r="L1" s="67"/>
      <c r="M1" s="67"/>
      <c r="N1" s="67"/>
      <c r="O1" s="67"/>
      <c r="P1" s="67"/>
      <c r="Q1" s="67"/>
      <c r="R1" s="67"/>
    </row>
    <row r="9" spans="2:18" x14ac:dyDescent="0.25">
      <c r="B9" s="27" t="s">
        <v>344</v>
      </c>
    </row>
    <row r="10" spans="2:18" x14ac:dyDescent="0.25">
      <c r="B10" s="463" t="s">
        <v>205</v>
      </c>
      <c r="C10" s="463"/>
      <c r="D10" s="463"/>
      <c r="E10" s="463"/>
      <c r="F10" s="463"/>
      <c r="G10" s="463"/>
      <c r="H10" s="463"/>
      <c r="I10" s="463"/>
      <c r="J10" s="463"/>
      <c r="K10" s="463"/>
      <c r="L10" s="463"/>
      <c r="M10" s="463"/>
      <c r="N10" s="463"/>
      <c r="O10" s="463"/>
      <c r="P10" s="463"/>
      <c r="Q10" s="463"/>
      <c r="R10" s="463"/>
    </row>
    <row r="11" spans="2:18" x14ac:dyDescent="0.25">
      <c r="B11" s="104" t="s">
        <v>206</v>
      </c>
    </row>
    <row r="12" spans="2:18" ht="15.75" thickBot="1" x14ac:dyDescent="0.3">
      <c r="B12" s="467" t="s">
        <v>207</v>
      </c>
      <c r="C12" s="467"/>
      <c r="D12" s="105"/>
      <c r="E12" s="467" t="s">
        <v>208</v>
      </c>
      <c r="F12" s="467"/>
      <c r="G12" s="467"/>
      <c r="H12" s="467"/>
      <c r="I12" s="467"/>
      <c r="J12" s="467"/>
      <c r="K12" s="106"/>
      <c r="L12" s="467" t="s">
        <v>209</v>
      </c>
      <c r="M12" s="467"/>
      <c r="N12" s="467"/>
      <c r="O12" s="107"/>
      <c r="P12" s="467" t="s">
        <v>210</v>
      </c>
      <c r="Q12" s="467"/>
      <c r="R12" s="467"/>
    </row>
    <row r="13" spans="2:18" ht="15.75" thickTop="1" x14ac:dyDescent="0.25">
      <c r="B13" s="119"/>
      <c r="C13" s="120"/>
      <c r="D13" s="108"/>
      <c r="E13" s="123" t="s">
        <v>211</v>
      </c>
      <c r="F13" s="124" t="s">
        <v>212</v>
      </c>
      <c r="G13" s="125" t="s">
        <v>213</v>
      </c>
      <c r="H13" s="125" t="s">
        <v>214</v>
      </c>
      <c r="I13" s="125" t="s">
        <v>215</v>
      </c>
      <c r="J13" s="125" t="s">
        <v>216</v>
      </c>
      <c r="K13" s="109"/>
      <c r="L13" s="126" t="s">
        <v>217</v>
      </c>
      <c r="M13" s="126" t="s">
        <v>126</v>
      </c>
      <c r="N13" s="126" t="s">
        <v>218</v>
      </c>
      <c r="O13" s="109"/>
      <c r="P13" s="126" t="s">
        <v>219</v>
      </c>
      <c r="Q13" s="126" t="s">
        <v>220</v>
      </c>
      <c r="R13" s="126" t="s">
        <v>221</v>
      </c>
    </row>
    <row r="14" spans="2:18" x14ac:dyDescent="0.25">
      <c r="B14" s="121" t="s">
        <v>222</v>
      </c>
      <c r="C14" s="122"/>
      <c r="D14" s="110"/>
      <c r="E14" s="123" t="s">
        <v>223</v>
      </c>
      <c r="F14" s="124" t="s">
        <v>224</v>
      </c>
      <c r="G14" s="125" t="s">
        <v>225</v>
      </c>
      <c r="H14" s="125" t="s">
        <v>225</v>
      </c>
      <c r="I14" s="125" t="s">
        <v>225</v>
      </c>
      <c r="J14" s="125" t="s">
        <v>225</v>
      </c>
      <c r="K14" s="109"/>
      <c r="L14" s="125" t="s">
        <v>225</v>
      </c>
      <c r="M14" s="125" t="s">
        <v>225</v>
      </c>
      <c r="N14" s="125" t="s">
        <v>225</v>
      </c>
      <c r="O14" s="109"/>
      <c r="P14" s="126" t="s">
        <v>226</v>
      </c>
      <c r="Q14" s="126" t="s">
        <v>226</v>
      </c>
      <c r="R14" s="126" t="s">
        <v>226</v>
      </c>
    </row>
    <row r="15" spans="2:18" x14ac:dyDescent="0.25">
      <c r="B15" s="17" t="s">
        <v>204</v>
      </c>
      <c r="C15" s="6"/>
      <c r="E15" s="111">
        <f>'Comps Data'!D10</f>
        <v>4526.3999999999996</v>
      </c>
      <c r="F15" s="117">
        <f>'Comps Data'!E10</f>
        <v>4.33</v>
      </c>
      <c r="G15" s="113">
        <f>F15*E15</f>
        <v>19599.311999999998</v>
      </c>
      <c r="H15" s="114">
        <f>'Comps Data'!F10</f>
        <v>156.76</v>
      </c>
      <c r="I15" s="114">
        <f>'Comps Data'!G10</f>
        <v>807.1</v>
      </c>
      <c r="J15" s="113">
        <f>G15+H15-I15</f>
        <v>18948.971999999998</v>
      </c>
      <c r="L15" s="114">
        <f>'Comps Data'!I10</f>
        <v>15162.35</v>
      </c>
      <c r="M15" s="114">
        <f>'Comps Data'!K10+'Comps Data'!J10</f>
        <v>826.05</v>
      </c>
      <c r="N15" s="114">
        <f>'Comps Data'!H10</f>
        <v>499.2</v>
      </c>
      <c r="P15" s="115">
        <f>J15/L15</f>
        <v>1.2497384640243761</v>
      </c>
      <c r="Q15" s="115">
        <f>J15/M15</f>
        <v>22.939255493008897</v>
      </c>
      <c r="R15" s="115">
        <f>G15/N15</f>
        <v>39.261442307692306</v>
      </c>
    </row>
    <row r="16" spans="2:18" x14ac:dyDescent="0.25">
      <c r="B16" s="17" t="s">
        <v>180</v>
      </c>
      <c r="C16" s="6"/>
      <c r="E16" s="111">
        <f>'Comps Data'!D11</f>
        <v>6420</v>
      </c>
      <c r="F16" s="117">
        <f>'Comps Data'!E11</f>
        <v>2.94</v>
      </c>
      <c r="G16" s="113">
        <f t="shared" ref="G16:G24" si="0">F16*E16</f>
        <v>18874.8</v>
      </c>
      <c r="H16" s="114">
        <f>'Comps Data'!F11</f>
        <v>201.73</v>
      </c>
      <c r="I16" s="114">
        <f>'Comps Data'!G11</f>
        <v>64.66</v>
      </c>
      <c r="J16" s="113">
        <f t="shared" ref="J16:J24" si="1">G16+H16-I16</f>
        <v>19011.87</v>
      </c>
      <c r="L16" s="114">
        <f>'Comps Data'!I11</f>
        <v>5583.35</v>
      </c>
      <c r="M16" s="114">
        <f>'Comps Data'!K11+'Comps Data'!J11</f>
        <v>1038.1400000000001</v>
      </c>
      <c r="N16" s="114">
        <f>'Comps Data'!H11</f>
        <v>498.83</v>
      </c>
      <c r="P16" s="115">
        <f t="shared" ref="P16:P24" si="2">J16/L16</f>
        <v>3.4051008802958793</v>
      </c>
      <c r="Q16" s="115">
        <f t="shared" ref="Q16:Q24" si="3">J16/M16</f>
        <v>18.313397037008492</v>
      </c>
      <c r="R16" s="115">
        <f t="shared" ref="R16:R24" si="4">G16/N16</f>
        <v>37.838141250526235</v>
      </c>
    </row>
    <row r="17" spans="2:18" x14ac:dyDescent="0.25">
      <c r="B17" s="17" t="s">
        <v>181</v>
      </c>
      <c r="C17" s="6"/>
      <c r="E17" s="111">
        <f>'Comps Data'!D12</f>
        <v>1743.65</v>
      </c>
      <c r="F17" s="117">
        <f>'Comps Data'!E12</f>
        <v>10.37</v>
      </c>
      <c r="G17" s="113">
        <f t="shared" si="0"/>
        <v>18081.6505</v>
      </c>
      <c r="H17" s="114">
        <f>'Comps Data'!F12</f>
        <v>62.62</v>
      </c>
      <c r="I17" s="114">
        <f>'Comps Data'!G12</f>
        <v>3.51</v>
      </c>
      <c r="J17" s="113">
        <f t="shared" si="1"/>
        <v>18140.7605</v>
      </c>
      <c r="L17" s="114">
        <f>'Comps Data'!I12</f>
        <v>2248.1</v>
      </c>
      <c r="M17" s="114">
        <f>'Comps Data'!K12+'Comps Data'!J12</f>
        <v>629.5</v>
      </c>
      <c r="N17" s="114">
        <f>'Comps Data'!H12</f>
        <v>415.23</v>
      </c>
      <c r="P17" s="115">
        <f t="shared" si="2"/>
        <v>8.0693743605711497</v>
      </c>
      <c r="Q17" s="115">
        <f t="shared" si="3"/>
        <v>28.817729150119142</v>
      </c>
      <c r="R17" s="115">
        <f t="shared" si="4"/>
        <v>43.546108181008115</v>
      </c>
    </row>
    <row r="18" spans="2:18" x14ac:dyDescent="0.25">
      <c r="B18" s="17" t="s">
        <v>182</v>
      </c>
      <c r="C18" s="6"/>
      <c r="E18" s="111">
        <f>'Comps Data'!D13</f>
        <v>4865</v>
      </c>
      <c r="F18" s="117">
        <f>'Comps Data'!E13</f>
        <v>3.07</v>
      </c>
      <c r="G18" s="113">
        <f t="shared" si="0"/>
        <v>14935.55</v>
      </c>
      <c r="H18" s="114">
        <f>'Comps Data'!F13</f>
        <v>2.65</v>
      </c>
      <c r="I18" s="114">
        <f>'Comps Data'!G13</f>
        <v>891.01</v>
      </c>
      <c r="J18" s="113">
        <f t="shared" si="1"/>
        <v>14047.189999999999</v>
      </c>
      <c r="L18" s="114">
        <f>'Comps Data'!I13</f>
        <v>2205.1999999999998</v>
      </c>
      <c r="M18" s="114">
        <f>'Comps Data'!K13+'Comps Data'!J13</f>
        <v>577.71</v>
      </c>
      <c r="N18" s="114">
        <f>'Comps Data'!H13</f>
        <v>389.66</v>
      </c>
      <c r="P18" s="115">
        <f t="shared" si="2"/>
        <v>6.3700299292581173</v>
      </c>
      <c r="Q18" s="115">
        <f t="shared" si="3"/>
        <v>24.315296602101398</v>
      </c>
      <c r="R18" s="115">
        <f t="shared" si="4"/>
        <v>38.32969768516142</v>
      </c>
    </row>
    <row r="19" spans="2:18" x14ac:dyDescent="0.25">
      <c r="B19" s="17" t="s">
        <v>184</v>
      </c>
      <c r="C19" s="6"/>
      <c r="E19" s="111">
        <f>'Comps Data'!D14</f>
        <v>1190.6500000000001</v>
      </c>
      <c r="F19" s="117">
        <f>'Comps Data'!E14</f>
        <v>10.63</v>
      </c>
      <c r="G19" s="113">
        <f t="shared" si="0"/>
        <v>12656.609500000002</v>
      </c>
      <c r="H19" s="114">
        <f>'Comps Data'!F14</f>
        <v>1.06</v>
      </c>
      <c r="I19" s="114">
        <f>'Comps Data'!G14</f>
        <v>14.86</v>
      </c>
      <c r="J19" s="113">
        <f t="shared" si="1"/>
        <v>12642.809500000001</v>
      </c>
      <c r="L19" s="114">
        <f>'Comps Data'!I14</f>
        <v>922.32</v>
      </c>
      <c r="M19" s="114">
        <f>'Comps Data'!K14+'Comps Data'!J14</f>
        <v>435.27</v>
      </c>
      <c r="N19" s="114">
        <f>'Comps Data'!H14</f>
        <v>292.3</v>
      </c>
      <c r="P19" s="115">
        <f t="shared" si="2"/>
        <v>13.707617204440975</v>
      </c>
      <c r="Q19" s="115">
        <f t="shared" si="3"/>
        <v>29.045901394536727</v>
      </c>
      <c r="R19" s="115">
        <f t="shared" si="4"/>
        <v>43.300066712281911</v>
      </c>
    </row>
    <row r="20" spans="2:18" x14ac:dyDescent="0.25">
      <c r="B20" s="17" t="s">
        <v>185</v>
      </c>
      <c r="C20" s="6"/>
      <c r="E20" s="111">
        <f>'Comps Data'!D15</f>
        <v>1140.9000000000001</v>
      </c>
      <c r="F20" s="117">
        <f>'Comps Data'!E15</f>
        <v>10.99</v>
      </c>
      <c r="G20" s="113">
        <f t="shared" si="0"/>
        <v>12538.491000000002</v>
      </c>
      <c r="H20" s="114">
        <f>'Comps Data'!F15</f>
        <v>1373.39</v>
      </c>
      <c r="I20" s="114">
        <f>'Comps Data'!G15</f>
        <v>127.72</v>
      </c>
      <c r="J20" s="113">
        <f t="shared" si="1"/>
        <v>13784.161000000002</v>
      </c>
      <c r="L20" s="114">
        <f>'Comps Data'!I15</f>
        <v>1436.97</v>
      </c>
      <c r="M20" s="114">
        <f>'Comps Data'!K15+'Comps Data'!J15</f>
        <v>412.35</v>
      </c>
      <c r="N20" s="114">
        <f>'Comps Data'!H15</f>
        <v>159.97</v>
      </c>
      <c r="P20" s="115">
        <f t="shared" si="2"/>
        <v>9.5925182850024715</v>
      </c>
      <c r="Q20" s="115">
        <f t="shared" si="3"/>
        <v>33.428303625560815</v>
      </c>
      <c r="R20" s="115">
        <f t="shared" si="4"/>
        <v>78.380265049696831</v>
      </c>
    </row>
    <row r="21" spans="2:18" x14ac:dyDescent="0.25">
      <c r="B21" s="17" t="s">
        <v>186</v>
      </c>
      <c r="C21" s="6"/>
      <c r="E21" s="111">
        <f>'Comps Data'!D16</f>
        <v>701.4</v>
      </c>
      <c r="F21" s="117">
        <f>'Comps Data'!E16</f>
        <v>15.93</v>
      </c>
      <c r="G21" s="113">
        <f t="shared" si="0"/>
        <v>11173.302</v>
      </c>
      <c r="H21" s="114">
        <f>'Comps Data'!F16</f>
        <v>763.78</v>
      </c>
      <c r="I21" s="114">
        <f>'Comps Data'!G16</f>
        <v>98.73</v>
      </c>
      <c r="J21" s="113">
        <f t="shared" si="1"/>
        <v>11838.352000000001</v>
      </c>
      <c r="L21" s="114">
        <f>'Comps Data'!I16</f>
        <v>4177.6099999999997</v>
      </c>
      <c r="M21" s="114">
        <f>'Comps Data'!K16+'Comps Data'!J16</f>
        <v>556.88</v>
      </c>
      <c r="N21" s="114">
        <f>'Comps Data'!H16</f>
        <v>251.17</v>
      </c>
      <c r="P21" s="115">
        <f t="shared" si="2"/>
        <v>2.8337618877779405</v>
      </c>
      <c r="Q21" s="115">
        <f t="shared" si="3"/>
        <v>21.2583536848154</v>
      </c>
      <c r="R21" s="115">
        <f t="shared" si="4"/>
        <v>44.485018115220768</v>
      </c>
    </row>
    <row r="22" spans="2:18" x14ac:dyDescent="0.25">
      <c r="B22" s="17" t="s">
        <v>187</v>
      </c>
      <c r="C22" s="6"/>
      <c r="E22" s="111">
        <f>'Comps Data'!D17</f>
        <v>2104.1</v>
      </c>
      <c r="F22" s="117">
        <f>'Comps Data'!E17</f>
        <v>5.1100000000000003</v>
      </c>
      <c r="G22" s="113">
        <f t="shared" si="0"/>
        <v>10751.951000000001</v>
      </c>
      <c r="H22" s="114">
        <f>'Comps Data'!F17</f>
        <v>5.52</v>
      </c>
      <c r="I22" s="114">
        <f>'Comps Data'!G17</f>
        <v>204.06</v>
      </c>
      <c r="J22" s="113">
        <f t="shared" si="1"/>
        <v>10553.411000000002</v>
      </c>
      <c r="L22" s="114">
        <f>'Comps Data'!I17</f>
        <v>1571.82</v>
      </c>
      <c r="M22" s="114">
        <f>'Comps Data'!K17+'Comps Data'!J17</f>
        <v>321.15999999999997</v>
      </c>
      <c r="N22" s="114">
        <f>'Comps Data'!H17</f>
        <v>186.11</v>
      </c>
      <c r="P22" s="115">
        <f t="shared" si="2"/>
        <v>6.7141345701161725</v>
      </c>
      <c r="Q22" s="115">
        <f t="shared" si="3"/>
        <v>32.860290820774701</v>
      </c>
      <c r="R22" s="115">
        <f t="shared" si="4"/>
        <v>57.772021922518938</v>
      </c>
    </row>
    <row r="23" spans="2:18" x14ac:dyDescent="0.25">
      <c r="B23" s="17" t="s">
        <v>188</v>
      </c>
      <c r="C23" s="6"/>
      <c r="E23" s="111">
        <f>'Comps Data'!D18</f>
        <v>765.1</v>
      </c>
      <c r="F23" s="117">
        <f>'Comps Data'!E18</f>
        <v>13.26</v>
      </c>
      <c r="G23" s="113">
        <f t="shared" si="0"/>
        <v>10145.226000000001</v>
      </c>
      <c r="H23" s="114">
        <f>'Comps Data'!F18</f>
        <v>137.07</v>
      </c>
      <c r="I23" s="114">
        <f>'Comps Data'!G18</f>
        <v>239.75</v>
      </c>
      <c r="J23" s="113">
        <f t="shared" si="1"/>
        <v>10042.546</v>
      </c>
      <c r="L23" s="114">
        <f>'Comps Data'!I18</f>
        <v>788.52</v>
      </c>
      <c r="M23" s="114">
        <f>'Comps Data'!K18+'Comps Data'!J18</f>
        <v>269.79000000000002</v>
      </c>
      <c r="N23" s="114">
        <f>'Comps Data'!H18</f>
        <v>152.09</v>
      </c>
      <c r="P23" s="115">
        <f t="shared" si="2"/>
        <v>12.735943286156344</v>
      </c>
      <c r="Q23" s="115">
        <f t="shared" si="3"/>
        <v>37.223566477630747</v>
      </c>
      <c r="R23" s="115">
        <f t="shared" si="4"/>
        <v>66.70541126964298</v>
      </c>
    </row>
    <row r="24" spans="2:18" x14ac:dyDescent="0.25">
      <c r="B24" s="17" t="s">
        <v>189</v>
      </c>
      <c r="C24" s="6"/>
      <c r="E24" s="111">
        <f>'Comps Data'!D19</f>
        <v>2419</v>
      </c>
      <c r="F24" s="117">
        <f>'Comps Data'!E19</f>
        <v>3.91</v>
      </c>
      <c r="G24" s="113">
        <f t="shared" si="0"/>
        <v>9458.2900000000009</v>
      </c>
      <c r="H24" s="114">
        <f>'Comps Data'!F19</f>
        <v>1142.83</v>
      </c>
      <c r="I24" s="114">
        <f>'Comps Data'!G19</f>
        <v>50.19</v>
      </c>
      <c r="J24" s="113">
        <f t="shared" si="1"/>
        <v>10550.93</v>
      </c>
      <c r="L24" s="114">
        <f>'Comps Data'!I19</f>
        <v>2101.19</v>
      </c>
      <c r="M24" s="114">
        <f>'Comps Data'!K19+'Comps Data'!J19</f>
        <v>477.49</v>
      </c>
      <c r="N24" s="114">
        <f>'Comps Data'!H19</f>
        <v>184.75</v>
      </c>
      <c r="P24" s="115">
        <f t="shared" si="2"/>
        <v>5.0214069170327287</v>
      </c>
      <c r="Q24" s="115">
        <f t="shared" si="3"/>
        <v>22.096651238769397</v>
      </c>
      <c r="R24" s="115">
        <f t="shared" si="4"/>
        <v>51.195074424898515</v>
      </c>
    </row>
    <row r="25" spans="2:18" x14ac:dyDescent="0.25">
      <c r="B25" s="118"/>
    </row>
    <row r="26" spans="2:18" x14ac:dyDescent="0.25">
      <c r="B26" s="34"/>
    </row>
    <row r="27" spans="2:18" x14ac:dyDescent="0.25">
      <c r="B27" s="348" t="s">
        <v>227</v>
      </c>
      <c r="C27" s="348"/>
      <c r="D27" s="348"/>
      <c r="E27" s="348"/>
      <c r="F27" s="348"/>
      <c r="G27" s="348"/>
      <c r="H27" s="348"/>
      <c r="I27" s="348"/>
      <c r="J27" s="348"/>
      <c r="K27" s="348"/>
      <c r="L27" s="348"/>
      <c r="M27" s="348"/>
      <c r="N27" s="348"/>
      <c r="O27" s="348"/>
      <c r="P27" s="349">
        <f>MAX(P15:P24)</f>
        <v>13.707617204440975</v>
      </c>
      <c r="Q27" s="349">
        <f t="shared" ref="Q27:R27" si="5">MAX(Q15:Q24)</f>
        <v>37.223566477630747</v>
      </c>
      <c r="R27" s="349">
        <f t="shared" si="5"/>
        <v>78.380265049696831</v>
      </c>
    </row>
    <row r="28" spans="2:18" x14ac:dyDescent="0.25">
      <c r="B28" s="348" t="s">
        <v>228</v>
      </c>
      <c r="C28" s="348"/>
      <c r="D28" s="348"/>
      <c r="E28" s="348"/>
      <c r="F28" s="348"/>
      <c r="G28" s="348"/>
      <c r="H28" s="348"/>
      <c r="I28" s="348"/>
      <c r="J28" s="348"/>
      <c r="K28" s="348"/>
      <c r="L28" s="348"/>
      <c r="M28" s="348"/>
      <c r="N28" s="348"/>
      <c r="O28" s="348"/>
      <c r="P28" s="349">
        <f>QUARTILE(P15:P24,3)</f>
        <v>9.2117323038946406</v>
      </c>
      <c r="Q28" s="349">
        <f t="shared" ref="Q28:R28" si="6">QUARTILE(Q15:Q24,3)</f>
        <v>31.906693464215209</v>
      </c>
      <c r="R28" s="349">
        <f t="shared" si="6"/>
        <v>56.127785048113836</v>
      </c>
    </row>
    <row r="29" spans="2:18" x14ac:dyDescent="0.25">
      <c r="B29" s="350" t="s">
        <v>229</v>
      </c>
      <c r="C29" s="351"/>
      <c r="D29" s="351"/>
      <c r="E29" s="351"/>
      <c r="F29" s="351"/>
      <c r="G29" s="351"/>
      <c r="H29" s="352"/>
      <c r="I29" s="352"/>
      <c r="J29" s="352"/>
      <c r="K29" s="352"/>
      <c r="L29" s="352"/>
      <c r="M29" s="352"/>
      <c r="N29" s="351"/>
      <c r="O29" s="351"/>
      <c r="P29" s="353">
        <f>AVERAGE(P15:P24)</f>
        <v>6.9699625784676158</v>
      </c>
      <c r="Q29" s="353">
        <f t="shared" ref="Q29:R29" si="7">AVERAGE(Q15:Q24)</f>
        <v>27.029874552432574</v>
      </c>
      <c r="R29" s="353">
        <f t="shared" si="7"/>
        <v>50.081324691864801</v>
      </c>
    </row>
    <row r="30" spans="2:18" x14ac:dyDescent="0.25">
      <c r="B30" s="350" t="s">
        <v>230</v>
      </c>
      <c r="C30" s="351"/>
      <c r="D30" s="351"/>
      <c r="E30" s="351"/>
      <c r="F30" s="351"/>
      <c r="G30" s="351"/>
      <c r="H30" s="352"/>
      <c r="I30" s="352"/>
      <c r="J30" s="352"/>
      <c r="K30" s="352"/>
      <c r="L30" s="352"/>
      <c r="M30" s="352"/>
      <c r="N30" s="351"/>
      <c r="O30" s="351"/>
      <c r="P30" s="353">
        <f>MEDIAN(P15:P24)</f>
        <v>6.5420822496871445</v>
      </c>
      <c r="Q30" s="353">
        <f t="shared" ref="Q30:R30" si="8">MEDIAN(Q15:Q24)</f>
        <v>26.56651287611027</v>
      </c>
      <c r="R30" s="353">
        <f t="shared" si="8"/>
        <v>44.015563148114438</v>
      </c>
    </row>
    <row r="31" spans="2:18" x14ac:dyDescent="0.25">
      <c r="B31" s="354" t="s">
        <v>231</v>
      </c>
      <c r="C31" s="348"/>
      <c r="D31" s="348"/>
      <c r="E31" s="348"/>
      <c r="F31" s="348"/>
      <c r="G31" s="348"/>
      <c r="H31" s="355"/>
      <c r="I31" s="355"/>
      <c r="J31" s="355"/>
      <c r="K31" s="355"/>
      <c r="L31" s="355"/>
      <c r="M31" s="355"/>
      <c r="N31" s="348"/>
      <c r="O31" s="348"/>
      <c r="P31" s="349">
        <f>QUARTILE(P15:P24,1)</f>
        <v>3.8091773894800918</v>
      </c>
      <c r="Q31" s="349">
        <f t="shared" ref="Q31:R31" si="9">QUARTILE(Q15:Q24,1)</f>
        <v>22.307302302329273</v>
      </c>
      <c r="R31" s="349">
        <f t="shared" si="9"/>
        <v>40.271098408839705</v>
      </c>
    </row>
    <row r="32" spans="2:18" x14ac:dyDescent="0.25">
      <c r="B32" s="354" t="s">
        <v>232</v>
      </c>
      <c r="C32" s="348"/>
      <c r="D32" s="348"/>
      <c r="E32" s="348"/>
      <c r="F32" s="348"/>
      <c r="G32" s="348"/>
      <c r="H32" s="355"/>
      <c r="I32" s="355"/>
      <c r="J32" s="355"/>
      <c r="K32" s="355"/>
      <c r="L32" s="355"/>
      <c r="M32" s="355"/>
      <c r="N32" s="348"/>
      <c r="O32" s="348"/>
      <c r="P32" s="349">
        <f>MIN(P15:P24)</f>
        <v>1.2497384640243761</v>
      </c>
      <c r="Q32" s="349">
        <f t="shared" ref="Q32:R32" si="10">MIN(Q15:Q24)</f>
        <v>18.313397037008492</v>
      </c>
      <c r="R32" s="349">
        <f t="shared" si="10"/>
        <v>37.838141250526235</v>
      </c>
    </row>
    <row r="34" spans="2:18" x14ac:dyDescent="0.25">
      <c r="B34" s="17" t="s">
        <v>183</v>
      </c>
      <c r="C34" s="6"/>
      <c r="D34" s="6"/>
      <c r="E34" s="114">
        <f>'Comps Data'!D22</f>
        <v>389.45</v>
      </c>
      <c r="F34" s="116">
        <f>'Comps Data'!E22</f>
        <v>36.26</v>
      </c>
      <c r="G34" s="113">
        <f t="shared" ref="G34" si="11">F34*E34</f>
        <v>14121.456999999999</v>
      </c>
      <c r="H34" s="114">
        <f>'Comps Data'!F22</f>
        <v>3847</v>
      </c>
      <c r="I34" s="114">
        <f>'Comps Data'!G22</f>
        <v>295</v>
      </c>
      <c r="J34" s="113">
        <f t="shared" ref="J34" si="12">G34+H34-I34</f>
        <v>17673.456999999999</v>
      </c>
      <c r="K34" s="6"/>
      <c r="L34" s="114">
        <f>'Comps Data'!I22</f>
        <v>7271</v>
      </c>
      <c r="M34" s="114">
        <f>'Income statement'!G21</f>
        <v>1000.4500000000007</v>
      </c>
      <c r="N34" s="114">
        <f>'Income statement'!G44</f>
        <v>330.87000000000074</v>
      </c>
      <c r="O34" s="6"/>
      <c r="P34" s="115">
        <f>J34/L34</f>
        <v>2.4306776234355656</v>
      </c>
      <c r="Q34" s="115">
        <f t="shared" ref="Q34" si="13">J34/M34</f>
        <v>17.665507521615258</v>
      </c>
      <c r="R34" s="115">
        <f>J34/N34</f>
        <v>53.415108652945143</v>
      </c>
    </row>
    <row r="37" spans="2:18" x14ac:dyDescent="0.25">
      <c r="B37" s="1" t="s">
        <v>230</v>
      </c>
    </row>
    <row r="38" spans="2:18" x14ac:dyDescent="0.25">
      <c r="B38" s="237" t="s">
        <v>233</v>
      </c>
      <c r="C38" s="238"/>
      <c r="D38" s="238"/>
      <c r="E38" s="238" t="s">
        <v>234</v>
      </c>
      <c r="F38" s="238" t="s">
        <v>216</v>
      </c>
      <c r="G38" s="238" t="s">
        <v>235</v>
      </c>
      <c r="H38" s="166" t="s">
        <v>236</v>
      </c>
      <c r="I38" s="166" t="s">
        <v>237</v>
      </c>
      <c r="J38" s="166" t="s">
        <v>238</v>
      </c>
      <c r="L38" s="166" t="s">
        <v>239</v>
      </c>
    </row>
    <row r="39" spans="2:18" x14ac:dyDescent="0.25">
      <c r="B39" s="230" t="s">
        <v>240</v>
      </c>
      <c r="C39" s="231"/>
      <c r="D39" s="231"/>
      <c r="E39" s="232">
        <v>6.9699625784676158</v>
      </c>
      <c r="F39" s="233">
        <f>E39*L34</f>
        <v>50678.597908038035</v>
      </c>
      <c r="G39" s="234">
        <f>$H$34-$I$34</f>
        <v>3552</v>
      </c>
      <c r="H39" s="235">
        <f>F39-G39</f>
        <v>47126.597908038035</v>
      </c>
      <c r="I39" s="236">
        <f>$F$34</f>
        <v>36.26</v>
      </c>
      <c r="J39" s="235">
        <f>H39/I39</f>
        <v>1299.6855462779381</v>
      </c>
      <c r="L39" s="239" t="str">
        <f>IF(J39&gt;$E$34,"Undervalued","Overvalued")</f>
        <v>Undervalued</v>
      </c>
    </row>
    <row r="40" spans="2:18" x14ac:dyDescent="0.25">
      <c r="B40" s="127" t="s">
        <v>220</v>
      </c>
      <c r="C40" s="128"/>
      <c r="D40" s="128"/>
      <c r="E40" s="129">
        <v>27.029874552432574</v>
      </c>
      <c r="F40" s="130">
        <f>E40*M34</f>
        <v>27042.037995981187</v>
      </c>
      <c r="G40" s="131">
        <f t="shared" ref="G40:G41" si="14">$H$34-$I$34</f>
        <v>3552</v>
      </c>
      <c r="H40" s="132">
        <f t="shared" ref="H40" si="15">F40-G40</f>
        <v>23490.037995981187</v>
      </c>
      <c r="I40" s="133">
        <f t="shared" ref="I40:I41" si="16">$F$34</f>
        <v>36.26</v>
      </c>
      <c r="J40" s="132">
        <f t="shared" ref="J40:J41" si="17">H40/I40</f>
        <v>647.82233855436266</v>
      </c>
      <c r="L40" s="227" t="str">
        <f t="shared" ref="L40:L41" si="18">IF(J40&gt;$E$34,"Undervalued","Overvalued")</f>
        <v>Undervalued</v>
      </c>
    </row>
    <row r="41" spans="2:18" x14ac:dyDescent="0.25">
      <c r="B41" s="134" t="s">
        <v>221</v>
      </c>
      <c r="C41" s="134"/>
      <c r="D41" s="134"/>
      <c r="E41" s="135">
        <v>50.081324691864801</v>
      </c>
      <c r="F41" s="136">
        <f>H41+G41</f>
        <v>20122.407900797345</v>
      </c>
      <c r="G41" s="131">
        <f t="shared" si="14"/>
        <v>3552</v>
      </c>
      <c r="H41" s="132">
        <f>E41*N34</f>
        <v>16570.407900797345</v>
      </c>
      <c r="I41" s="133">
        <f t="shared" si="16"/>
        <v>36.26</v>
      </c>
      <c r="J41" s="132">
        <f t="shared" si="17"/>
        <v>456.98863488133884</v>
      </c>
      <c r="L41" s="227" t="str">
        <f t="shared" si="18"/>
        <v>Undervalued</v>
      </c>
    </row>
    <row r="43" spans="2:18" x14ac:dyDescent="0.25">
      <c r="B43" s="1" t="s">
        <v>229</v>
      </c>
    </row>
    <row r="44" spans="2:18" x14ac:dyDescent="0.25">
      <c r="B44" s="237" t="s">
        <v>233</v>
      </c>
      <c r="C44" s="238"/>
      <c r="D44" s="238"/>
      <c r="E44" s="238" t="s">
        <v>234</v>
      </c>
      <c r="F44" s="238" t="s">
        <v>216</v>
      </c>
      <c r="G44" s="238" t="s">
        <v>235</v>
      </c>
      <c r="H44" s="166" t="s">
        <v>236</v>
      </c>
      <c r="I44" s="166" t="s">
        <v>237</v>
      </c>
      <c r="J44" s="166" t="s">
        <v>238</v>
      </c>
      <c r="L44" s="166" t="s">
        <v>239</v>
      </c>
    </row>
    <row r="45" spans="2:18" x14ac:dyDescent="0.25">
      <c r="B45" s="230" t="s">
        <v>240</v>
      </c>
      <c r="C45" s="231"/>
      <c r="D45" s="231"/>
      <c r="E45" s="232">
        <v>6.5420822496871445</v>
      </c>
      <c r="F45" s="233">
        <f>E45*L34</f>
        <v>47567.48003747523</v>
      </c>
      <c r="G45" s="234">
        <f>G39</f>
        <v>3552</v>
      </c>
      <c r="H45" s="235">
        <f>F45-G45</f>
        <v>44015.48003747523</v>
      </c>
      <c r="I45" s="236">
        <f>I39</f>
        <v>36.26</v>
      </c>
      <c r="J45" s="235">
        <f>H45/I45</f>
        <v>1213.8852740616446</v>
      </c>
      <c r="L45" s="239" t="str">
        <f>IF(J45&gt;$E$34,"Undervalued","Overvalued")</f>
        <v>Undervalued</v>
      </c>
    </row>
    <row r="46" spans="2:18" x14ac:dyDescent="0.25">
      <c r="B46" s="127" t="s">
        <v>220</v>
      </c>
      <c r="C46" s="128"/>
      <c r="D46" s="128"/>
      <c r="E46" s="129">
        <v>26.56651287611027</v>
      </c>
      <c r="F46" s="130">
        <f>E46*M34</f>
        <v>26578.46780690454</v>
      </c>
      <c r="G46" s="131">
        <f t="shared" ref="G46:G47" si="19">G40</f>
        <v>3552</v>
      </c>
      <c r="H46" s="132">
        <f>F46-G46</f>
        <v>23026.46780690454</v>
      </c>
      <c r="I46" s="133">
        <f t="shared" ref="I46:I47" si="20">I40</f>
        <v>36.26</v>
      </c>
      <c r="J46" s="132">
        <f t="shared" ref="J46:J47" si="21">H46/I46</f>
        <v>635.03772219813959</v>
      </c>
      <c r="L46" s="227" t="str">
        <f t="shared" ref="L46:L47" si="22">IF(J46&gt;$E$34,"Undervalued","Overvalued")</f>
        <v>Undervalued</v>
      </c>
    </row>
    <row r="47" spans="2:18" x14ac:dyDescent="0.25">
      <c r="B47" s="134" t="s">
        <v>221</v>
      </c>
      <c r="C47" s="134"/>
      <c r="D47" s="134"/>
      <c r="E47" s="135">
        <v>44.015563148114438</v>
      </c>
      <c r="F47" s="136">
        <f>H47+G47</f>
        <v>18115.429378816654</v>
      </c>
      <c r="G47" s="131">
        <f t="shared" si="19"/>
        <v>3552</v>
      </c>
      <c r="H47" s="132">
        <f>E47*N34</f>
        <v>14563.429378816656</v>
      </c>
      <c r="I47" s="133">
        <f t="shared" si="20"/>
        <v>36.26</v>
      </c>
      <c r="J47" s="132">
        <f t="shared" si="21"/>
        <v>401.63897900762981</v>
      </c>
      <c r="L47" s="227" t="str">
        <f t="shared" si="22"/>
        <v>Undervalued</v>
      </c>
    </row>
  </sheetData>
  <mergeCells count="5">
    <mergeCell ref="B10:R10"/>
    <mergeCell ref="B12:C12"/>
    <mergeCell ref="E12:J12"/>
    <mergeCell ref="L12:N12"/>
    <mergeCell ref="P12:R12"/>
  </mergeCells>
  <pageMargins left="0.7" right="0.7" top="0.75" bottom="0.75" header="0.3" footer="0.3"/>
  <pageSetup scale="54" orientation="portrait" r:id="rId1"/>
  <ignoredErrors>
    <ignoredError sqref="H45:H47" formula="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55"/>
  <sheetViews>
    <sheetView showGridLines="0" workbookViewId="0">
      <pane ySplit="10" topLeftCell="A30" activePane="bottomLeft" state="frozen"/>
      <selection pane="bottomLeft" activeCell="E41" sqref="E41"/>
    </sheetView>
  </sheetViews>
  <sheetFormatPr defaultRowHeight="15" x14ac:dyDescent="0.25"/>
  <cols>
    <col min="1" max="1" width="1.85546875" customWidth="1"/>
    <col min="2" max="2" width="20.85546875" bestFit="1" customWidth="1"/>
    <col min="4" max="4" width="12.5703125" bestFit="1" customWidth="1"/>
    <col min="5" max="5" width="20.7109375" bestFit="1" customWidth="1"/>
    <col min="6" max="6" width="20.42578125" bestFit="1" customWidth="1"/>
    <col min="7" max="7" width="12.7109375" bestFit="1" customWidth="1"/>
    <col min="8" max="8" width="8.85546875" customWidth="1"/>
    <col min="9" max="9" width="14.140625" bestFit="1" customWidth="1"/>
    <col min="10" max="10" width="16" bestFit="1" customWidth="1"/>
  </cols>
  <sheetData>
    <row r="1" spans="2:10" x14ac:dyDescent="0.25">
      <c r="B1" s="67"/>
      <c r="C1" s="67"/>
      <c r="D1" s="67"/>
      <c r="E1" s="67"/>
      <c r="F1" s="67"/>
      <c r="G1" s="67"/>
      <c r="H1" s="67"/>
      <c r="I1" s="67"/>
      <c r="J1" s="67"/>
    </row>
    <row r="9" spans="2:10" x14ac:dyDescent="0.25">
      <c r="B9" s="27" t="s">
        <v>344</v>
      </c>
    </row>
    <row r="10" spans="2:10" x14ac:dyDescent="0.25">
      <c r="B10" s="463" t="s">
        <v>241</v>
      </c>
      <c r="C10" s="463"/>
      <c r="D10" s="463"/>
      <c r="E10" s="463"/>
      <c r="F10" s="463"/>
      <c r="G10" s="463"/>
      <c r="H10" s="463"/>
      <c r="I10" s="463"/>
      <c r="J10" s="463"/>
    </row>
    <row r="11" spans="2:10" x14ac:dyDescent="0.25">
      <c r="B11" s="104" t="s">
        <v>206</v>
      </c>
    </row>
    <row r="12" spans="2:10" x14ac:dyDescent="0.25">
      <c r="B12" s="141" t="s">
        <v>191</v>
      </c>
      <c r="C12" s="142"/>
      <c r="D12" s="143" t="s">
        <v>242</v>
      </c>
      <c r="E12" s="143" t="s">
        <v>243</v>
      </c>
      <c r="F12" s="144" t="s">
        <v>244</v>
      </c>
      <c r="G12" s="145" t="s">
        <v>245</v>
      </c>
      <c r="H12" s="145" t="s">
        <v>246</v>
      </c>
      <c r="I12" s="145" t="s">
        <v>247</v>
      </c>
      <c r="J12" s="145" t="s">
        <v>248</v>
      </c>
    </row>
    <row r="13" spans="2:10" x14ac:dyDescent="0.25">
      <c r="B13" s="112" t="str">
        <f>'Comps '!B15</f>
        <v>BASF India</v>
      </c>
      <c r="C13" s="112"/>
      <c r="D13" s="111">
        <f>'Comps '!G15</f>
        <v>19599.311999999998</v>
      </c>
      <c r="E13" s="111">
        <f>'Comps '!H15</f>
        <v>156.76</v>
      </c>
      <c r="F13" s="140">
        <f>E13/D13</f>
        <v>7.9982399382182399E-3</v>
      </c>
      <c r="G13" s="140">
        <f>E13/(SUM(D13:E13))</f>
        <v>7.9347756983270765E-3</v>
      </c>
      <c r="H13" s="138">
        <v>0.26290000000000002</v>
      </c>
      <c r="I13" s="17">
        <v>0.59</v>
      </c>
      <c r="J13" s="139">
        <f>I13/(1+F13*(1-H13))</f>
        <v>0.58654203984479603</v>
      </c>
    </row>
    <row r="14" spans="2:10" x14ac:dyDescent="0.25">
      <c r="B14" s="112" t="str">
        <f>'Comps '!B16</f>
        <v>Atul</v>
      </c>
      <c r="C14" s="112"/>
      <c r="D14" s="111">
        <f>'Comps '!G16</f>
        <v>18874.8</v>
      </c>
      <c r="E14" s="111">
        <f>'Comps '!H16</f>
        <v>201.73</v>
      </c>
      <c r="F14" s="140">
        <f t="shared" ref="F14:F22" si="0">E14/D14</f>
        <v>1.0687795367368131E-2</v>
      </c>
      <c r="G14" s="140">
        <f t="shared" ref="G14:G22" si="1">E14/(SUM(D14:E14))</f>
        <v>1.0574774343132635E-2</v>
      </c>
      <c r="H14" s="138">
        <v>0.27079999999999999</v>
      </c>
      <c r="I14" s="17">
        <v>0.21</v>
      </c>
      <c r="J14" s="139">
        <f t="shared" ref="J14:J22" si="2">I14/(1+F14*(1-H14))</f>
        <v>0.20837601312707796</v>
      </c>
    </row>
    <row r="15" spans="2:10" x14ac:dyDescent="0.25">
      <c r="B15" s="112" t="str">
        <f>'Comps '!B17</f>
        <v>Vinati Organics</v>
      </c>
      <c r="C15" s="112"/>
      <c r="D15" s="111">
        <f>'Comps '!G17</f>
        <v>18081.6505</v>
      </c>
      <c r="E15" s="111">
        <f>'Comps '!H17</f>
        <v>62.62</v>
      </c>
      <c r="F15" s="140">
        <f t="shared" si="0"/>
        <v>3.4631794260153409E-3</v>
      </c>
      <c r="G15" s="140">
        <f t="shared" si="1"/>
        <v>3.4512272069577004E-3</v>
      </c>
      <c r="H15" s="138">
        <v>0.2442</v>
      </c>
      <c r="I15" s="17">
        <v>0.17</v>
      </c>
      <c r="J15" s="139">
        <f t="shared" si="2"/>
        <v>0.16955619158393212</v>
      </c>
    </row>
    <row r="16" spans="2:10" x14ac:dyDescent="0.25">
      <c r="B16" s="112" t="str">
        <f>'Comps '!B18</f>
        <v>Fine Organic</v>
      </c>
      <c r="C16" s="112"/>
      <c r="D16" s="111">
        <f>'Comps '!G18</f>
        <v>14935.55</v>
      </c>
      <c r="E16" s="111">
        <f>'Comps '!H18</f>
        <v>2.65</v>
      </c>
      <c r="F16" s="140">
        <f t="shared" si="0"/>
        <v>1.7742902002269753E-4</v>
      </c>
      <c r="G16" s="140">
        <f t="shared" si="1"/>
        <v>1.7739754455021355E-4</v>
      </c>
      <c r="H16" s="138">
        <v>0.2606</v>
      </c>
      <c r="I16" s="17">
        <v>-0.11</v>
      </c>
      <c r="J16" s="139">
        <f t="shared" si="2"/>
        <v>-0.10998557088105626</v>
      </c>
    </row>
    <row r="17" spans="2:23" x14ac:dyDescent="0.25">
      <c r="B17" s="112" t="str">
        <f>'Comps '!B19</f>
        <v>Clean Science</v>
      </c>
      <c r="C17" s="112"/>
      <c r="D17" s="111">
        <f>'Comps '!G19</f>
        <v>12656.609500000002</v>
      </c>
      <c r="E17" s="111">
        <f>'Comps '!H19</f>
        <v>1.06</v>
      </c>
      <c r="F17" s="140">
        <f t="shared" si="0"/>
        <v>8.3750707486076725E-5</v>
      </c>
      <c r="G17" s="140">
        <f t="shared" si="1"/>
        <v>8.3743693892465745E-5</v>
      </c>
      <c r="H17" s="138">
        <v>0.25940000000000002</v>
      </c>
      <c r="I17" s="17">
        <v>0.04</v>
      </c>
      <c r="J17" s="139">
        <f t="shared" si="2"/>
        <v>3.999751912291976E-2</v>
      </c>
    </row>
    <row r="18" spans="2:23" x14ac:dyDescent="0.25">
      <c r="B18" s="112" t="str">
        <f>'Comps '!B20</f>
        <v>Anupam Rasayan</v>
      </c>
      <c r="C18" s="112"/>
      <c r="D18" s="111">
        <f>'Comps '!G20</f>
        <v>12538.491000000002</v>
      </c>
      <c r="E18" s="111">
        <f>'Comps '!H20</f>
        <v>1373.39</v>
      </c>
      <c r="F18" s="140">
        <f t="shared" si="0"/>
        <v>0.1095339144080416</v>
      </c>
      <c r="G18" s="140">
        <f t="shared" si="1"/>
        <v>9.8720654669199659E-2</v>
      </c>
      <c r="H18" s="138">
        <v>0.1915</v>
      </c>
      <c r="I18" s="17">
        <v>0.32</v>
      </c>
      <c r="J18" s="139">
        <f t="shared" si="2"/>
        <v>0.29396683510180838</v>
      </c>
    </row>
    <row r="19" spans="2:23" x14ac:dyDescent="0.25">
      <c r="B19" s="112" t="str">
        <f>'Comps '!B21</f>
        <v>Jubilant Ingrev.</v>
      </c>
      <c r="C19" s="112"/>
      <c r="D19" s="111">
        <f>'Comps '!G21</f>
        <v>11173.302</v>
      </c>
      <c r="E19" s="111">
        <f>'Comps '!H21</f>
        <v>763.78</v>
      </c>
      <c r="F19" s="140">
        <f t="shared" si="0"/>
        <v>6.8357590262932116E-2</v>
      </c>
      <c r="G19" s="140">
        <f t="shared" si="1"/>
        <v>6.3983811118998757E-2</v>
      </c>
      <c r="H19" s="138">
        <v>0.26450000000000001</v>
      </c>
      <c r="I19" s="17">
        <v>0.41</v>
      </c>
      <c r="J19" s="139">
        <f t="shared" si="2"/>
        <v>0.39037320346744581</v>
      </c>
    </row>
    <row r="20" spans="2:23" x14ac:dyDescent="0.25">
      <c r="B20" s="112" t="str">
        <f>'Comps '!B22</f>
        <v>Alkyl Amines</v>
      </c>
      <c r="C20" s="112"/>
      <c r="D20" s="111">
        <f>'Comps '!G22</f>
        <v>10751.951000000001</v>
      </c>
      <c r="E20" s="111">
        <f>'Comps '!H22</f>
        <v>5.52</v>
      </c>
      <c r="F20" s="140">
        <f t="shared" si="0"/>
        <v>5.1339519683450934E-4</v>
      </c>
      <c r="G20" s="140">
        <f t="shared" si="1"/>
        <v>5.1313175745488864E-4</v>
      </c>
      <c r="H20" s="138">
        <v>0.2515</v>
      </c>
      <c r="I20" s="17">
        <v>0.64</v>
      </c>
      <c r="J20" s="139">
        <f t="shared" si="2"/>
        <v>0.63975415763630339</v>
      </c>
      <c r="N20" s="30"/>
      <c r="O20" s="30"/>
      <c r="P20" s="30"/>
      <c r="Q20" s="30"/>
      <c r="R20" s="30"/>
      <c r="S20" s="30"/>
      <c r="T20" s="30"/>
      <c r="U20" s="30"/>
      <c r="V20" s="30"/>
      <c r="W20" s="30"/>
    </row>
    <row r="21" spans="2:23" x14ac:dyDescent="0.25">
      <c r="B21" s="112" t="str">
        <f>'Comps '!B23</f>
        <v>Aether Industri.</v>
      </c>
      <c r="C21" s="112"/>
      <c r="D21" s="111">
        <f>'Comps '!G23</f>
        <v>10145.226000000001</v>
      </c>
      <c r="E21" s="111">
        <f>'Comps '!H23</f>
        <v>137.07</v>
      </c>
      <c r="F21" s="140">
        <f t="shared" si="0"/>
        <v>1.3510788226896078E-2</v>
      </c>
      <c r="G21" s="140">
        <f t="shared" si="1"/>
        <v>1.3330680229396236E-2</v>
      </c>
      <c r="H21" s="138">
        <v>0.254</v>
      </c>
      <c r="I21" s="17">
        <v>0.05</v>
      </c>
      <c r="J21" s="139">
        <f t="shared" si="2"/>
        <v>4.9501076275314831E-2</v>
      </c>
    </row>
    <row r="22" spans="2:23" x14ac:dyDescent="0.25">
      <c r="B22" s="112" t="str">
        <f>'Comps '!B24</f>
        <v>Privi Speci.</v>
      </c>
      <c r="C22" s="6"/>
      <c r="D22" s="111">
        <f>'Comps '!G24</f>
        <v>9458.2900000000009</v>
      </c>
      <c r="E22" s="111">
        <f>'Comps '!H24</f>
        <v>1142.83</v>
      </c>
      <c r="F22" s="140">
        <f t="shared" si="0"/>
        <v>0.12082839498471709</v>
      </c>
      <c r="G22" s="140">
        <f t="shared" si="1"/>
        <v>0.10780276046304541</v>
      </c>
      <c r="H22" s="138">
        <v>0.27979999999999999</v>
      </c>
      <c r="I22" s="17">
        <v>-0.37</v>
      </c>
      <c r="J22" s="139">
        <f t="shared" si="2"/>
        <v>-0.34037993076953382</v>
      </c>
    </row>
    <row r="24" spans="2:23" x14ac:dyDescent="0.25">
      <c r="B24" s="146" t="s">
        <v>229</v>
      </c>
      <c r="C24" s="146"/>
      <c r="D24" s="146"/>
      <c r="E24" s="146"/>
      <c r="F24" s="147">
        <f>AVERAGE(F13:F22)</f>
        <v>3.3515447753853192E-2</v>
      </c>
      <c r="G24" s="147">
        <f t="shared" ref="G24:J24" si="3">AVERAGE(G13:G22)</f>
        <v>3.0657295672495498E-2</v>
      </c>
      <c r="H24" s="147">
        <f t="shared" si="3"/>
        <v>0.25391999999999998</v>
      </c>
      <c r="I24" s="148">
        <f t="shared" si="3"/>
        <v>0.19499999999999998</v>
      </c>
      <c r="J24" s="148">
        <f t="shared" si="3"/>
        <v>0.19277015345090082</v>
      </c>
    </row>
    <row r="25" spans="2:23" x14ac:dyDescent="0.25">
      <c r="B25" s="146" t="s">
        <v>230</v>
      </c>
      <c r="C25" s="146"/>
      <c r="D25" s="146"/>
      <c r="E25" s="146"/>
      <c r="F25" s="147">
        <f>MEDIAN(F13:F22)</f>
        <v>9.3430176527931862E-3</v>
      </c>
      <c r="G25" s="147">
        <f t="shared" ref="G25:J25" si="4">MEDIAN(G13:G22)</f>
        <v>9.2547750207298551E-3</v>
      </c>
      <c r="H25" s="147">
        <f t="shared" si="4"/>
        <v>0.26</v>
      </c>
      <c r="I25" s="148">
        <f t="shared" si="4"/>
        <v>0.19</v>
      </c>
      <c r="J25" s="148">
        <f t="shared" si="4"/>
        <v>0.18896610235550504</v>
      </c>
    </row>
    <row r="27" spans="2:23" x14ac:dyDescent="0.25">
      <c r="B27" s="112" t="str">
        <f>'Comps '!B34</f>
        <v>Aarti Industries</v>
      </c>
      <c r="C27" s="6"/>
      <c r="D27" s="111">
        <f>'Comps '!G34</f>
        <v>14121.456999999999</v>
      </c>
      <c r="E27" s="111">
        <f>'Comps '!H34</f>
        <v>3847</v>
      </c>
      <c r="F27" s="140">
        <f t="shared" ref="F27" si="5">E27/D27</f>
        <v>0.27242231449630167</v>
      </c>
      <c r="G27" s="140">
        <f t="shared" ref="G27" si="6">E27/(SUM(D27:E27))</f>
        <v>0.21409740413436726</v>
      </c>
      <c r="H27" s="140">
        <f>Assumption!C20</f>
        <v>6.1471938277293303E-2</v>
      </c>
      <c r="I27" s="6">
        <v>0.54</v>
      </c>
      <c r="J27" s="139">
        <f t="shared" ref="J27" si="7">I27/(1+F27*(1-H27))</f>
        <v>0.43004724600860894</v>
      </c>
    </row>
    <row r="29" spans="2:23" x14ac:dyDescent="0.25">
      <c r="B29" s="463" t="s">
        <v>249</v>
      </c>
      <c r="C29" s="463"/>
      <c r="D29" s="463"/>
      <c r="E29" s="463"/>
      <c r="F29" s="463"/>
      <c r="G29" s="463"/>
      <c r="H29" s="463"/>
      <c r="I29" s="463"/>
      <c r="J29" s="463"/>
    </row>
    <row r="31" spans="2:23" x14ac:dyDescent="0.25">
      <c r="B31" s="469" t="s">
        <v>250</v>
      </c>
      <c r="C31" s="469"/>
      <c r="E31" s="65"/>
      <c r="F31" s="65"/>
    </row>
    <row r="32" spans="2:23" x14ac:dyDescent="0.25">
      <c r="B32" s="149"/>
      <c r="C32" s="150"/>
      <c r="E32" s="65"/>
      <c r="F32" s="65"/>
    </row>
    <row r="33" spans="2:6" x14ac:dyDescent="0.25">
      <c r="B33" s="149" t="s">
        <v>251</v>
      </c>
      <c r="C33" s="151">
        <f>G25</f>
        <v>9.2547750207298551E-3</v>
      </c>
      <c r="E33" s="65"/>
      <c r="F33" s="65"/>
    </row>
    <row r="34" spans="2:6" ht="15.75" thickBot="1" x14ac:dyDescent="0.3">
      <c r="B34" s="152" t="s">
        <v>252</v>
      </c>
      <c r="C34" s="153">
        <f>1-C33</f>
        <v>0.99074522497927009</v>
      </c>
      <c r="E34" s="65"/>
      <c r="F34" s="65"/>
    </row>
    <row r="35" spans="2:6" x14ac:dyDescent="0.25">
      <c r="B35" s="35"/>
      <c r="C35" s="154"/>
      <c r="E35" s="65"/>
      <c r="F35" s="65"/>
    </row>
    <row r="36" spans="2:6" x14ac:dyDescent="0.25">
      <c r="B36" s="469" t="s">
        <v>253</v>
      </c>
      <c r="C36" s="469"/>
      <c r="E36" s="65"/>
      <c r="F36" s="65"/>
    </row>
    <row r="37" spans="2:6" x14ac:dyDescent="0.25">
      <c r="B37" s="155" t="s">
        <v>254</v>
      </c>
      <c r="C37" s="156">
        <f>D27</f>
        <v>14121.456999999999</v>
      </c>
      <c r="E37" s="65"/>
      <c r="F37" s="65"/>
    </row>
    <row r="38" spans="2:6" x14ac:dyDescent="0.25">
      <c r="B38" s="35" t="s">
        <v>243</v>
      </c>
      <c r="C38" s="157">
        <f>E27</f>
        <v>3847</v>
      </c>
      <c r="E38" s="65"/>
      <c r="F38" s="65"/>
    </row>
    <row r="39" spans="2:6" ht="15.75" thickBot="1" x14ac:dyDescent="0.3">
      <c r="B39" s="158" t="s">
        <v>255</v>
      </c>
      <c r="C39" s="159">
        <f>C38/C37</f>
        <v>0.27242231449630167</v>
      </c>
      <c r="E39" s="65"/>
      <c r="F39" s="65"/>
    </row>
    <row r="40" spans="2:6" x14ac:dyDescent="0.25">
      <c r="B40" s="52"/>
      <c r="C40" s="35"/>
      <c r="E40" s="65"/>
      <c r="F40" s="65"/>
    </row>
    <row r="41" spans="2:6" x14ac:dyDescent="0.25">
      <c r="B41" s="468" t="s">
        <v>256</v>
      </c>
      <c r="C41" s="468"/>
      <c r="E41" s="65"/>
      <c r="F41" s="65"/>
    </row>
    <row r="42" spans="2:6" x14ac:dyDescent="0.25">
      <c r="B42" s="35" t="s">
        <v>257</v>
      </c>
      <c r="C42" s="309">
        <f>'Debt Schedules'!G16</f>
        <v>7.603231870416019E-2</v>
      </c>
      <c r="E42" s="65"/>
      <c r="F42" s="65"/>
    </row>
    <row r="43" spans="2:6" x14ac:dyDescent="0.25">
      <c r="B43" s="161" t="s">
        <v>258</v>
      </c>
      <c r="C43" s="309">
        <f>Assumption!C20</f>
        <v>6.1471938277293303E-2</v>
      </c>
      <c r="E43" s="65"/>
      <c r="F43" s="65"/>
    </row>
    <row r="44" spans="2:6" ht="15.75" thickBot="1" x14ac:dyDescent="0.3">
      <c r="B44" s="5" t="s">
        <v>259</v>
      </c>
      <c r="C44" s="162">
        <f>C42*(1-C43)</f>
        <v>7.1358464701698571E-2</v>
      </c>
      <c r="E44" s="65"/>
      <c r="F44" s="65"/>
    </row>
    <row r="45" spans="2:6" x14ac:dyDescent="0.25">
      <c r="B45" s="35"/>
      <c r="C45" s="157"/>
    </row>
    <row r="46" spans="2:6" x14ac:dyDescent="0.25">
      <c r="B46" s="468" t="s">
        <v>260</v>
      </c>
      <c r="C46" s="468"/>
      <c r="E46" s="468" t="s">
        <v>260</v>
      </c>
      <c r="F46" s="468"/>
    </row>
    <row r="47" spans="2:6" x14ac:dyDescent="0.25">
      <c r="B47" s="163" t="s">
        <v>261</v>
      </c>
      <c r="C47" s="160">
        <f>Assumption!C19</f>
        <v>6.5119999999999997E-2</v>
      </c>
      <c r="E47" s="163" t="s">
        <v>261</v>
      </c>
      <c r="F47" s="160">
        <f>C47</f>
        <v>6.5119999999999997E-2</v>
      </c>
    </row>
    <row r="48" spans="2:6" x14ac:dyDescent="0.25">
      <c r="B48" s="52" t="s">
        <v>262</v>
      </c>
      <c r="C48" s="309">
        <f>'Equity Market'!F14</f>
        <v>0.11322510361130922</v>
      </c>
      <c r="E48" s="52" t="s">
        <v>262</v>
      </c>
      <c r="F48" s="160">
        <f>'Equity Market'!F14</f>
        <v>0.11322510361130922</v>
      </c>
    </row>
    <row r="49" spans="2:12" x14ac:dyDescent="0.25">
      <c r="B49" s="163" t="s">
        <v>263</v>
      </c>
      <c r="C49" s="160">
        <f>C48-C47</f>
        <v>4.8105103611309222E-2</v>
      </c>
      <c r="E49" s="163" t="s">
        <v>263</v>
      </c>
      <c r="F49" s="160">
        <f>F48-F47</f>
        <v>4.8105103611309222E-2</v>
      </c>
    </row>
    <row r="50" spans="2:12" x14ac:dyDescent="0.25">
      <c r="B50" s="163" t="s">
        <v>264</v>
      </c>
      <c r="C50" s="164">
        <f>J25*(1+C39*(1-C43))</f>
        <v>0.23728019704590783</v>
      </c>
      <c r="E50" s="163" t="s">
        <v>288</v>
      </c>
      <c r="F50" s="164">
        <f>Beta!J15</f>
        <v>1.2168904950023181</v>
      </c>
    </row>
    <row r="51" spans="2:12" ht="15.75" thickBot="1" x14ac:dyDescent="0.3">
      <c r="B51" s="165" t="s">
        <v>260</v>
      </c>
      <c r="C51" s="365">
        <f>C47+(C50*C49)</f>
        <v>7.6534388463805267E-2</v>
      </c>
      <c r="E51" s="165" t="s">
        <v>260</v>
      </c>
      <c r="F51" s="365">
        <f>F47+(F50*F49)</f>
        <v>0.12365864334570387</v>
      </c>
    </row>
    <row r="52" spans="2:12" x14ac:dyDescent="0.25">
      <c r="B52" s="35"/>
      <c r="C52" s="157"/>
    </row>
    <row r="53" spans="2:12" x14ac:dyDescent="0.25">
      <c r="B53" s="166" t="s">
        <v>265</v>
      </c>
      <c r="C53" s="184">
        <f>(C51*C34)+(C44*C33)</f>
        <v>7.6486486453862523E-2</v>
      </c>
      <c r="E53" s="166" t="s">
        <v>265</v>
      </c>
      <c r="F53" s="184">
        <f>(F51*(1-C39))+(C39*C44)</f>
        <v>0.10941090763093389</v>
      </c>
    </row>
    <row r="55" spans="2:12" x14ac:dyDescent="0.25">
      <c r="B55" s="67"/>
      <c r="C55" s="67"/>
      <c r="D55" s="67"/>
      <c r="E55" s="67"/>
      <c r="F55" s="67"/>
      <c r="G55" s="67"/>
      <c r="H55" s="67"/>
      <c r="I55" s="67"/>
      <c r="J55" s="67"/>
      <c r="K55" s="67"/>
      <c r="L55" s="67"/>
    </row>
  </sheetData>
  <mergeCells count="7">
    <mergeCell ref="B46:C46"/>
    <mergeCell ref="E46:F46"/>
    <mergeCell ref="B10:J10"/>
    <mergeCell ref="B29:J29"/>
    <mergeCell ref="B31:C31"/>
    <mergeCell ref="B36:C36"/>
    <mergeCell ref="B41:C4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9"/>
  <sheetViews>
    <sheetView showGridLines="0" topLeftCell="A5" workbookViewId="0">
      <pane ySplit="9" topLeftCell="A40" activePane="bottomLeft" state="frozen"/>
      <selection activeCell="A5" sqref="A5"/>
      <selection pane="bottomLeft" activeCell="A50" sqref="A50"/>
    </sheetView>
  </sheetViews>
  <sheetFormatPr defaultRowHeight="15" x14ac:dyDescent="0.25"/>
  <cols>
    <col min="1" max="1" width="1.85546875" customWidth="1"/>
    <col min="2" max="2" width="31.5703125" bestFit="1" customWidth="1"/>
    <col min="3" max="3" width="16.7109375" customWidth="1"/>
    <col min="4" max="4" width="17.42578125" customWidth="1"/>
    <col min="5" max="5" width="20.28515625" customWidth="1"/>
    <col min="6" max="6" width="10.85546875" customWidth="1"/>
    <col min="7" max="8" width="10.7109375" bestFit="1" customWidth="1"/>
    <col min="9" max="9" width="11.140625" bestFit="1" customWidth="1"/>
    <col min="10" max="17" width="10.7109375" bestFit="1" customWidth="1"/>
    <col min="18" max="18" width="12.28515625" bestFit="1" customWidth="1"/>
  </cols>
  <sheetData>
    <row r="1" spans="2:18" x14ac:dyDescent="0.25">
      <c r="B1" s="67"/>
      <c r="C1" s="67"/>
      <c r="D1" s="67"/>
      <c r="E1" s="67"/>
      <c r="F1" s="67"/>
      <c r="G1" s="67"/>
      <c r="H1" s="67"/>
      <c r="I1" s="67"/>
      <c r="J1" s="67"/>
      <c r="K1" s="67"/>
      <c r="L1" s="67"/>
      <c r="M1" s="67"/>
      <c r="N1" s="67"/>
      <c r="O1" s="67"/>
      <c r="P1" s="67"/>
      <c r="Q1" s="67"/>
      <c r="R1" s="67"/>
    </row>
    <row r="9" spans="2:18" x14ac:dyDescent="0.25">
      <c r="B9" s="27" t="s">
        <v>344</v>
      </c>
    </row>
    <row r="10" spans="2:18" ht="15.75" x14ac:dyDescent="0.25">
      <c r="B10" s="474" t="s">
        <v>266</v>
      </c>
      <c r="C10" s="474"/>
      <c r="D10" s="474"/>
      <c r="E10" s="474"/>
      <c r="F10" s="474"/>
      <c r="G10" s="474"/>
      <c r="H10" s="474"/>
      <c r="I10" s="474"/>
      <c r="J10" s="474"/>
      <c r="K10" s="474"/>
      <c r="L10" s="474"/>
      <c r="M10" s="474"/>
      <c r="N10" s="474"/>
      <c r="O10" s="474"/>
      <c r="P10" s="474"/>
      <c r="Q10" s="474"/>
      <c r="R10" s="474"/>
    </row>
    <row r="11" spans="2:18" x14ac:dyDescent="0.25">
      <c r="B11" s="104" t="s">
        <v>206</v>
      </c>
    </row>
    <row r="12" spans="2:18" x14ac:dyDescent="0.25">
      <c r="B12" s="57" t="s">
        <v>0</v>
      </c>
      <c r="C12" s="57">
        <v>2021</v>
      </c>
      <c r="D12" s="57">
        <f>C12+1</f>
        <v>2022</v>
      </c>
      <c r="E12" s="57">
        <f t="shared" ref="E12:F12" si="0">D12+1</f>
        <v>2023</v>
      </c>
      <c r="F12" s="57">
        <f t="shared" si="0"/>
        <v>2024</v>
      </c>
      <c r="G12" s="57">
        <v>2025</v>
      </c>
      <c r="H12" s="57">
        <v>2026</v>
      </c>
      <c r="I12" s="57">
        <v>2027</v>
      </c>
      <c r="J12" s="57">
        <v>2028</v>
      </c>
      <c r="K12" s="57">
        <v>2029</v>
      </c>
      <c r="L12" s="57">
        <v>2030</v>
      </c>
      <c r="M12" s="57">
        <v>2031</v>
      </c>
      <c r="N12" s="57">
        <v>2032</v>
      </c>
      <c r="O12" s="57">
        <v>2033</v>
      </c>
      <c r="P12" s="57">
        <v>2034</v>
      </c>
      <c r="Q12" s="57">
        <v>2035</v>
      </c>
      <c r="R12" s="242"/>
    </row>
    <row r="13" spans="2:18" x14ac:dyDescent="0.25">
      <c r="B13" s="228"/>
      <c r="C13" s="56" t="s">
        <v>267</v>
      </c>
      <c r="D13" s="56" t="s">
        <v>267</v>
      </c>
      <c r="E13" s="56" t="s">
        <v>267</v>
      </c>
      <c r="F13" s="56" t="s">
        <v>267</v>
      </c>
      <c r="G13" s="56" t="s">
        <v>267</v>
      </c>
      <c r="H13" s="56" t="s">
        <v>83</v>
      </c>
      <c r="I13" s="56" t="s">
        <v>83</v>
      </c>
      <c r="J13" s="56" t="s">
        <v>83</v>
      </c>
      <c r="K13" s="56" t="s">
        <v>83</v>
      </c>
      <c r="L13" s="56" t="s">
        <v>83</v>
      </c>
      <c r="M13" s="56" t="s">
        <v>83</v>
      </c>
      <c r="N13" s="56" t="s">
        <v>83</v>
      </c>
      <c r="O13" s="56" t="s">
        <v>83</v>
      </c>
      <c r="P13" s="56" t="s">
        <v>83</v>
      </c>
      <c r="Q13" s="56" t="s">
        <v>83</v>
      </c>
      <c r="R13" s="55"/>
    </row>
    <row r="14" spans="2:18" x14ac:dyDescent="0.25">
      <c r="B14" s="358"/>
      <c r="C14" s="358"/>
      <c r="D14" s="358"/>
      <c r="E14" s="358"/>
      <c r="F14" s="358"/>
      <c r="G14" s="358" t="s">
        <v>268</v>
      </c>
      <c r="H14" s="358"/>
      <c r="I14" s="358"/>
      <c r="J14" s="358"/>
      <c r="K14" s="358"/>
      <c r="L14" s="358"/>
      <c r="M14" s="358"/>
      <c r="N14" s="358"/>
      <c r="O14" s="358"/>
      <c r="P14" s="358"/>
      <c r="Q14" s="358"/>
      <c r="R14" s="359" t="s">
        <v>269</v>
      </c>
    </row>
    <row r="15" spans="2:18" x14ac:dyDescent="0.25">
      <c r="B15" s="360" t="s">
        <v>270</v>
      </c>
      <c r="C15" s="360"/>
      <c r="D15" s="360"/>
      <c r="E15" s="360"/>
      <c r="F15" s="360"/>
      <c r="G15" s="361">
        <f>Assumption!C16</f>
        <v>45888</v>
      </c>
      <c r="H15" s="362">
        <f>DATE(YEAR(Assumption!$C$17)+DCF!H16,MONTH(Assumption!$C$17),DAY(Assumption!$C$17))</f>
        <v>46112</v>
      </c>
      <c r="I15" s="362">
        <f>DATE(YEAR(Assumption!$C$17)+DCF!I16,MONTH(Assumption!$C$17),DAY(Assumption!$C$17))</f>
        <v>46477</v>
      </c>
      <c r="J15" s="362">
        <f>DATE(YEAR(Assumption!$C$17)+DCF!J16,MONTH(Assumption!$C$17),DAY(Assumption!$C$17))</f>
        <v>46843</v>
      </c>
      <c r="K15" s="362">
        <f>DATE(YEAR(Assumption!$C$17)+DCF!K16,MONTH(Assumption!$C$17),DAY(Assumption!$C$17))</f>
        <v>47208</v>
      </c>
      <c r="L15" s="362">
        <f>DATE(YEAR(Assumption!$C$17)+DCF!L16,MONTH(Assumption!$C$17),DAY(Assumption!$C$17))</f>
        <v>47573</v>
      </c>
      <c r="M15" s="362">
        <f>DATE(YEAR(Assumption!$C$17)+DCF!M16,MONTH(Assumption!$C$17),DAY(Assumption!$C$17))</f>
        <v>47938</v>
      </c>
      <c r="N15" s="362">
        <f>DATE(YEAR(Assumption!$C$17)+DCF!N16,MONTH(Assumption!$C$17),DAY(Assumption!$C$17))</f>
        <v>48304</v>
      </c>
      <c r="O15" s="362">
        <f>DATE(YEAR(Assumption!$C$17)+DCF!O16,MONTH(Assumption!$C$17),DAY(Assumption!$C$17))</f>
        <v>48669</v>
      </c>
      <c r="P15" s="362">
        <f>DATE(YEAR(Assumption!$C$17)+DCF!P16,MONTH(Assumption!$C$17),DAY(Assumption!$C$17))</f>
        <v>49034</v>
      </c>
      <c r="Q15" s="362">
        <f>DATE(YEAR(Assumption!$C$17)+DCF!Q16,MONTH(Assumption!$C$17),DAY(Assumption!$C$17))</f>
        <v>49399</v>
      </c>
      <c r="R15" s="362">
        <f>Q15</f>
        <v>49399</v>
      </c>
    </row>
    <row r="16" spans="2:18" x14ac:dyDescent="0.25">
      <c r="B16" s="360" t="s">
        <v>271</v>
      </c>
      <c r="C16" s="360"/>
      <c r="D16" s="360"/>
      <c r="E16" s="360"/>
      <c r="F16" s="360"/>
      <c r="G16" s="360"/>
      <c r="H16" s="360">
        <v>0</v>
      </c>
      <c r="I16" s="360">
        <v>1</v>
      </c>
      <c r="J16" s="360">
        <v>2</v>
      </c>
      <c r="K16" s="360">
        <v>3</v>
      </c>
      <c r="L16" s="360">
        <v>4</v>
      </c>
      <c r="M16" s="360">
        <v>5</v>
      </c>
      <c r="N16" s="360">
        <v>6</v>
      </c>
      <c r="O16" s="360">
        <v>7</v>
      </c>
      <c r="P16" s="360">
        <v>8</v>
      </c>
      <c r="Q16" s="360">
        <v>9</v>
      </c>
      <c r="R16" s="360"/>
    </row>
    <row r="17" spans="2:18" x14ac:dyDescent="0.25">
      <c r="B17" s="363" t="s">
        <v>272</v>
      </c>
      <c r="C17" s="363">
        <v>0</v>
      </c>
      <c r="D17" s="363">
        <v>0</v>
      </c>
      <c r="E17" s="363">
        <v>0</v>
      </c>
      <c r="F17" s="363">
        <v>0</v>
      </c>
      <c r="G17" s="363">
        <v>0</v>
      </c>
      <c r="H17" s="364">
        <f>YEARFRAC(G15,H15)</f>
        <v>0.6166666666666667</v>
      </c>
      <c r="I17" s="363">
        <f t="shared" ref="I17:Q17" si="1">YEARFRAC(H15,I15)</f>
        <v>1</v>
      </c>
      <c r="J17" s="363">
        <f t="shared" si="1"/>
        <v>1</v>
      </c>
      <c r="K17" s="363">
        <f t="shared" si="1"/>
        <v>1</v>
      </c>
      <c r="L17" s="363">
        <f t="shared" si="1"/>
        <v>1</v>
      </c>
      <c r="M17" s="363">
        <f t="shared" si="1"/>
        <v>1</v>
      </c>
      <c r="N17" s="363">
        <f t="shared" si="1"/>
        <v>1</v>
      </c>
      <c r="O17" s="363">
        <f t="shared" si="1"/>
        <v>1</v>
      </c>
      <c r="P17" s="363">
        <f t="shared" si="1"/>
        <v>1</v>
      </c>
      <c r="Q17" s="363">
        <f t="shared" si="1"/>
        <v>1</v>
      </c>
      <c r="R17" s="363">
        <v>1</v>
      </c>
    </row>
    <row r="19" spans="2:18" x14ac:dyDescent="0.25">
      <c r="B19" s="1" t="s">
        <v>273</v>
      </c>
      <c r="C19" s="285">
        <f>'Income statement'!C26</f>
        <v>750.21999999999935</v>
      </c>
      <c r="D19" s="285">
        <f>'Income statement'!D26</f>
        <v>1473.7100000000003</v>
      </c>
      <c r="E19" s="285">
        <f>'Income statement'!E26</f>
        <v>778.52</v>
      </c>
      <c r="F19" s="285">
        <f>'Income statement'!F26</f>
        <v>596.03000000000031</v>
      </c>
      <c r="G19" s="285">
        <f>'Income statement'!G26</f>
        <v>566.18000000000075</v>
      </c>
      <c r="H19" s="285">
        <f>'Income statement'!H26</f>
        <v>1101.8733349077588</v>
      </c>
      <c r="I19" s="285">
        <f>'Income statement'!I26</f>
        <v>1261.0069745287387</v>
      </c>
      <c r="J19" s="285">
        <f>'Income statement'!J26</f>
        <v>1418.2162568277031</v>
      </c>
      <c r="K19" s="285">
        <f>'Income statement'!K26</f>
        <v>1571.5060639753819</v>
      </c>
      <c r="L19" s="285">
        <f>'Income statement'!L26</f>
        <v>1718.9510588118203</v>
      </c>
      <c r="M19" s="285">
        <f>'Income statement'!M26</f>
        <v>1858.7408106500159</v>
      </c>
      <c r="N19" s="285">
        <f>'Income statement'!N26</f>
        <v>1989.216095454643</v>
      </c>
      <c r="O19" s="285">
        <f>'Income statement'!O26</f>
        <v>2108.8961106674592</v>
      </c>
      <c r="P19" s="285">
        <f>'Income statement'!P26</f>
        <v>2216.4968677193074</v>
      </c>
      <c r="Q19" s="285">
        <f>'Income statement'!Q26</f>
        <v>2310.9414196010011</v>
      </c>
      <c r="R19" s="32"/>
    </row>
    <row r="20" spans="2:18" x14ac:dyDescent="0.25">
      <c r="B20" t="s">
        <v>246</v>
      </c>
      <c r="C20" s="336">
        <f>-C19*'Cost Build_up'!C39</f>
        <v>-146.002486795576</v>
      </c>
      <c r="D20" s="336">
        <f>-D19*'Cost Build_up'!D39</f>
        <v>-200.03533688007866</v>
      </c>
      <c r="E20" s="336">
        <f>-E19*'Cost Build_up'!E39</f>
        <v>-83.916073310423783</v>
      </c>
      <c r="F20" s="205">
        <f>-F19*'Cost Build_up'!F39</f>
        <v>31.729380152748988</v>
      </c>
      <c r="G20" s="205">
        <f>-G19*'Cost Build_up'!G39</f>
        <v>43.903743357606615</v>
      </c>
      <c r="H20" s="336">
        <f>-H19*'Cost Build_up'!H39</f>
        <v>-67.734289632845076</v>
      </c>
      <c r="I20" s="336">
        <f>-I19*'Cost Build_up'!I39</f>
        <v>-77.516542905466991</v>
      </c>
      <c r="J20" s="336">
        <f>-J19*'Cost Build_up'!J39</f>
        <v>-87.180502203566505</v>
      </c>
      <c r="K20" s="336">
        <f>-K19*'Cost Build_up'!K39</f>
        <v>-96.603523767086827</v>
      </c>
      <c r="L20" s="336">
        <f>-L19*'Cost Build_up'!L39</f>
        <v>-105.66725338896819</v>
      </c>
      <c r="M20" s="336">
        <f>-M19*'Cost Build_up'!M39</f>
        <v>-114.2604003857639</v>
      </c>
      <c r="N20" s="336">
        <f>-N19*'Cost Build_up'!N39</f>
        <v>-122.2809690399862</v>
      </c>
      <c r="O20" s="336">
        <f>-O19*'Cost Build_up'!O39</f>
        <v>-129.63793154817395</v>
      </c>
      <c r="P20" s="336">
        <f>-P19*'Cost Build_up'!P39</f>
        <v>-136.2523586442552</v>
      </c>
      <c r="Q20" s="336">
        <f>-Q19*'Cost Build_up'!Q39</f>
        <v>-142.0580483081533</v>
      </c>
      <c r="R20" s="32"/>
    </row>
    <row r="21" spans="2:18" x14ac:dyDescent="0.25">
      <c r="B21" s="9" t="s">
        <v>274</v>
      </c>
      <c r="C21" s="206">
        <f t="shared" ref="C21:F21" si="2">SUM(C19:C20)</f>
        <v>604.21751320442331</v>
      </c>
      <c r="D21" s="206">
        <f t="shared" si="2"/>
        <v>1273.6746631199217</v>
      </c>
      <c r="E21" s="206">
        <f t="shared" si="2"/>
        <v>694.60392668957616</v>
      </c>
      <c r="F21" s="206">
        <f t="shared" si="2"/>
        <v>627.75938015274926</v>
      </c>
      <c r="G21" s="206">
        <f>SUM(G19:G20)</f>
        <v>610.08374335760732</v>
      </c>
      <c r="H21" s="206">
        <f t="shared" ref="H21:Q21" si="3">SUM(H19:H20)</f>
        <v>1034.1390452749138</v>
      </c>
      <c r="I21" s="206">
        <f t="shared" si="3"/>
        <v>1183.4904316232717</v>
      </c>
      <c r="J21" s="206">
        <f t="shared" si="3"/>
        <v>1331.0357546241366</v>
      </c>
      <c r="K21" s="206">
        <f t="shared" si="3"/>
        <v>1474.902540208295</v>
      </c>
      <c r="L21" s="206">
        <f t="shared" si="3"/>
        <v>1613.2838054228521</v>
      </c>
      <c r="M21" s="206">
        <f t="shared" si="3"/>
        <v>1744.480410264252</v>
      </c>
      <c r="N21" s="206">
        <f t="shared" si="3"/>
        <v>1866.9351264146567</v>
      </c>
      <c r="O21" s="206">
        <f t="shared" si="3"/>
        <v>1979.2581791192852</v>
      </c>
      <c r="P21" s="206">
        <f t="shared" si="3"/>
        <v>2080.2445090750521</v>
      </c>
      <c r="Q21" s="206">
        <f t="shared" si="3"/>
        <v>2168.8833712928476</v>
      </c>
      <c r="R21" s="32"/>
    </row>
    <row r="22" spans="2:18" x14ac:dyDescent="0.25">
      <c r="B22" t="s">
        <v>275</v>
      </c>
      <c r="C22" s="310">
        <f>-'Income statement'!C24</f>
        <v>231.31</v>
      </c>
      <c r="D22" s="310">
        <f>-'Income statement'!D24</f>
        <v>246.4</v>
      </c>
      <c r="E22" s="310">
        <f>-'Income statement'!E24</f>
        <v>310.45</v>
      </c>
      <c r="F22" s="310">
        <f>-'Income statement'!F24</f>
        <v>378.12</v>
      </c>
      <c r="G22" s="310">
        <f>-'Income statement'!G24</f>
        <v>434.27</v>
      </c>
      <c r="H22" s="310">
        <f>-'Income statement'!H24</f>
        <v>469.52217767850595</v>
      </c>
      <c r="I22" s="310">
        <f>-'Income statement'!I24</f>
        <v>504.86252986527199</v>
      </c>
      <c r="J22" s="310">
        <f>-'Income statement'!J24</f>
        <v>548.71175491089889</v>
      </c>
      <c r="K22" s="310">
        <f>-'Income statement'!K24</f>
        <v>601.45653887063645</v>
      </c>
      <c r="L22" s="310">
        <f>-'Income statement'!L24</f>
        <v>663.41881364518963</v>
      </c>
      <c r="M22" s="310">
        <f>-'Income statement'!M24</f>
        <v>734.84978138035308</v>
      </c>
      <c r="N22" s="310">
        <f>-'Income statement'!N24</f>
        <v>815.92622549234909</v>
      </c>
      <c r="O22" s="310">
        <f>-'Income statement'!O24</f>
        <v>906.74901396137614</v>
      </c>
      <c r="P22" s="310">
        <f>-'Income statement'!P24</f>
        <v>1007.343616193539</v>
      </c>
      <c r="Q22" s="310">
        <f>-'Income statement'!Q24</f>
        <v>1117.6623942387303</v>
      </c>
      <c r="R22" s="32"/>
    </row>
    <row r="23" spans="2:18" x14ac:dyDescent="0.25">
      <c r="B23" t="s">
        <v>276</v>
      </c>
      <c r="C23" s="330">
        <f>'Cashflow Statement'!C37</f>
        <v>-1314.82</v>
      </c>
      <c r="D23" s="330">
        <f>'Cashflow Statement'!D37</f>
        <v>-1165.42</v>
      </c>
      <c r="E23" s="330">
        <f>'Cashflow Statement'!E37</f>
        <v>-1326.3</v>
      </c>
      <c r="F23" s="330">
        <f>'Cashflow Statement'!F37</f>
        <v>-1328.06</v>
      </c>
      <c r="G23" s="330">
        <f>'Cashflow Statement'!G37</f>
        <v>-1385.97</v>
      </c>
      <c r="H23" s="330">
        <f>'Cashflow Statement'!H37</f>
        <v>-1058.951838579557</v>
      </c>
      <c r="I23" s="330">
        <f>'Cashflow Statement'!I37</f>
        <v>-1236.2087743177065</v>
      </c>
      <c r="J23" s="330">
        <f>'Cashflow Statement'!J37</f>
        <v>-1428.4239875277935</v>
      </c>
      <c r="K23" s="330">
        <f>'Cashflow Statement'!K37</f>
        <v>-1634.9041518431886</v>
      </c>
      <c r="L23" s="330">
        <f>'Cashflow Statement'!L37</f>
        <v>-1854.7915217456446</v>
      </c>
      <c r="M23" s="330">
        <f>'Cashflow Statement'!M37</f>
        <v>-2087.09609481388</v>
      </c>
      <c r="N23" s="330">
        <f>'Cashflow Statement'!N37</f>
        <v>-2330.7284868414413</v>
      </c>
      <c r="O23" s="330">
        <f>'Cashflow Statement'!O37</f>
        <v>-2584.5320187494153</v>
      </c>
      <c r="P23" s="330">
        <f>'Cashflow Statement'!P37</f>
        <v>-2847.3128273250968</v>
      </c>
      <c r="Q23" s="330">
        <f>'Cashflow Statement'!Q37</f>
        <v>-3117.8671330365728</v>
      </c>
      <c r="R23" s="32"/>
    </row>
    <row r="24" spans="2:18" x14ac:dyDescent="0.25">
      <c r="B24" t="s">
        <v>277</v>
      </c>
      <c r="C24" s="330">
        <f>SUM('Cashflow Statement'!C28:C30)</f>
        <v>-7.230000000000004</v>
      </c>
      <c r="D24" s="330">
        <f>SUM('Cashflow Statement'!D28:D30)</f>
        <v>-955.44</v>
      </c>
      <c r="E24" s="330">
        <f>SUM('Cashflow Statement'!E28:E30)</f>
        <v>311.76</v>
      </c>
      <c r="F24" s="330">
        <f>SUM('Cashflow Statement'!F28:F30)</f>
        <v>322.5</v>
      </c>
      <c r="G24" s="330">
        <f>SUM('Cashflow Statement'!G28:G30)</f>
        <v>230.15999999999997</v>
      </c>
      <c r="H24" s="330">
        <f>SUM('Cashflow Statement'!H28:H30)</f>
        <v>-340.93310963616136</v>
      </c>
      <c r="I24" s="330">
        <f>SUM('Cashflow Statement'!I28:I30)</f>
        <v>65.059605892416357</v>
      </c>
      <c r="J24" s="330">
        <f>SUM('Cashflow Statement'!J28:J30)</f>
        <v>67.262399087731637</v>
      </c>
      <c r="K24" s="330">
        <f>SUM('Cashflow Statement'!K28:K30)</f>
        <v>68.92710522908942</v>
      </c>
      <c r="L24" s="330">
        <f>SUM('Cashflow Statement'!L28:L30)</f>
        <v>70.055405893897387</v>
      </c>
      <c r="M24" s="330">
        <f>SUM('Cashflow Statement'!M28:M30)</f>
        <v>70.662080024256284</v>
      </c>
      <c r="N24" s="330">
        <f>SUM('Cashflow Statement'!N28:N30)</f>
        <v>70.772816360869456</v>
      </c>
      <c r="O24" s="330">
        <f>SUM('Cashflow Statement'!O28:O30)</f>
        <v>70.421907420547996</v>
      </c>
      <c r="P24" s="330">
        <f>SUM('Cashflow Statement'!P28:P30)</f>
        <v>69.649971688957976</v>
      </c>
      <c r="Q24" s="330">
        <f>SUM('Cashflow Statement'!Q28:Q30)</f>
        <v>68.501815705164972</v>
      </c>
      <c r="R24" s="32"/>
    </row>
    <row r="25" spans="2:18" x14ac:dyDescent="0.25">
      <c r="B25" s="10" t="s">
        <v>278</v>
      </c>
      <c r="C25" s="343">
        <f t="shared" ref="C25:F25" si="4">SUM(C21:C24)</f>
        <v>-486.5224867955767</v>
      </c>
      <c r="D25" s="343">
        <f t="shared" si="4"/>
        <v>-600.78533688007838</v>
      </c>
      <c r="E25" s="343">
        <f t="shared" si="4"/>
        <v>-9.4860733104237625</v>
      </c>
      <c r="F25" s="343">
        <f t="shared" si="4"/>
        <v>0.31938015274931786</v>
      </c>
      <c r="G25" s="343">
        <f>SUM(G21:G24)</f>
        <v>-111.45625664239276</v>
      </c>
      <c r="H25" s="343">
        <f t="shared" ref="H25:Q25" si="5">SUM(H21:H24)</f>
        <v>103.77627473770144</v>
      </c>
      <c r="I25" s="47">
        <f t="shared" si="5"/>
        <v>517.20379306325367</v>
      </c>
      <c r="J25" s="47">
        <f t="shared" si="5"/>
        <v>518.58592109497363</v>
      </c>
      <c r="K25" s="47">
        <f t="shared" si="5"/>
        <v>510.38203246483204</v>
      </c>
      <c r="L25" s="47">
        <f t="shared" si="5"/>
        <v>491.96650321629454</v>
      </c>
      <c r="M25" s="47">
        <f t="shared" si="5"/>
        <v>462.8961768549816</v>
      </c>
      <c r="N25" s="47">
        <f t="shared" si="5"/>
        <v>422.90568142643406</v>
      </c>
      <c r="O25" s="47">
        <f t="shared" si="5"/>
        <v>371.89708175179385</v>
      </c>
      <c r="P25" s="47">
        <f t="shared" si="5"/>
        <v>309.92526963245245</v>
      </c>
      <c r="Q25" s="47">
        <f t="shared" si="5"/>
        <v>237.18044820016985</v>
      </c>
      <c r="R25" s="32"/>
    </row>
    <row r="26" spans="2:18" x14ac:dyDescent="0.25">
      <c r="G26" s="318"/>
      <c r="H26" s="318"/>
      <c r="I26" s="32"/>
      <c r="J26" s="32"/>
      <c r="K26" s="32"/>
      <c r="L26" s="32"/>
      <c r="M26" s="32"/>
      <c r="N26" s="32"/>
      <c r="O26" s="32"/>
      <c r="P26" s="32"/>
      <c r="Q26" s="32"/>
      <c r="R26" s="32"/>
    </row>
    <row r="27" spans="2:18" ht="15.75" thickBot="1" x14ac:dyDescent="0.3">
      <c r="B27" s="5" t="s">
        <v>279</v>
      </c>
      <c r="C27" s="323">
        <f t="shared" ref="C27:F27" si="6">C25*C17</f>
        <v>0</v>
      </c>
      <c r="D27" s="323">
        <f t="shared" si="6"/>
        <v>0</v>
      </c>
      <c r="E27" s="323">
        <f t="shared" si="6"/>
        <v>0</v>
      </c>
      <c r="F27" s="323">
        <f t="shared" si="6"/>
        <v>0</v>
      </c>
      <c r="G27" s="323">
        <f>G25*G17</f>
        <v>0</v>
      </c>
      <c r="H27" s="323">
        <f t="shared" ref="H27:Q27" si="7">H25*H17</f>
        <v>63.995369421582559</v>
      </c>
      <c r="I27" s="37">
        <f t="shared" si="7"/>
        <v>517.20379306325367</v>
      </c>
      <c r="J27" s="37">
        <f t="shared" si="7"/>
        <v>518.58592109497363</v>
      </c>
      <c r="K27" s="37">
        <f t="shared" si="7"/>
        <v>510.38203246483204</v>
      </c>
      <c r="L27" s="37">
        <f t="shared" si="7"/>
        <v>491.96650321629454</v>
      </c>
      <c r="M27" s="37">
        <f t="shared" si="7"/>
        <v>462.8961768549816</v>
      </c>
      <c r="N27" s="37">
        <f t="shared" si="7"/>
        <v>422.90568142643406</v>
      </c>
      <c r="O27" s="37">
        <f t="shared" si="7"/>
        <v>371.89708175179385</v>
      </c>
      <c r="P27" s="37">
        <f t="shared" si="7"/>
        <v>309.92526963245245</v>
      </c>
      <c r="Q27" s="37">
        <f t="shared" si="7"/>
        <v>237.18044820016985</v>
      </c>
      <c r="R27" s="37">
        <f>C37</f>
        <v>48881.452282284568</v>
      </c>
    </row>
    <row r="30" spans="2:18" ht="15.75" thickBot="1" x14ac:dyDescent="0.3">
      <c r="B30" s="174" t="s">
        <v>103</v>
      </c>
      <c r="C30" s="175">
        <f>Assumption!C21</f>
        <v>27.029874552432574</v>
      </c>
      <c r="E30" s="187"/>
      <c r="F30" s="187"/>
      <c r="H30" s="421" t="s">
        <v>293</v>
      </c>
      <c r="I30" s="421"/>
      <c r="J30" s="421"/>
      <c r="K30" s="421"/>
      <c r="L30" s="421"/>
      <c r="M30" s="421"/>
      <c r="N30" s="421"/>
    </row>
    <row r="31" spans="2:18" ht="15.75" thickBot="1" x14ac:dyDescent="0.3">
      <c r="B31" s="176" t="s">
        <v>104</v>
      </c>
      <c r="C31" s="177">
        <f>Assumption!C22</f>
        <v>0.06</v>
      </c>
      <c r="E31" s="187"/>
      <c r="F31" s="187"/>
    </row>
    <row r="32" spans="2:18" x14ac:dyDescent="0.25">
      <c r="B32" s="178" t="s">
        <v>105</v>
      </c>
      <c r="C32" s="357">
        <f>Assumption!C23</f>
        <v>0.10941090763093389</v>
      </c>
      <c r="E32" s="187"/>
      <c r="F32" s="187"/>
      <c r="H32" s="194"/>
      <c r="I32" s="195"/>
      <c r="J32" s="470" t="s">
        <v>104</v>
      </c>
      <c r="K32" s="470"/>
      <c r="L32" s="470"/>
      <c r="M32" s="470"/>
      <c r="N32" s="471"/>
    </row>
    <row r="33" spans="2:14" x14ac:dyDescent="0.25">
      <c r="H33" s="196"/>
      <c r="I33" s="193">
        <f>C47</f>
        <v>464.8218356198127</v>
      </c>
      <c r="J33" s="191">
        <v>0.04</v>
      </c>
      <c r="K33" s="191">
        <v>0.05</v>
      </c>
      <c r="L33" s="192">
        <v>0.06</v>
      </c>
      <c r="M33" s="191">
        <v>6.5000000000000002E-2</v>
      </c>
      <c r="N33" s="197">
        <v>7.0000000000000007E-2</v>
      </c>
    </row>
    <row r="34" spans="2:14" ht="15.75" thickBot="1" x14ac:dyDescent="0.3">
      <c r="B34" s="475" t="s">
        <v>280</v>
      </c>
      <c r="C34" s="475"/>
      <c r="E34" s="475" t="s">
        <v>289</v>
      </c>
      <c r="F34" s="475"/>
      <c r="H34" s="472" t="s">
        <v>105</v>
      </c>
      <c r="I34" s="190">
        <f>I35+2%</f>
        <v>0.14941090763093387</v>
      </c>
      <c r="J34" s="188">
        <f t="dataTable" ref="J34:N38" dt2D="1" dtr="1" r1="C31" r2="C32" ca="1"/>
        <v>301.88538091040414</v>
      </c>
      <c r="K34" s="188">
        <v>302.79086104734876</v>
      </c>
      <c r="L34" s="188">
        <v>303.89888473539622</v>
      </c>
      <c r="M34" s="188">
        <v>304.55134567674151</v>
      </c>
      <c r="N34" s="198">
        <v>305.28596925302071</v>
      </c>
    </row>
    <row r="35" spans="2:14" ht="15.75" thickTop="1" x14ac:dyDescent="0.25">
      <c r="B35" s="168" t="s">
        <v>220</v>
      </c>
      <c r="C35" s="169">
        <f>C30*(Q19+Q22)</f>
        <v>92674.730978079839</v>
      </c>
      <c r="E35" s="168" t="s">
        <v>290</v>
      </c>
      <c r="F35" s="185">
        <f>Assumption!C25</f>
        <v>389.45</v>
      </c>
      <c r="H35" s="472"/>
      <c r="I35" s="190">
        <f>I36+2%</f>
        <v>0.12941090763093388</v>
      </c>
      <c r="J35" s="188">
        <v>371.5152647334437</v>
      </c>
      <c r="K35" s="62">
        <v>373.12891650229591</v>
      </c>
      <c r="L35" s="62">
        <v>375.20752452195313</v>
      </c>
      <c r="M35" s="62">
        <v>376.48886145323581</v>
      </c>
      <c r="N35" s="198">
        <v>377.98587206842234</v>
      </c>
    </row>
    <row r="36" spans="2:14" x14ac:dyDescent="0.25">
      <c r="B36" s="170" t="s">
        <v>281</v>
      </c>
      <c r="C36" s="171">
        <f>Q27*(1+C31)/(C32-C31)</f>
        <v>5088.1735864892926</v>
      </c>
      <c r="E36" s="170" t="s">
        <v>291</v>
      </c>
      <c r="F36" s="171">
        <f>C47</f>
        <v>464.8218356198127</v>
      </c>
      <c r="H36" s="472"/>
      <c r="I36" s="190">
        <v>0.10941090763093389</v>
      </c>
      <c r="J36" s="188">
        <v>457.02818678666745</v>
      </c>
      <c r="K36" s="62">
        <v>460.26910060164141</v>
      </c>
      <c r="L36" s="62">
        <v>464.8218356198127</v>
      </c>
      <c r="M36" s="62">
        <v>467.86705732390919</v>
      </c>
      <c r="N36" s="198">
        <v>471.68496402491411</v>
      </c>
    </row>
    <row r="37" spans="2:14" ht="15.75" thickBot="1" x14ac:dyDescent="0.3">
      <c r="B37" s="172" t="s">
        <v>229</v>
      </c>
      <c r="C37" s="173">
        <f>AVERAGE(C35:C36)</f>
        <v>48881.452282284568</v>
      </c>
      <c r="E37" s="172" t="s">
        <v>292</v>
      </c>
      <c r="F37" s="186">
        <f>F36/F35-1</f>
        <v>0.19353404960794118</v>
      </c>
      <c r="H37" s="472"/>
      <c r="I37" s="190">
        <f>I36-1%</f>
        <v>9.9410907630933895E-2</v>
      </c>
      <c r="J37" s="188">
        <v>507.51923583161692</v>
      </c>
      <c r="K37" s="62">
        <v>512.44151616788986</v>
      </c>
      <c r="L37" s="62">
        <v>519.8617244292783</v>
      </c>
      <c r="M37" s="62">
        <v>525.18909371779091</v>
      </c>
      <c r="N37" s="198">
        <v>532.32782134837271</v>
      </c>
    </row>
    <row r="38" spans="2:14" ht="15.75" thickBot="1" x14ac:dyDescent="0.3">
      <c r="H38" s="473"/>
      <c r="I38" s="199">
        <v>7.6064732424862155E-2</v>
      </c>
      <c r="J38" s="189">
        <v>655.85621976383641</v>
      </c>
      <c r="K38" s="189">
        <v>674.3516434386255</v>
      </c>
      <c r="L38" s="189">
        <v>715.87318816621848</v>
      </c>
      <c r="M38" s="189">
        <v>764.77848074970086</v>
      </c>
      <c r="N38" s="200">
        <v>894.32260314040946</v>
      </c>
    </row>
    <row r="40" spans="2:14" ht="15.75" thickBot="1" x14ac:dyDescent="0.3">
      <c r="B40" s="475" t="s">
        <v>282</v>
      </c>
      <c r="C40" s="475"/>
      <c r="E40" s="187"/>
      <c r="F40" s="187"/>
    </row>
    <row r="41" spans="2:14" ht="15.75" thickTop="1" x14ac:dyDescent="0.25">
      <c r="B41" s="168" t="s">
        <v>283</v>
      </c>
      <c r="C41" s="179">
        <f>XNPV($C$32,G27:R27,G15:R15)</f>
        <v>20406.539759574407</v>
      </c>
      <c r="E41" s="187"/>
      <c r="F41" s="187"/>
      <c r="H41" s="194"/>
      <c r="I41" s="195"/>
      <c r="J41" s="470" t="s">
        <v>294</v>
      </c>
      <c r="K41" s="470"/>
      <c r="L41" s="470"/>
      <c r="M41" s="470"/>
      <c r="N41" s="471"/>
    </row>
    <row r="42" spans="2:14" x14ac:dyDescent="0.25">
      <c r="B42" s="6" t="s">
        <v>284</v>
      </c>
      <c r="C42" s="180">
        <f>'Comps '!I34</f>
        <v>295</v>
      </c>
      <c r="E42" s="187"/>
      <c r="F42" s="187"/>
      <c r="H42" s="196"/>
      <c r="I42" s="193">
        <f>C47</f>
        <v>464.8218356198127</v>
      </c>
      <c r="J42" s="201">
        <v>36</v>
      </c>
      <c r="K42" s="201">
        <v>32</v>
      </c>
      <c r="L42" s="203">
        <v>27.887049981788401</v>
      </c>
      <c r="M42" s="201">
        <v>23</v>
      </c>
      <c r="N42" s="202">
        <v>18.278025888350228</v>
      </c>
    </row>
    <row r="43" spans="2:14" x14ac:dyDescent="0.25">
      <c r="B43" s="6" t="s">
        <v>285</v>
      </c>
      <c r="C43" s="180">
        <f>-'Comps '!H34</f>
        <v>-3847</v>
      </c>
      <c r="E43" s="187"/>
      <c r="F43" s="187"/>
      <c r="H43" s="472" t="s">
        <v>105</v>
      </c>
      <c r="I43" s="190">
        <v>0.14510463964808201</v>
      </c>
      <c r="J43" s="188">
        <f t="dataTable" ref="J43:N47" dt2D="1" dtr="1" r1="C30" r2="C32"/>
        <v>433.20826776560654</v>
      </c>
      <c r="K43" s="188">
        <v>381.84208546115417</v>
      </c>
      <c r="L43" s="188">
        <v>329.02545035001481</v>
      </c>
      <c r="M43" s="188">
        <v>266.26817527613639</v>
      </c>
      <c r="N43" s="198">
        <v>205.63072951215977</v>
      </c>
    </row>
    <row r="44" spans="2:14" x14ac:dyDescent="0.25">
      <c r="B44" s="170" t="s">
        <v>286</v>
      </c>
      <c r="C44" s="183">
        <f>-'Balance Sheet'!G43</f>
        <v>-0.1</v>
      </c>
      <c r="E44" s="187"/>
      <c r="F44" s="187"/>
      <c r="H44" s="472"/>
      <c r="I44" s="190">
        <v>0.12510463964808202</v>
      </c>
      <c r="J44" s="188">
        <v>529.16666089151681</v>
      </c>
      <c r="K44" s="62">
        <v>468.31313760542469</v>
      </c>
      <c r="L44" s="62">
        <v>405.74126267848169</v>
      </c>
      <c r="M44" s="62">
        <v>331.39271021171766</v>
      </c>
      <c r="N44" s="198">
        <v>259.55551982181697</v>
      </c>
    </row>
    <row r="45" spans="2:14" ht="15.75" thickBot="1" x14ac:dyDescent="0.3">
      <c r="B45" s="172" t="s">
        <v>236</v>
      </c>
      <c r="C45" s="181">
        <f>SUM(C41:C44)</f>
        <v>16854.439759574409</v>
      </c>
      <c r="E45" s="187"/>
      <c r="F45" s="187"/>
      <c r="H45" s="472"/>
      <c r="I45" s="190">
        <v>0.10941090763093389</v>
      </c>
      <c r="J45" s="188">
        <v>621.03077956237667</v>
      </c>
      <c r="K45" s="62">
        <v>551.37336179017564</v>
      </c>
      <c r="L45" s="62">
        <v>479.74899236648889</v>
      </c>
      <c r="M45" s="62">
        <v>394.64417180272335</v>
      </c>
      <c r="N45" s="198">
        <v>312.41404095154684</v>
      </c>
    </row>
    <row r="46" spans="2:14" x14ac:dyDescent="0.25">
      <c r="E46" s="187"/>
      <c r="F46" s="187"/>
      <c r="H46" s="472"/>
      <c r="I46" s="190">
        <v>9.5104639648082037E-2</v>
      </c>
      <c r="J46" s="188">
        <v>723.67690164829833</v>
      </c>
      <c r="K46" s="62">
        <v>644.75657487646106</v>
      </c>
      <c r="L46" s="62">
        <v>563.60773501808785</v>
      </c>
      <c r="M46" s="62">
        <v>467.18583963982724</v>
      </c>
      <c r="N46" s="198">
        <v>374.0209046649382</v>
      </c>
    </row>
    <row r="47" spans="2:14" ht="15.75" thickBot="1" x14ac:dyDescent="0.3">
      <c r="B47" s="182" t="s">
        <v>287</v>
      </c>
      <c r="C47" s="204">
        <f>C45/Assumption!C24</f>
        <v>464.8218356198127</v>
      </c>
      <c r="E47" s="187"/>
      <c r="F47" s="187"/>
      <c r="H47" s="473"/>
      <c r="I47" s="199">
        <v>7.6064732424862155E-2</v>
      </c>
      <c r="J47" s="189">
        <v>925.38031780357448</v>
      </c>
      <c r="K47" s="189">
        <v>831.95592553081246</v>
      </c>
      <c r="L47" s="189">
        <v>735.89346155589647</v>
      </c>
      <c r="M47" s="189">
        <v>621.75104291709772</v>
      </c>
      <c r="N47" s="200">
        <v>511.46415248994902</v>
      </c>
    </row>
    <row r="48" spans="2:14" ht="15.75" thickTop="1" x14ac:dyDescent="0.25"/>
    <row r="49" spans="2:14" x14ac:dyDescent="0.25">
      <c r="B49" s="67"/>
      <c r="C49" s="67"/>
      <c r="D49" s="67"/>
      <c r="E49" s="67"/>
      <c r="F49" s="67"/>
      <c r="G49" s="67"/>
      <c r="H49" s="67"/>
      <c r="I49" s="67"/>
      <c r="J49" s="67"/>
      <c r="K49" s="67"/>
      <c r="L49" s="67"/>
      <c r="M49" s="67"/>
      <c r="N49" s="67"/>
    </row>
  </sheetData>
  <mergeCells count="9">
    <mergeCell ref="J41:N41"/>
    <mergeCell ref="H43:H47"/>
    <mergeCell ref="B10:R10"/>
    <mergeCell ref="B34:C34"/>
    <mergeCell ref="B40:C40"/>
    <mergeCell ref="E34:F34"/>
    <mergeCell ref="H30:N30"/>
    <mergeCell ref="J32:N32"/>
    <mergeCell ref="H34:H3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7"/>
  <sheetViews>
    <sheetView showGridLines="0" topLeftCell="B9" workbookViewId="0">
      <selection activeCell="F33" sqref="F33"/>
    </sheetView>
  </sheetViews>
  <sheetFormatPr defaultRowHeight="15" x14ac:dyDescent="0.25"/>
  <cols>
    <col min="1" max="1" width="1.85546875" customWidth="1"/>
    <col min="4" max="4" width="9.140625" hidden="1" customWidth="1"/>
    <col min="5" max="5" width="14.42578125" bestFit="1" customWidth="1"/>
    <col min="6" max="6" width="14.85546875" bestFit="1" customWidth="1"/>
    <col min="7" max="7" width="27.140625" customWidth="1"/>
    <col min="8" max="8" width="15.85546875" bestFit="1" customWidth="1"/>
    <col min="9" max="9" width="17.5703125" bestFit="1" customWidth="1"/>
    <col min="10" max="10" width="14.5703125" bestFit="1" customWidth="1"/>
    <col min="11" max="11" width="17.5703125" bestFit="1" customWidth="1"/>
  </cols>
  <sheetData>
    <row r="1" spans="2:9" x14ac:dyDescent="0.25">
      <c r="B1" s="67"/>
      <c r="C1" s="67"/>
      <c r="D1" s="67"/>
      <c r="E1" s="67"/>
      <c r="F1" s="67"/>
      <c r="G1" s="67"/>
      <c r="H1" s="67"/>
      <c r="I1" s="67"/>
    </row>
    <row r="9" spans="2:9" x14ac:dyDescent="0.25">
      <c r="B9" s="27" t="s">
        <v>344</v>
      </c>
    </row>
    <row r="10" spans="2:9" x14ac:dyDescent="0.25">
      <c r="B10" s="405" t="s">
        <v>299</v>
      </c>
      <c r="C10" s="405"/>
      <c r="D10" s="405"/>
      <c r="E10" s="405"/>
      <c r="F10" s="405"/>
      <c r="G10" s="405"/>
      <c r="H10" s="405"/>
      <c r="I10" s="405"/>
    </row>
    <row r="11" spans="2:9" ht="15.75" thickBot="1" x14ac:dyDescent="0.3"/>
    <row r="12" spans="2:9" x14ac:dyDescent="0.25">
      <c r="B12" s="224" t="s">
        <v>300</v>
      </c>
      <c r="C12" s="225"/>
      <c r="D12" s="225"/>
      <c r="E12" s="225"/>
      <c r="F12" s="225"/>
      <c r="G12" s="225"/>
      <c r="H12" s="225"/>
      <c r="I12" s="226"/>
    </row>
    <row r="13" spans="2:9" ht="15.75" thickBot="1" x14ac:dyDescent="0.3">
      <c r="B13" s="211"/>
      <c r="C13" s="5"/>
      <c r="D13" s="5"/>
      <c r="E13" s="212" t="s">
        <v>301</v>
      </c>
      <c r="F13" s="212" t="s">
        <v>302</v>
      </c>
      <c r="G13" s="212" t="s">
        <v>413</v>
      </c>
      <c r="H13" s="212" t="s">
        <v>303</v>
      </c>
      <c r="I13" s="213" t="s">
        <v>304</v>
      </c>
    </row>
    <row r="14" spans="2:9" x14ac:dyDescent="0.25">
      <c r="B14" s="214" t="s">
        <v>227</v>
      </c>
      <c r="C14" s="215"/>
      <c r="D14" s="215"/>
      <c r="E14" s="216">
        <v>1343.5717566682622</v>
      </c>
      <c r="F14" s="216">
        <v>1337.4393467819784</v>
      </c>
      <c r="G14" s="216">
        <v>2172</v>
      </c>
      <c r="H14" s="216">
        <v>766</v>
      </c>
      <c r="I14" s="217">
        <v>625</v>
      </c>
    </row>
    <row r="15" spans="2:9" x14ac:dyDescent="0.25">
      <c r="B15" s="218" t="s">
        <v>227</v>
      </c>
      <c r="C15" s="6"/>
      <c r="D15" s="6"/>
      <c r="E15" s="113">
        <f t="shared" ref="E15:I15" si="0">E14</f>
        <v>1343.5717566682622</v>
      </c>
      <c r="F15" s="113">
        <f t="shared" si="0"/>
        <v>1337.4393467819784</v>
      </c>
      <c r="G15" s="113">
        <f t="shared" si="0"/>
        <v>2172</v>
      </c>
      <c r="H15" s="113">
        <f t="shared" si="0"/>
        <v>766</v>
      </c>
      <c r="I15" s="219">
        <f t="shared" si="0"/>
        <v>625</v>
      </c>
    </row>
    <row r="16" spans="2:9" x14ac:dyDescent="0.25">
      <c r="B16" s="218" t="s">
        <v>232</v>
      </c>
      <c r="C16" s="6"/>
      <c r="D16" s="6"/>
      <c r="E16" s="132">
        <v>435.57919208837177</v>
      </c>
      <c r="F16" s="113">
        <v>483.02775119612562</v>
      </c>
      <c r="G16" s="113">
        <v>89</v>
      </c>
      <c r="H16" s="113">
        <v>344</v>
      </c>
      <c r="I16" s="219">
        <v>370</v>
      </c>
    </row>
    <row r="17" spans="2:9" ht="15.75" thickBot="1" x14ac:dyDescent="0.3">
      <c r="B17" s="220" t="s">
        <v>232</v>
      </c>
      <c r="C17" s="221"/>
      <c r="D17" s="221"/>
      <c r="E17" s="222">
        <f t="shared" ref="E17:I17" si="1">E16</f>
        <v>435.57919208837177</v>
      </c>
      <c r="F17" s="222">
        <f t="shared" si="1"/>
        <v>483.02775119612562</v>
      </c>
      <c r="G17" s="222">
        <f t="shared" si="1"/>
        <v>89</v>
      </c>
      <c r="H17" s="222">
        <f t="shared" si="1"/>
        <v>344</v>
      </c>
      <c r="I17" s="223">
        <f t="shared" si="1"/>
        <v>370</v>
      </c>
    </row>
  </sheetData>
  <mergeCells count="1">
    <mergeCell ref="B10:I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L82"/>
  <sheetViews>
    <sheetView showGridLines="0" topLeftCell="A3" workbookViewId="0">
      <pane ySplit="9" topLeftCell="A42" activePane="bottomLeft" state="frozen"/>
      <selection activeCell="A3" sqref="A3"/>
      <selection pane="bottomLeft" activeCell="A42" sqref="A42"/>
    </sheetView>
  </sheetViews>
  <sheetFormatPr defaultRowHeight="15" x14ac:dyDescent="0.25"/>
  <cols>
    <col min="1" max="1" width="1.85546875" customWidth="1"/>
    <col min="3" max="7" width="8.42578125" customWidth="1"/>
    <col min="8" max="19" width="11.140625" bestFit="1" customWidth="1"/>
    <col min="20" max="20" width="2.85546875" customWidth="1"/>
    <col min="38" max="38" width="31.5703125" customWidth="1"/>
  </cols>
  <sheetData>
    <row r="1" spans="2:38" ht="5.25" customHeight="1" x14ac:dyDescent="0.25">
      <c r="B1" s="67"/>
      <c r="C1" s="67"/>
      <c r="D1" s="67"/>
      <c r="E1" s="67"/>
      <c r="F1" s="67"/>
      <c r="G1" s="67"/>
      <c r="H1" s="67"/>
      <c r="I1" s="67"/>
      <c r="J1" s="67"/>
      <c r="K1" s="67"/>
      <c r="L1" s="67"/>
      <c r="M1" s="67"/>
      <c r="N1" s="67"/>
      <c r="O1" s="67"/>
      <c r="P1" s="67"/>
      <c r="Q1" s="67"/>
      <c r="R1" s="67"/>
      <c r="S1" s="67"/>
    </row>
    <row r="7" spans="2:38" x14ac:dyDescent="0.25">
      <c r="B7" s="27" t="s">
        <v>344</v>
      </c>
    </row>
    <row r="8" spans="2:38" x14ac:dyDescent="0.25">
      <c r="B8" s="405" t="s">
        <v>347</v>
      </c>
      <c r="C8" s="405"/>
      <c r="D8" s="405"/>
      <c r="E8" s="405"/>
      <c r="F8" s="405"/>
      <c r="G8" s="405"/>
      <c r="H8" s="405"/>
      <c r="I8" s="405"/>
      <c r="J8" s="405"/>
      <c r="K8" s="405"/>
      <c r="L8" s="405"/>
      <c r="M8" s="405"/>
      <c r="N8" s="405"/>
      <c r="O8" s="405"/>
      <c r="P8" s="405"/>
      <c r="Q8" s="405"/>
      <c r="R8" s="405"/>
      <c r="S8" s="405"/>
    </row>
    <row r="10" spans="2:38" x14ac:dyDescent="0.25">
      <c r="B10" s="57" t="s">
        <v>0</v>
      </c>
      <c r="C10" s="57"/>
      <c r="D10" s="57"/>
      <c r="E10" s="57">
        <v>2021</v>
      </c>
      <c r="F10" s="57">
        <f>E10+1</f>
        <v>2022</v>
      </c>
      <c r="G10" s="57">
        <f t="shared" ref="G10:I10" si="0">F10+1</f>
        <v>2023</v>
      </c>
      <c r="H10" s="57">
        <f t="shared" si="0"/>
        <v>2024</v>
      </c>
      <c r="I10" s="57">
        <f t="shared" si="0"/>
        <v>2025</v>
      </c>
      <c r="J10" s="57">
        <f>I10+1</f>
        <v>2026</v>
      </c>
      <c r="K10" s="57">
        <f t="shared" ref="K10:S10" si="1">J10+1</f>
        <v>2027</v>
      </c>
      <c r="L10" s="57">
        <f t="shared" si="1"/>
        <v>2028</v>
      </c>
      <c r="M10" s="57">
        <f t="shared" si="1"/>
        <v>2029</v>
      </c>
      <c r="N10" s="57">
        <f t="shared" si="1"/>
        <v>2030</v>
      </c>
      <c r="O10" s="57">
        <f t="shared" si="1"/>
        <v>2031</v>
      </c>
      <c r="P10" s="57">
        <f t="shared" si="1"/>
        <v>2032</v>
      </c>
      <c r="Q10" s="57">
        <f t="shared" si="1"/>
        <v>2033</v>
      </c>
      <c r="R10" s="57">
        <f t="shared" si="1"/>
        <v>2034</v>
      </c>
      <c r="S10" s="57">
        <f t="shared" si="1"/>
        <v>2035</v>
      </c>
    </row>
    <row r="11" spans="2:38" x14ac:dyDescent="0.25">
      <c r="B11" s="228"/>
      <c r="C11" s="228"/>
      <c r="D11" s="228"/>
      <c r="E11" s="229" t="s">
        <v>82</v>
      </c>
      <c r="F11" s="229" t="s">
        <v>82</v>
      </c>
      <c r="G11" s="229" t="s">
        <v>82</v>
      </c>
      <c r="H11" s="229" t="s">
        <v>82</v>
      </c>
      <c r="I11" s="229" t="s">
        <v>82</v>
      </c>
      <c r="J11" s="229" t="s">
        <v>83</v>
      </c>
      <c r="K11" s="229" t="s">
        <v>83</v>
      </c>
      <c r="L11" s="229" t="s">
        <v>83</v>
      </c>
      <c r="M11" s="229" t="s">
        <v>83</v>
      </c>
      <c r="N11" s="229" t="s">
        <v>83</v>
      </c>
      <c r="O11" s="229" t="s">
        <v>83</v>
      </c>
      <c r="P11" s="229" t="s">
        <v>83</v>
      </c>
      <c r="Q11" s="229" t="s">
        <v>83</v>
      </c>
      <c r="R11" s="229" t="s">
        <v>83</v>
      </c>
      <c r="S11" s="229" t="s">
        <v>83</v>
      </c>
    </row>
    <row r="13" spans="2:38" ht="15.75" x14ac:dyDescent="0.25">
      <c r="B13" s="481" t="s">
        <v>306</v>
      </c>
      <c r="C13" s="481"/>
      <c r="D13" s="481"/>
      <c r="E13" s="481"/>
      <c r="F13" s="481"/>
      <c r="G13" s="481"/>
      <c r="H13" s="481"/>
      <c r="I13" s="481"/>
      <c r="J13" s="481"/>
      <c r="K13" s="481"/>
      <c r="L13" s="481"/>
      <c r="M13" s="481"/>
      <c r="N13" s="481"/>
      <c r="O13" s="481"/>
      <c r="P13" s="481"/>
      <c r="Q13" s="481"/>
      <c r="R13" s="481"/>
      <c r="S13" s="481"/>
      <c r="U13" s="405" t="s">
        <v>351</v>
      </c>
      <c r="V13" s="405"/>
      <c r="W13" s="405"/>
      <c r="X13" s="405"/>
      <c r="Y13" s="405"/>
      <c r="Z13" s="405"/>
      <c r="AA13" s="405"/>
      <c r="AB13" s="405"/>
      <c r="AC13" s="405"/>
      <c r="AD13" s="405"/>
      <c r="AE13" s="405"/>
      <c r="AF13" s="405"/>
      <c r="AG13" s="405"/>
      <c r="AH13" s="405"/>
      <c r="AI13" s="405"/>
      <c r="AJ13" s="405"/>
      <c r="AK13" s="405"/>
      <c r="AL13" s="405"/>
    </row>
    <row r="15" spans="2:38" ht="15" customHeight="1" x14ac:dyDescent="0.25">
      <c r="B15" s="477" t="s">
        <v>123</v>
      </c>
      <c r="C15" s="477"/>
      <c r="D15" s="477"/>
      <c r="E15" s="243">
        <f>'Income statement'!C16</f>
        <v>0.52762699451854145</v>
      </c>
      <c r="F15" s="243">
        <f>'Income statement'!D16</f>
        <v>0.53094317485305265</v>
      </c>
      <c r="G15" s="243">
        <f>'Income statement'!E16</f>
        <v>0.41956280652345368</v>
      </c>
      <c r="H15" s="243">
        <f>'Income statement'!F16</f>
        <v>0.390676210209079</v>
      </c>
      <c r="I15" s="243">
        <f>'Income statement'!G16</f>
        <v>0.35979712074286385</v>
      </c>
      <c r="J15" s="243">
        <f>'Income statement'!H16</f>
        <v>0.44572126136939805</v>
      </c>
      <c r="K15" s="243">
        <f>'Income statement'!I16</f>
        <v>0.44572126136939799</v>
      </c>
      <c r="L15" s="243">
        <f>'Income statement'!J16</f>
        <v>0.44572126136939799</v>
      </c>
      <c r="M15" s="243">
        <f>'Income statement'!K16</f>
        <v>0.44572126136939805</v>
      </c>
      <c r="N15" s="243">
        <f>'Income statement'!L16</f>
        <v>0.44572126136939799</v>
      </c>
      <c r="O15" s="243">
        <f>'Income statement'!M16</f>
        <v>0.4457212613693981</v>
      </c>
      <c r="P15" s="243">
        <f>'Income statement'!N16</f>
        <v>0.44572126136939799</v>
      </c>
      <c r="Q15" s="243">
        <f>'Income statement'!O16</f>
        <v>0.44572126136939799</v>
      </c>
      <c r="R15" s="243">
        <f>'Income statement'!P16</f>
        <v>0.44572126136939794</v>
      </c>
      <c r="S15" s="243">
        <f>'Income statement'!Q16</f>
        <v>0.44572126136939805</v>
      </c>
      <c r="U15" s="478" t="s">
        <v>471</v>
      </c>
      <c r="V15" s="479"/>
      <c r="W15" s="479"/>
      <c r="X15" s="479"/>
      <c r="Y15" s="479"/>
      <c r="Z15" s="479"/>
      <c r="AA15" s="479"/>
      <c r="AB15" s="479"/>
      <c r="AC15" s="479"/>
      <c r="AD15" s="479"/>
      <c r="AE15" s="479"/>
      <c r="AF15" s="479"/>
      <c r="AG15" s="479"/>
      <c r="AH15" s="479"/>
      <c r="AI15" s="479"/>
      <c r="AJ15" s="479"/>
      <c r="AK15" s="479"/>
      <c r="AL15" s="480"/>
    </row>
    <row r="16" spans="2:38" x14ac:dyDescent="0.25">
      <c r="B16" s="240"/>
      <c r="C16" s="19"/>
      <c r="D16" s="19"/>
      <c r="E16" s="31"/>
      <c r="F16" s="31"/>
      <c r="G16" s="31"/>
      <c r="H16" s="31"/>
      <c r="I16" s="31"/>
      <c r="J16" s="31"/>
      <c r="K16" s="31"/>
      <c r="L16" s="31"/>
      <c r="M16" s="31"/>
      <c r="N16" s="31"/>
      <c r="O16" s="31"/>
      <c r="P16" s="31"/>
      <c r="Q16" s="31"/>
      <c r="R16" s="31"/>
      <c r="S16" s="31"/>
      <c r="U16" s="478"/>
      <c r="V16" s="479"/>
      <c r="W16" s="479"/>
      <c r="X16" s="479"/>
      <c r="Y16" s="479"/>
      <c r="Z16" s="479"/>
      <c r="AA16" s="479"/>
      <c r="AB16" s="479"/>
      <c r="AC16" s="479"/>
      <c r="AD16" s="479"/>
      <c r="AE16" s="479"/>
      <c r="AF16" s="479"/>
      <c r="AG16" s="479"/>
      <c r="AH16" s="479"/>
      <c r="AI16" s="479"/>
      <c r="AJ16" s="479"/>
      <c r="AK16" s="479"/>
      <c r="AL16" s="480"/>
    </row>
    <row r="17" spans="2:38" ht="15" customHeight="1" x14ac:dyDescent="0.25">
      <c r="B17" s="477" t="s">
        <v>127</v>
      </c>
      <c r="C17" s="477"/>
      <c r="D17" s="477"/>
      <c r="E17" s="243">
        <f>'Income statement'!C22</f>
        <v>0.21782250726792557</v>
      </c>
      <c r="F17" s="243">
        <f>'Income statement'!D22</f>
        <v>0.28265667133896755</v>
      </c>
      <c r="G17" s="243">
        <f>'Income statement'!E22</f>
        <v>0.16453227127268991</v>
      </c>
      <c r="H17" s="243">
        <f>'Income statement'!F22</f>
        <v>0.15290858290952475</v>
      </c>
      <c r="I17" s="243">
        <f>'Income statement'!G22</f>
        <v>0.13758849837443557</v>
      </c>
      <c r="J17" s="243">
        <f>'Income statement'!H22</f>
        <v>0.19110170623270861</v>
      </c>
      <c r="K17" s="243">
        <f>'Income statement'!I22</f>
        <v>0.19110170623270858</v>
      </c>
      <c r="L17" s="243">
        <f>'Income statement'!J22</f>
        <v>0.19110170623270856</v>
      </c>
      <c r="M17" s="243">
        <f>'Income statement'!K22</f>
        <v>0.19110170623270864</v>
      </c>
      <c r="N17" s="243">
        <f>'Income statement'!L22</f>
        <v>0.19110170623270858</v>
      </c>
      <c r="O17" s="243">
        <f>'Income statement'!M22</f>
        <v>0.19110170623270867</v>
      </c>
      <c r="P17" s="243">
        <f>'Income statement'!N22</f>
        <v>0.19110170623270858</v>
      </c>
      <c r="Q17" s="243">
        <f>'Income statement'!O22</f>
        <v>0.19110170623270856</v>
      </c>
      <c r="R17" s="243">
        <f>'Income statement'!P22</f>
        <v>0.19110170623270856</v>
      </c>
      <c r="S17" s="243">
        <f>'Income statement'!Q22</f>
        <v>0.19110170623270858</v>
      </c>
      <c r="U17" s="486" t="s">
        <v>472</v>
      </c>
      <c r="V17" s="487"/>
      <c r="W17" s="487"/>
      <c r="X17" s="487"/>
      <c r="Y17" s="487"/>
      <c r="Z17" s="487"/>
      <c r="AA17" s="487"/>
      <c r="AB17" s="487"/>
      <c r="AC17" s="487"/>
      <c r="AD17" s="487"/>
      <c r="AE17" s="487"/>
      <c r="AF17" s="487"/>
      <c r="AG17" s="487"/>
      <c r="AH17" s="487"/>
      <c r="AI17" s="487"/>
      <c r="AJ17" s="487"/>
      <c r="AK17" s="487"/>
      <c r="AL17" s="488"/>
    </row>
    <row r="18" spans="2:38" x14ac:dyDescent="0.25">
      <c r="B18" s="240"/>
      <c r="C18" s="19"/>
      <c r="D18" s="19"/>
      <c r="E18" s="31"/>
      <c r="F18" s="31"/>
      <c r="G18" s="31"/>
      <c r="H18" s="31"/>
      <c r="I18" s="31"/>
      <c r="J18" s="31"/>
      <c r="K18" s="31"/>
      <c r="L18" s="31"/>
      <c r="M18" s="31"/>
      <c r="N18" s="31"/>
      <c r="O18" s="31"/>
      <c r="P18" s="31"/>
      <c r="Q18" s="31"/>
      <c r="R18" s="31"/>
      <c r="S18" s="31"/>
      <c r="U18" s="486"/>
      <c r="V18" s="487"/>
      <c r="W18" s="487"/>
      <c r="X18" s="487"/>
      <c r="Y18" s="487"/>
      <c r="Z18" s="487"/>
      <c r="AA18" s="487"/>
      <c r="AB18" s="487"/>
      <c r="AC18" s="487"/>
      <c r="AD18" s="487"/>
      <c r="AE18" s="487"/>
      <c r="AF18" s="487"/>
      <c r="AG18" s="487"/>
      <c r="AH18" s="487"/>
      <c r="AI18" s="487"/>
      <c r="AJ18" s="487"/>
      <c r="AK18" s="487"/>
      <c r="AL18" s="488"/>
    </row>
    <row r="19" spans="2:38" ht="15" customHeight="1" x14ac:dyDescent="0.25">
      <c r="B19" s="477" t="s">
        <v>307</v>
      </c>
      <c r="C19" s="477"/>
      <c r="D19" s="477"/>
      <c r="E19" s="243">
        <f>'Income statement'!C27</f>
        <v>0.16648986928829795</v>
      </c>
      <c r="F19" s="243">
        <f>'Income statement'!D27</f>
        <v>0.24216704926949428</v>
      </c>
      <c r="G19" s="243">
        <f>'Income statement'!E27</f>
        <v>0.11762643950817245</v>
      </c>
      <c r="H19" s="243">
        <f>'Income statement'!F27</f>
        <v>9.3556539210146339E-2</v>
      </c>
      <c r="I19" s="243">
        <f>'Income statement'!G27</f>
        <v>7.7864816842059051E-2</v>
      </c>
      <c r="J19" s="243">
        <f>'Income statement'!H27</f>
        <v>0.13400183000817742</v>
      </c>
      <c r="K19" s="243">
        <f>'Income statement'!I27</f>
        <v>0.13646568096009132</v>
      </c>
      <c r="L19" s="243">
        <f>'Income statement'!J27</f>
        <v>0.13779027237869107</v>
      </c>
      <c r="M19" s="243">
        <f>'Income statement'!K27</f>
        <v>0.13820646972359557</v>
      </c>
      <c r="N19" s="243">
        <f>'Income statement'!L27</f>
        <v>0.13788559201794875</v>
      </c>
      <c r="O19" s="243">
        <f>'Income statement'!M27</f>
        <v>0.13695628810926336</v>
      </c>
      <c r="P19" s="243">
        <f>'Income statement'!N27</f>
        <v>0.13551632908900532</v>
      </c>
      <c r="Q19" s="243">
        <f>'Income statement'!O27</f>
        <v>0.13364093862525592</v>
      </c>
      <c r="R19" s="243">
        <f>'Income statement'!P27</f>
        <v>0.13138873818176938</v>
      </c>
      <c r="S19" s="243">
        <f>'Income statement'!Q27</f>
        <v>0.12880603075425287</v>
      </c>
      <c r="U19" s="486" t="s">
        <v>485</v>
      </c>
      <c r="V19" s="487"/>
      <c r="W19" s="487"/>
      <c r="X19" s="487"/>
      <c r="Y19" s="487"/>
      <c r="Z19" s="487"/>
      <c r="AA19" s="487"/>
      <c r="AB19" s="487"/>
      <c r="AC19" s="487"/>
      <c r="AD19" s="487"/>
      <c r="AE19" s="487"/>
      <c r="AF19" s="487"/>
      <c r="AG19" s="487"/>
      <c r="AH19" s="487"/>
      <c r="AI19" s="487"/>
      <c r="AJ19" s="487"/>
      <c r="AK19" s="487"/>
      <c r="AL19" s="488"/>
    </row>
    <row r="20" spans="2:38" x14ac:dyDescent="0.25">
      <c r="B20" s="240"/>
      <c r="C20" s="19"/>
      <c r="D20" s="19"/>
      <c r="E20" s="31"/>
      <c r="F20" s="31"/>
      <c r="G20" s="31"/>
      <c r="H20" s="31"/>
      <c r="I20" s="31"/>
      <c r="J20" s="31"/>
      <c r="K20" s="31"/>
      <c r="L20" s="31"/>
      <c r="M20" s="31"/>
      <c r="N20" s="31"/>
      <c r="O20" s="31"/>
      <c r="P20" s="31"/>
      <c r="Q20" s="31"/>
      <c r="R20" s="31"/>
      <c r="S20" s="31"/>
      <c r="U20" s="486"/>
      <c r="V20" s="487"/>
      <c r="W20" s="487"/>
      <c r="X20" s="487"/>
      <c r="Y20" s="487"/>
      <c r="Z20" s="487"/>
      <c r="AA20" s="487"/>
      <c r="AB20" s="487"/>
      <c r="AC20" s="487"/>
      <c r="AD20" s="487"/>
      <c r="AE20" s="487"/>
      <c r="AF20" s="487"/>
      <c r="AG20" s="487"/>
      <c r="AH20" s="487"/>
      <c r="AI20" s="487"/>
      <c r="AJ20" s="487"/>
      <c r="AK20" s="487"/>
      <c r="AL20" s="488"/>
    </row>
    <row r="21" spans="2:38" ht="15" customHeight="1" x14ac:dyDescent="0.25">
      <c r="B21" s="477" t="s">
        <v>308</v>
      </c>
      <c r="C21" s="477"/>
      <c r="D21" s="477"/>
      <c r="E21" s="243">
        <f>'Income statement'!C37</f>
        <v>0.14747786334080457</v>
      </c>
      <c r="F21" s="243">
        <f>'Income statement'!D37</f>
        <v>0.22547822614702798</v>
      </c>
      <c r="G21" s="243">
        <f>'Income statement'!E37</f>
        <v>9.2330983383142606E-2</v>
      </c>
      <c r="H21" s="243">
        <f>'Income statement'!F37</f>
        <v>6.2067558234444702E-2</v>
      </c>
      <c r="I21" s="243">
        <f>'Income statement'!G37</f>
        <v>4.2252300820208817E-2</v>
      </c>
      <c r="J21" s="243">
        <f>'Income statement'!H37</f>
        <v>0.10499626697681104</v>
      </c>
      <c r="K21" s="243">
        <f>'Income statement'!I37</f>
        <v>0.10875328196634215</v>
      </c>
      <c r="L21" s="243">
        <f>'Income statement'!J37</f>
        <v>0.10982433273591923</v>
      </c>
      <c r="M21" s="243">
        <f>'Income statement'!K37</f>
        <v>0.11000325903949135</v>
      </c>
      <c r="N21" s="243">
        <f>'Income statement'!L37</f>
        <v>0.10946060996039499</v>
      </c>
      <c r="O21" s="243">
        <f>'Income statement'!M37</f>
        <v>0.10832426099480406</v>
      </c>
      <c r="P21" s="243">
        <f>'Income statement'!N37</f>
        <v>0.10669121358881067</v>
      </c>
      <c r="Q21" s="243">
        <f>'Income statement'!O37</f>
        <v>0.1046359315269145</v>
      </c>
      <c r="R21" s="243">
        <f>'Income statement'!P37</f>
        <v>0.10221629121495059</v>
      </c>
      <c r="S21" s="243">
        <f>'Income statement'!Q37</f>
        <v>9.9477869567229371E-2</v>
      </c>
      <c r="U21" s="486" t="s">
        <v>486</v>
      </c>
      <c r="V21" s="487"/>
      <c r="W21" s="487"/>
      <c r="X21" s="487"/>
      <c r="Y21" s="487"/>
      <c r="Z21" s="487"/>
      <c r="AA21" s="487"/>
      <c r="AB21" s="487"/>
      <c r="AC21" s="487"/>
      <c r="AD21" s="487"/>
      <c r="AE21" s="487"/>
      <c r="AF21" s="487"/>
      <c r="AG21" s="487"/>
      <c r="AH21" s="487"/>
      <c r="AI21" s="487"/>
      <c r="AJ21" s="487"/>
      <c r="AK21" s="487"/>
      <c r="AL21" s="488"/>
    </row>
    <row r="22" spans="2:38" x14ac:dyDescent="0.25">
      <c r="B22" s="240"/>
      <c r="C22" s="19"/>
      <c r="D22" s="19"/>
      <c r="E22" s="31"/>
      <c r="F22" s="31"/>
      <c r="G22" s="31"/>
      <c r="H22" s="31"/>
      <c r="I22" s="31"/>
      <c r="J22" s="31"/>
      <c r="K22" s="31"/>
      <c r="L22" s="31"/>
      <c r="M22" s="31"/>
      <c r="N22" s="31"/>
      <c r="O22" s="31"/>
      <c r="P22" s="31"/>
      <c r="Q22" s="31"/>
      <c r="R22" s="31"/>
      <c r="S22" s="31"/>
      <c r="U22" s="486"/>
      <c r="V22" s="487"/>
      <c r="W22" s="487"/>
      <c r="X22" s="487"/>
      <c r="Y22" s="487"/>
      <c r="Z22" s="487"/>
      <c r="AA22" s="487"/>
      <c r="AB22" s="487"/>
      <c r="AC22" s="487"/>
      <c r="AD22" s="487"/>
      <c r="AE22" s="487"/>
      <c r="AF22" s="487"/>
      <c r="AG22" s="487"/>
      <c r="AH22" s="487"/>
      <c r="AI22" s="487"/>
      <c r="AJ22" s="487"/>
      <c r="AK22" s="487"/>
      <c r="AL22" s="488"/>
    </row>
    <row r="23" spans="2:38" ht="15" customHeight="1" x14ac:dyDescent="0.25">
      <c r="B23" s="477" t="s">
        <v>96</v>
      </c>
      <c r="C23" s="477"/>
      <c r="D23" s="477"/>
      <c r="E23" s="243">
        <f>'Cost Build_up'!C39</f>
        <v>0.19461289594462441</v>
      </c>
      <c r="F23" s="243">
        <f>'Cost Build_up'!D39</f>
        <v>0.13573588893342559</v>
      </c>
      <c r="G23" s="243">
        <f>'Cost Build_up'!E39</f>
        <v>0.10778923253150052</v>
      </c>
      <c r="H23" s="243">
        <f>'Cost Build_up'!F39</f>
        <v>-5.3234535430681296E-2</v>
      </c>
      <c r="I23" s="243">
        <f>'Cost Build_up'!G39</f>
        <v>-7.7543790592402698E-2</v>
      </c>
      <c r="J23" s="243">
        <f>'Cost Build_up'!H39</f>
        <v>6.1471938277293303E-2</v>
      </c>
      <c r="K23" s="243">
        <f>'Cost Build_up'!I39</f>
        <v>6.1471938277293303E-2</v>
      </c>
      <c r="L23" s="243">
        <f>'Cost Build_up'!J39</f>
        <v>6.1471938277293303E-2</v>
      </c>
      <c r="M23" s="243">
        <f>'Cost Build_up'!K39</f>
        <v>6.1471938277293303E-2</v>
      </c>
      <c r="N23" s="243">
        <f>'Cost Build_up'!L39</f>
        <v>6.1471938277293303E-2</v>
      </c>
      <c r="O23" s="243">
        <f>'Cost Build_up'!M39</f>
        <v>6.1471938277293303E-2</v>
      </c>
      <c r="P23" s="243">
        <f>'Cost Build_up'!N39</f>
        <v>6.1471938277293303E-2</v>
      </c>
      <c r="Q23" s="243">
        <f>'Cost Build_up'!O39</f>
        <v>6.1471938277293303E-2</v>
      </c>
      <c r="R23" s="243">
        <f>'Cost Build_up'!P39</f>
        <v>6.1471938277293303E-2</v>
      </c>
      <c r="S23" s="243">
        <f>'Cost Build_up'!Q39</f>
        <v>6.1471938277293303E-2</v>
      </c>
      <c r="U23" s="486" t="s">
        <v>487</v>
      </c>
      <c r="V23" s="487"/>
      <c r="W23" s="487"/>
      <c r="X23" s="487"/>
      <c r="Y23" s="487"/>
      <c r="Z23" s="487"/>
      <c r="AA23" s="487"/>
      <c r="AB23" s="487"/>
      <c r="AC23" s="487"/>
      <c r="AD23" s="487"/>
      <c r="AE23" s="487"/>
      <c r="AF23" s="487"/>
      <c r="AG23" s="487"/>
      <c r="AH23" s="487"/>
      <c r="AI23" s="487"/>
      <c r="AJ23" s="487"/>
      <c r="AK23" s="487"/>
      <c r="AL23" s="488"/>
    </row>
    <row r="24" spans="2:38" x14ac:dyDescent="0.25">
      <c r="B24" s="240"/>
      <c r="C24" s="19"/>
      <c r="D24" s="19"/>
      <c r="E24" s="31"/>
      <c r="F24" s="31"/>
      <c r="G24" s="31"/>
      <c r="H24" s="31"/>
      <c r="I24" s="31"/>
      <c r="J24" s="31"/>
      <c r="K24" s="31"/>
      <c r="L24" s="31"/>
      <c r="M24" s="31"/>
      <c r="N24" s="31"/>
      <c r="O24" s="31"/>
      <c r="P24" s="31"/>
      <c r="Q24" s="31"/>
      <c r="R24" s="31"/>
      <c r="S24" s="31"/>
      <c r="U24" s="486"/>
      <c r="V24" s="487"/>
      <c r="W24" s="487"/>
      <c r="X24" s="487"/>
      <c r="Y24" s="487"/>
      <c r="Z24" s="487"/>
      <c r="AA24" s="487"/>
      <c r="AB24" s="487"/>
      <c r="AC24" s="487"/>
      <c r="AD24" s="487"/>
      <c r="AE24" s="487"/>
      <c r="AF24" s="487"/>
      <c r="AG24" s="487"/>
      <c r="AH24" s="487"/>
      <c r="AI24" s="487"/>
      <c r="AJ24" s="487"/>
      <c r="AK24" s="487"/>
      <c r="AL24" s="488"/>
    </row>
    <row r="25" spans="2:38" ht="15" customHeight="1" x14ac:dyDescent="0.25">
      <c r="B25" s="477" t="s">
        <v>137</v>
      </c>
      <c r="C25" s="477"/>
      <c r="D25" s="477"/>
      <c r="E25" s="137">
        <f>'Income statement'!C45</f>
        <v>0.11616919287188465</v>
      </c>
      <c r="F25" s="137">
        <f>'Income statement'!D45</f>
        <v>0.19483494398990392</v>
      </c>
      <c r="G25" s="137">
        <f>'Income statement'!E45</f>
        <v>8.2378697545394938E-2</v>
      </c>
      <c r="H25" s="137">
        <f>'Income statement'!F45</f>
        <v>6.5371695862372126E-2</v>
      </c>
      <c r="I25" s="137">
        <f>'Income statement'!G45</f>
        <v>4.5503429913688401E-2</v>
      </c>
      <c r="J25" s="137">
        <f>'Income statement'!H45</f>
        <v>9.8541942933866297E-2</v>
      </c>
      <c r="K25" s="137">
        <f>'Income statement'!I45</f>
        <v>0.1020680069298541</v>
      </c>
      <c r="L25" s="137">
        <f>'Income statement'!J45</f>
        <v>0.10307321813263187</v>
      </c>
      <c r="M25" s="137">
        <f>'Income statement'!K45</f>
        <v>0.10324114548951463</v>
      </c>
      <c r="N25" s="137">
        <f>'Income statement'!L45</f>
        <v>0.10273185410111471</v>
      </c>
      <c r="O25" s="137">
        <f>'Income statement'!M45</f>
        <v>0.10166535870899805</v>
      </c>
      <c r="P25" s="137">
        <f>'Income statement'!N45</f>
        <v>0.10013269789234978</v>
      </c>
      <c r="Q25" s="137">
        <f>'Income statement'!O45</f>
        <v>9.8203758002504929E-2</v>
      </c>
      <c r="R25" s="137">
        <f>'Income statement'!P45</f>
        <v>9.5932857670451316E-2</v>
      </c>
      <c r="S25" s="137">
        <f>'Income statement'!Q45</f>
        <v>9.336277210923602E-2</v>
      </c>
      <c r="U25" s="486" t="s">
        <v>488</v>
      </c>
      <c r="V25" s="487"/>
      <c r="W25" s="487"/>
      <c r="X25" s="487"/>
      <c r="Y25" s="487"/>
      <c r="Z25" s="487"/>
      <c r="AA25" s="487"/>
      <c r="AB25" s="487"/>
      <c r="AC25" s="487"/>
      <c r="AD25" s="487"/>
      <c r="AE25" s="487"/>
      <c r="AF25" s="487"/>
      <c r="AG25" s="487"/>
      <c r="AH25" s="487"/>
      <c r="AI25" s="487"/>
      <c r="AJ25" s="487"/>
      <c r="AK25" s="487"/>
      <c r="AL25" s="488"/>
    </row>
    <row r="26" spans="2:38" x14ac:dyDescent="0.25">
      <c r="B26" s="240"/>
      <c r="C26" s="19"/>
      <c r="D26" s="19"/>
      <c r="E26" s="31"/>
      <c r="F26" s="31"/>
      <c r="G26" s="31"/>
      <c r="H26" s="31"/>
      <c r="I26" s="31"/>
      <c r="J26" s="31"/>
      <c r="K26" s="31"/>
      <c r="L26" s="31"/>
      <c r="M26" s="31"/>
      <c r="N26" s="31"/>
      <c r="O26" s="31"/>
      <c r="P26" s="31"/>
      <c r="Q26" s="31"/>
      <c r="R26" s="31"/>
      <c r="S26" s="31"/>
      <c r="U26" s="486"/>
      <c r="V26" s="487"/>
      <c r="W26" s="487"/>
      <c r="X26" s="487"/>
      <c r="Y26" s="487"/>
      <c r="Z26" s="487"/>
      <c r="AA26" s="487"/>
      <c r="AB26" s="487"/>
      <c r="AC26" s="487"/>
      <c r="AD26" s="487"/>
      <c r="AE26" s="487"/>
      <c r="AF26" s="487"/>
      <c r="AG26" s="487"/>
      <c r="AH26" s="487"/>
      <c r="AI26" s="487"/>
      <c r="AJ26" s="487"/>
      <c r="AK26" s="487"/>
      <c r="AL26" s="488"/>
    </row>
    <row r="27" spans="2:38" ht="15" customHeight="1" x14ac:dyDescent="0.25">
      <c r="B27" s="477" t="s">
        <v>309</v>
      </c>
      <c r="C27" s="477"/>
      <c r="D27" s="477"/>
      <c r="E27" s="137">
        <f>'Income statement'!C44/'Balance Sheet'!C44</f>
        <v>0.14891867749221918</v>
      </c>
      <c r="F27" s="137">
        <f>'Income statement'!D44/'Balance Sheet'!D44</f>
        <v>0.26250802577102761</v>
      </c>
      <c r="G27" s="137">
        <f>'Income statement'!E44/'Balance Sheet'!E44</f>
        <v>0.11080108925377988</v>
      </c>
      <c r="H27" s="137">
        <f>'Income statement'!F44/'Balance Sheet'!F44</f>
        <v>7.8720496589162872E-2</v>
      </c>
      <c r="I27" s="137">
        <f>'Income statement'!G44/'Balance Sheet'!G44</f>
        <v>5.9028905199082417E-2</v>
      </c>
      <c r="J27" s="137">
        <f>'Income statement'!H44/'Balance Sheet'!H44</f>
        <v>0.12824625851810262</v>
      </c>
      <c r="K27" s="137">
        <f>'Income statement'!I44/'Balance Sheet'!I44</f>
        <v>0.13194080813609596</v>
      </c>
      <c r="L27" s="137">
        <f>'Income statement'!J44/'Balance Sheet'!J44</f>
        <v>0.13126532821245596</v>
      </c>
      <c r="M27" s="137">
        <f>'Income statement'!K44/'Balance Sheet'!K44</f>
        <v>0.12878786219556063</v>
      </c>
      <c r="N27" s="137">
        <f>'Income statement'!L44/'Balance Sheet'!L44</f>
        <v>0.12504051300571192</v>
      </c>
      <c r="O27" s="137">
        <f>'Income statement'!M44/'Balance Sheet'!M44</f>
        <v>0.12043455698963675</v>
      </c>
      <c r="P27" s="137">
        <f>'Income statement'!N44/'Balance Sheet'!N44</f>
        <v>0.11527809643747018</v>
      </c>
      <c r="Q27" s="137">
        <f>'Income statement'!O44/'Balance Sheet'!O44</f>
        <v>0.10979664226986945</v>
      </c>
      <c r="R27" s="137">
        <f>'Income statement'!P44/'Balance Sheet'!P44</f>
        <v>0.10415211332242638</v>
      </c>
      <c r="S27" s="137">
        <f>'Income statement'!Q44/'Balance Sheet'!Q44</f>
        <v>9.8458641371805378E-2</v>
      </c>
      <c r="U27" s="489" t="s">
        <v>489</v>
      </c>
      <c r="V27" s="490"/>
      <c r="W27" s="490"/>
      <c r="X27" s="490"/>
      <c r="Y27" s="490"/>
      <c r="Z27" s="490"/>
      <c r="AA27" s="490"/>
      <c r="AB27" s="490"/>
      <c r="AC27" s="490"/>
      <c r="AD27" s="490"/>
      <c r="AE27" s="490"/>
      <c r="AF27" s="490"/>
      <c r="AG27" s="490"/>
      <c r="AH27" s="490"/>
      <c r="AI27" s="490"/>
      <c r="AJ27" s="490"/>
      <c r="AK27" s="490"/>
      <c r="AL27" s="491"/>
    </row>
    <row r="28" spans="2:38" x14ac:dyDescent="0.25">
      <c r="B28" s="240"/>
      <c r="C28" s="19"/>
      <c r="D28" s="19"/>
      <c r="E28" s="31"/>
      <c r="F28" s="31"/>
      <c r="G28" s="31"/>
      <c r="H28" s="31"/>
      <c r="I28" s="31"/>
      <c r="J28" s="31"/>
      <c r="K28" s="31"/>
      <c r="L28" s="31"/>
      <c r="M28" s="31"/>
      <c r="N28" s="31"/>
      <c r="O28" s="31"/>
      <c r="P28" s="31"/>
      <c r="Q28" s="31"/>
      <c r="R28" s="31"/>
      <c r="S28" s="31"/>
      <c r="U28" s="489"/>
      <c r="V28" s="490"/>
      <c r="W28" s="490"/>
      <c r="X28" s="490"/>
      <c r="Y28" s="490"/>
      <c r="Z28" s="490"/>
      <c r="AA28" s="490"/>
      <c r="AB28" s="490"/>
      <c r="AC28" s="490"/>
      <c r="AD28" s="490"/>
      <c r="AE28" s="490"/>
      <c r="AF28" s="490"/>
      <c r="AG28" s="490"/>
      <c r="AH28" s="490"/>
      <c r="AI28" s="490"/>
      <c r="AJ28" s="490"/>
      <c r="AK28" s="490"/>
      <c r="AL28" s="491"/>
    </row>
    <row r="29" spans="2:38" ht="15" customHeight="1" x14ac:dyDescent="0.25">
      <c r="B29" s="477" t="s">
        <v>310</v>
      </c>
      <c r="C29" s="477"/>
      <c r="D29" s="477"/>
      <c r="E29" s="137">
        <f>'Income statement'!C26/('Balance Sheet'!C37-'Balance Sheet'!C65)</f>
        <v>0.14312969089237118</v>
      </c>
      <c r="F29" s="137">
        <f>'Income statement'!D26/('Balance Sheet'!D37-'Balance Sheet'!D65)</f>
        <v>0.25922596850681801</v>
      </c>
      <c r="G29" s="137">
        <f>'Income statement'!E26/('Balance Sheet'!E37-'Balance Sheet'!E65)</f>
        <v>0.13428361488759102</v>
      </c>
      <c r="H29" s="137">
        <f>'Income statement'!F26/('Balance Sheet'!F37-'Balance Sheet'!F65)</f>
        <v>8.4510656881316745E-2</v>
      </c>
      <c r="I29" s="137">
        <f>'Income statement'!G26/('Balance Sheet'!G37-'Balance Sheet'!G65)</f>
        <v>7.4038330770277008E-2</v>
      </c>
      <c r="J29" s="137">
        <f>'Income statement'!H26/('Balance Sheet'!H37-'Balance Sheet'!H65)</f>
        <v>0.13116919638906085</v>
      </c>
      <c r="K29" s="137">
        <f>'Income statement'!I26/('Balance Sheet'!I37-'Balance Sheet'!I65)</f>
        <v>0.13290334088561698</v>
      </c>
      <c r="L29" s="137">
        <f>'Income statement'!J26/('Balance Sheet'!J37-'Balance Sheet'!J65)</f>
        <v>0.13268933948995185</v>
      </c>
      <c r="M29" s="137">
        <f>'Income statement'!K26/('Balance Sheet'!K37-'Balance Sheet'!K65)</f>
        <v>0.13101979142312517</v>
      </c>
      <c r="N29" s="137">
        <f>'Income statement'!L26/('Balance Sheet'!L37-'Balance Sheet'!L65)</f>
        <v>0.12828915615586184</v>
      </c>
      <c r="O29" s="137">
        <f>'Income statement'!M26/('Balance Sheet'!M37-'Balance Sheet'!M65)</f>
        <v>0.12480422558080409</v>
      </c>
      <c r="P29" s="137">
        <f>'Income statement'!N26/('Balance Sheet'!N37-'Balance Sheet'!N65)</f>
        <v>0.12079899898709318</v>
      </c>
      <c r="Q29" s="137">
        <f>'Income statement'!O26/('Balance Sheet'!O37-'Balance Sheet'!O65)</f>
        <v>0.11644954301509904</v>
      </c>
      <c r="R29" s="137">
        <f>'Income statement'!P26/('Balance Sheet'!P37-'Balance Sheet'!P65)</f>
        <v>0.11188697876320318</v>
      </c>
      <c r="S29" s="137">
        <f>'Income statement'!Q26/('Balance Sheet'!Q37-'Balance Sheet'!Q65)</f>
        <v>0.10720808553157481</v>
      </c>
      <c r="U29" s="486" t="s">
        <v>490</v>
      </c>
      <c r="V29" s="487"/>
      <c r="W29" s="487"/>
      <c r="X29" s="487"/>
      <c r="Y29" s="487"/>
      <c r="Z29" s="487"/>
      <c r="AA29" s="487"/>
      <c r="AB29" s="487"/>
      <c r="AC29" s="487"/>
      <c r="AD29" s="487"/>
      <c r="AE29" s="487"/>
      <c r="AF29" s="487"/>
      <c r="AG29" s="487"/>
      <c r="AH29" s="487"/>
      <c r="AI29" s="487"/>
      <c r="AJ29" s="487"/>
      <c r="AK29" s="487"/>
      <c r="AL29" s="488"/>
    </row>
    <row r="30" spans="2:38" x14ac:dyDescent="0.25">
      <c r="B30" s="240"/>
      <c r="C30" s="19"/>
      <c r="D30" s="19"/>
      <c r="E30" s="46"/>
      <c r="F30" s="46"/>
      <c r="G30" s="46"/>
      <c r="H30" s="46"/>
      <c r="I30" s="46"/>
      <c r="J30" s="46"/>
      <c r="K30" s="46"/>
      <c r="L30" s="46"/>
      <c r="M30" s="46"/>
      <c r="N30" s="46"/>
      <c r="O30" s="46"/>
      <c r="P30" s="46"/>
      <c r="Q30" s="46"/>
      <c r="R30" s="46"/>
      <c r="S30" s="46"/>
      <c r="U30" s="486"/>
      <c r="V30" s="487"/>
      <c r="W30" s="487"/>
      <c r="X30" s="487"/>
      <c r="Y30" s="487"/>
      <c r="Z30" s="487"/>
      <c r="AA30" s="487"/>
      <c r="AB30" s="487"/>
      <c r="AC30" s="487"/>
      <c r="AD30" s="487"/>
      <c r="AE30" s="487"/>
      <c r="AF30" s="487"/>
      <c r="AG30" s="487"/>
      <c r="AH30" s="487"/>
      <c r="AI30" s="487"/>
      <c r="AJ30" s="487"/>
      <c r="AK30" s="487"/>
      <c r="AL30" s="488"/>
    </row>
    <row r="31" spans="2:38" ht="15" customHeight="1" x14ac:dyDescent="0.25">
      <c r="B31" s="477" t="s">
        <v>311</v>
      </c>
      <c r="C31" s="477"/>
      <c r="D31" s="477"/>
      <c r="E31" s="137">
        <f>'Income statement'!C44/'Balance Sheet'!C37</f>
        <v>6.8501952450246456E-2</v>
      </c>
      <c r="F31" s="137">
        <f>'Income statement'!D44/'Balance Sheet'!D37</f>
        <v>0.15102748930348803</v>
      </c>
      <c r="G31" s="137">
        <f>'Income statement'!E44/'Balance Sheet'!E37</f>
        <v>6.3539955016373578E-2</v>
      </c>
      <c r="H31" s="137">
        <f>'Income statement'!F44/'Balance Sheet'!F37</f>
        <v>4.117281271595042E-2</v>
      </c>
      <c r="I31" s="137">
        <f>'Income statement'!G44/'Balance Sheet'!G37</f>
        <v>2.977184546390349E-2</v>
      </c>
      <c r="J31" s="137">
        <f>'Income statement'!H44/'Balance Sheet'!H37</f>
        <v>6.6832319359213854E-2</v>
      </c>
      <c r="K31" s="137">
        <f>'Income statement'!I44/'Balance Sheet'!I37</f>
        <v>6.8980057605642242E-2</v>
      </c>
      <c r="L31" s="137">
        <f>'Income statement'!J44/'Balance Sheet'!J37</f>
        <v>6.9115759725980705E-2</v>
      </c>
      <c r="M31" s="137">
        <f>'Income statement'!K44/'Balance Sheet'!K37</f>
        <v>6.8474921714214973E-2</v>
      </c>
      <c r="N31" s="137">
        <f>'Income statement'!L44/'Balance Sheet'!L37</f>
        <v>6.724726628249808E-2</v>
      </c>
      <c r="O31" s="137">
        <f>'Income statement'!M44/'Balance Sheet'!M37</f>
        <v>6.5580435995617428E-2</v>
      </c>
      <c r="P31" s="137">
        <f>'Income statement'!N44/'Balance Sheet'!N37</f>
        <v>6.3588292786878664E-2</v>
      </c>
      <c r="Q31" s="137">
        <f>'Income statement'!O44/'Balance Sheet'!O37</f>
        <v>6.1358185515146817E-2</v>
      </c>
      <c r="R31" s="137">
        <f>'Income statement'!P44/'Balance Sheet'!P37</f>
        <v>5.8956915160150877E-2</v>
      </c>
      <c r="S31" s="137">
        <f>'Income statement'!Q44/'Balance Sheet'!Q37</f>
        <v>5.6435455538594317E-2</v>
      </c>
      <c r="U31" s="486" t="s">
        <v>491</v>
      </c>
      <c r="V31" s="487"/>
      <c r="W31" s="487"/>
      <c r="X31" s="487"/>
      <c r="Y31" s="487"/>
      <c r="Z31" s="487"/>
      <c r="AA31" s="487"/>
      <c r="AB31" s="487"/>
      <c r="AC31" s="487"/>
      <c r="AD31" s="487"/>
      <c r="AE31" s="487"/>
      <c r="AF31" s="487"/>
      <c r="AG31" s="487"/>
      <c r="AH31" s="487"/>
      <c r="AI31" s="487"/>
      <c r="AJ31" s="487"/>
      <c r="AK31" s="487"/>
      <c r="AL31" s="488"/>
    </row>
    <row r="32" spans="2:38" x14ac:dyDescent="0.25">
      <c r="U32" s="486"/>
      <c r="V32" s="487"/>
      <c r="W32" s="487"/>
      <c r="X32" s="487"/>
      <c r="Y32" s="487"/>
      <c r="Z32" s="487"/>
      <c r="AA32" s="487"/>
      <c r="AB32" s="487"/>
      <c r="AC32" s="487"/>
      <c r="AD32" s="487"/>
      <c r="AE32" s="487"/>
      <c r="AF32" s="487"/>
      <c r="AG32" s="487"/>
      <c r="AH32" s="487"/>
      <c r="AI32" s="487"/>
      <c r="AJ32" s="487"/>
      <c r="AK32" s="487"/>
      <c r="AL32" s="488"/>
    </row>
    <row r="34" spans="2:38" ht="15.75" customHeight="1" x14ac:dyDescent="0.25">
      <c r="B34" s="476" t="s">
        <v>312</v>
      </c>
      <c r="C34" s="476"/>
      <c r="D34" s="476"/>
      <c r="E34" s="476"/>
      <c r="F34" s="476"/>
      <c r="G34" s="476"/>
      <c r="H34" s="476"/>
      <c r="I34" s="476"/>
      <c r="J34" s="476"/>
      <c r="K34" s="476"/>
      <c r="L34" s="476"/>
      <c r="M34" s="476"/>
      <c r="N34" s="476"/>
      <c r="O34" s="476"/>
      <c r="P34" s="476"/>
      <c r="Q34" s="476"/>
      <c r="R34" s="476"/>
      <c r="S34" s="476"/>
      <c r="U34" s="67"/>
      <c r="V34" s="67"/>
      <c r="W34" s="67"/>
      <c r="X34" s="67"/>
      <c r="Y34" s="67"/>
      <c r="Z34" s="67"/>
      <c r="AA34" s="67"/>
      <c r="AB34" s="67"/>
      <c r="AC34" s="67"/>
      <c r="AD34" s="67"/>
      <c r="AE34" s="67"/>
      <c r="AF34" s="67"/>
      <c r="AG34" s="67"/>
      <c r="AH34" s="67"/>
      <c r="AI34" s="67"/>
      <c r="AJ34" s="67"/>
      <c r="AK34" s="67"/>
      <c r="AL34" s="67"/>
    </row>
    <row r="37" spans="2:38" ht="15" customHeight="1" x14ac:dyDescent="0.25">
      <c r="B37" s="477" t="s">
        <v>313</v>
      </c>
      <c r="C37" s="477"/>
      <c r="D37" s="477"/>
      <c r="E37" s="115">
        <f>'Balance Sheet'!C35/'Balance Sheet'!C65</f>
        <v>0.98644245752331117</v>
      </c>
      <c r="F37" s="115">
        <f>'Balance Sheet'!D35/'Balance Sheet'!D65</f>
        <v>1.2461986008819526</v>
      </c>
      <c r="G37" s="115">
        <f>'Balance Sheet'!E35/'Balance Sheet'!E65</f>
        <v>0.88357429257146136</v>
      </c>
      <c r="H37" s="115">
        <f>'Balance Sheet'!F35/'Balance Sheet'!F65</f>
        <v>0.96623944880732737</v>
      </c>
      <c r="I37" s="115">
        <f>'Balance Sheet'!G35/'Balance Sheet'!G65</f>
        <v>0.83508539118393699</v>
      </c>
      <c r="J37" s="115">
        <f>'Balance Sheet'!H35/'Balance Sheet'!H65</f>
        <v>0.91928726333924971</v>
      </c>
      <c r="K37" s="115">
        <f>'Balance Sheet'!I35/'Balance Sheet'!I65</f>
        <v>1.0050482801690204</v>
      </c>
      <c r="L37" s="115">
        <f>'Balance Sheet'!J35/'Balance Sheet'!J65</f>
        <v>1.0655656226434498</v>
      </c>
      <c r="M37" s="115">
        <f>'Balance Sheet'!K35/'Balance Sheet'!K65</f>
        <v>1.1051676941064614</v>
      </c>
      <c r="N37" s="115">
        <f>'Balance Sheet'!L35/'Balance Sheet'!L65</f>
        <v>1.1270732843577167</v>
      </c>
      <c r="O37" s="115">
        <f>'Balance Sheet'!M35/'Balance Sheet'!M65</f>
        <v>1.1336879580659804</v>
      </c>
      <c r="P37" s="115">
        <f>'Balance Sheet'!N35/'Balance Sheet'!N65</f>
        <v>1.1268153207158098</v>
      </c>
      <c r="Q37" s="115">
        <f>'Balance Sheet'!O35/'Balance Sheet'!O65</f>
        <v>1.1078093164703953</v>
      </c>
      <c r="R37" s="115">
        <f>'Balance Sheet'!P35/'Balance Sheet'!P65</f>
        <v>1.0776852100154652</v>
      </c>
      <c r="S37" s="115">
        <f>'Balance Sheet'!Q35/'Balance Sheet'!Q65</f>
        <v>1.0372013028957474</v>
      </c>
      <c r="U37" s="482" t="s">
        <v>494</v>
      </c>
      <c r="V37" s="482"/>
      <c r="W37" s="482"/>
      <c r="X37" s="482"/>
      <c r="Y37" s="482"/>
      <c r="Z37" s="482"/>
      <c r="AA37" s="482"/>
      <c r="AB37" s="482"/>
      <c r="AC37" s="482"/>
      <c r="AD37" s="482"/>
      <c r="AE37" s="482"/>
      <c r="AF37" s="482"/>
      <c r="AG37" s="482"/>
      <c r="AH37" s="482"/>
      <c r="AI37" s="482"/>
      <c r="AJ37" s="482"/>
      <c r="AK37" s="482"/>
      <c r="AL37" s="483"/>
    </row>
    <row r="38" spans="2:38" x14ac:dyDescent="0.25">
      <c r="B38" s="241"/>
      <c r="U38" s="484"/>
      <c r="V38" s="484"/>
      <c r="W38" s="484"/>
      <c r="X38" s="484"/>
      <c r="Y38" s="484"/>
      <c r="Z38" s="484"/>
      <c r="AA38" s="484"/>
      <c r="AB38" s="484"/>
      <c r="AC38" s="484"/>
      <c r="AD38" s="484"/>
      <c r="AE38" s="484"/>
      <c r="AF38" s="484"/>
      <c r="AG38" s="484"/>
      <c r="AH38" s="484"/>
      <c r="AI38" s="484"/>
      <c r="AJ38" s="484"/>
      <c r="AK38" s="484"/>
      <c r="AL38" s="485"/>
    </row>
    <row r="39" spans="2:38" ht="15" customHeight="1" x14ac:dyDescent="0.25">
      <c r="B39" s="477" t="s">
        <v>314</v>
      </c>
      <c r="C39" s="477"/>
      <c r="D39" s="477"/>
      <c r="E39" s="115">
        <f>('Balance Sheet'!C35-'Balance Sheet'!C25)/'Balance Sheet'!C65</f>
        <v>0.59659853175231448</v>
      </c>
      <c r="F39" s="115">
        <f>('Balance Sheet'!D35-'Balance Sheet'!D25)/'Balance Sheet'!D65</f>
        <v>0.81486389767506306</v>
      </c>
      <c r="G39" s="115">
        <f>('Balance Sheet'!E35-'Balance Sheet'!E25)/'Balance Sheet'!E65</f>
        <v>0.5131353922653521</v>
      </c>
      <c r="H39" s="115">
        <f>('Balance Sheet'!F35-'Balance Sheet'!F25)/'Balance Sheet'!F65</f>
        <v>0.58757204199252222</v>
      </c>
      <c r="I39" s="115">
        <f>('Balance Sheet'!G35-'Balance Sheet'!G25)/'Balance Sheet'!G65</f>
        <v>0.41562427879067609</v>
      </c>
      <c r="J39" s="115">
        <f>('Balance Sheet'!H35-'Balance Sheet'!H25)/'Balance Sheet'!H65</f>
        <v>0.51629734514866821</v>
      </c>
      <c r="K39" s="115">
        <f>('Balance Sheet'!I35-'Balance Sheet'!I25)/'Balance Sheet'!I65</f>
        <v>0.60205836197843876</v>
      </c>
      <c r="L39" s="115">
        <f>('Balance Sheet'!J35-'Balance Sheet'!J25)/'Balance Sheet'!J65</f>
        <v>0.66257570445286817</v>
      </c>
      <c r="M39" s="115">
        <f>('Balance Sheet'!K35-'Balance Sheet'!K25)/'Balance Sheet'!K65</f>
        <v>0.70217777591587982</v>
      </c>
      <c r="N39" s="115">
        <f>('Balance Sheet'!L35-'Balance Sheet'!L25)/'Balance Sheet'!L65</f>
        <v>0.7240833661671352</v>
      </c>
      <c r="O39" s="115">
        <f>('Balance Sheet'!M35-'Balance Sheet'!M25)/'Balance Sheet'!M65</f>
        <v>0.73069803987539905</v>
      </c>
      <c r="P39" s="115">
        <f>('Balance Sheet'!N35-'Balance Sheet'!N25)/'Balance Sheet'!N65</f>
        <v>0.7238254025252282</v>
      </c>
      <c r="Q39" s="115">
        <f>('Balance Sheet'!O35-'Balance Sheet'!O25)/'Balance Sheet'!O65</f>
        <v>0.70481939827981377</v>
      </c>
      <c r="R39" s="115">
        <f>('Balance Sheet'!P35-'Balance Sheet'!P25)/'Balance Sheet'!P65</f>
        <v>0.67469529182488364</v>
      </c>
      <c r="S39" s="115">
        <f>('Balance Sheet'!Q35-'Balance Sheet'!Q25)/'Balance Sheet'!Q65</f>
        <v>0.63421138470516591</v>
      </c>
      <c r="U39" s="495" t="s">
        <v>492</v>
      </c>
      <c r="V39" s="495"/>
      <c r="W39" s="495"/>
      <c r="X39" s="495"/>
      <c r="Y39" s="495"/>
      <c r="Z39" s="495"/>
      <c r="AA39" s="495"/>
      <c r="AB39" s="495"/>
      <c r="AC39" s="495"/>
      <c r="AD39" s="495"/>
      <c r="AE39" s="495"/>
      <c r="AF39" s="495"/>
      <c r="AG39" s="495"/>
      <c r="AH39" s="495"/>
      <c r="AI39" s="495"/>
      <c r="AJ39" s="495"/>
      <c r="AK39" s="495"/>
      <c r="AL39" s="496"/>
    </row>
    <row r="40" spans="2:38" x14ac:dyDescent="0.25">
      <c r="B40" s="241"/>
      <c r="U40" s="484"/>
      <c r="V40" s="484"/>
      <c r="W40" s="484"/>
      <c r="X40" s="484"/>
      <c r="Y40" s="484"/>
      <c r="Z40" s="484"/>
      <c r="AA40" s="484"/>
      <c r="AB40" s="484"/>
      <c r="AC40" s="484"/>
      <c r="AD40" s="484"/>
      <c r="AE40" s="484"/>
      <c r="AF40" s="484"/>
      <c r="AG40" s="484"/>
      <c r="AH40" s="484"/>
      <c r="AI40" s="484"/>
      <c r="AJ40" s="484"/>
      <c r="AK40" s="484"/>
      <c r="AL40" s="485"/>
    </row>
    <row r="41" spans="2:38" ht="15" customHeight="1" x14ac:dyDescent="0.25">
      <c r="B41" s="477" t="s">
        <v>315</v>
      </c>
      <c r="C41" s="477"/>
      <c r="D41" s="477"/>
      <c r="E41" s="42">
        <f>'Working Capital Schedules'!C24</f>
        <v>125.91358399993015</v>
      </c>
      <c r="F41" s="42">
        <f>'Working Capital Schedules'!D24</f>
        <v>140.81803521214403</v>
      </c>
      <c r="G41" s="42">
        <f>'Working Capital Schedules'!E24</f>
        <v>129.34246363530869</v>
      </c>
      <c r="H41" s="42">
        <f>'Working Capital Schedules'!F24</f>
        <v>89.814420097663316</v>
      </c>
      <c r="I41" s="42">
        <f>'Working Capital Schedules'!G24</f>
        <v>56.436552542820678</v>
      </c>
      <c r="J41" s="42">
        <f>'Working Capital Schedules'!H24</f>
        <v>108.4650110975734</v>
      </c>
      <c r="K41" s="42">
        <f>'Working Capital Schedules'!I24</f>
        <v>108.4650110975734</v>
      </c>
      <c r="L41" s="42">
        <f>'Working Capital Schedules'!J24</f>
        <v>108.4650110975734</v>
      </c>
      <c r="M41" s="42">
        <f>'Working Capital Schedules'!K24</f>
        <v>108.4650110975734</v>
      </c>
      <c r="N41" s="42">
        <f>'Working Capital Schedules'!L24</f>
        <v>108.4650110975734</v>
      </c>
      <c r="O41" s="42">
        <f>'Working Capital Schedules'!M24</f>
        <v>108.4650110975734</v>
      </c>
      <c r="P41" s="42">
        <f>'Working Capital Schedules'!N24</f>
        <v>108.4650110975734</v>
      </c>
      <c r="Q41" s="42">
        <f>'Working Capital Schedules'!O24</f>
        <v>108.4650110975734</v>
      </c>
      <c r="R41" s="42">
        <f>'Working Capital Schedules'!P24</f>
        <v>108.4650110975734</v>
      </c>
      <c r="S41" s="42">
        <f>'Working Capital Schedules'!Q24</f>
        <v>108.4650110975734</v>
      </c>
      <c r="U41" s="486" t="s">
        <v>493</v>
      </c>
      <c r="V41" s="487"/>
      <c r="W41" s="487"/>
      <c r="X41" s="487"/>
      <c r="Y41" s="487"/>
      <c r="Z41" s="487"/>
      <c r="AA41" s="487"/>
      <c r="AB41" s="487"/>
      <c r="AC41" s="487"/>
      <c r="AD41" s="487"/>
      <c r="AE41" s="487"/>
      <c r="AF41" s="487"/>
      <c r="AG41" s="487"/>
      <c r="AH41" s="487"/>
      <c r="AI41" s="487"/>
      <c r="AJ41" s="487"/>
      <c r="AK41" s="487"/>
      <c r="AL41" s="488"/>
    </row>
    <row r="42" spans="2:38" x14ac:dyDescent="0.25">
      <c r="U42" s="486"/>
      <c r="V42" s="487"/>
      <c r="W42" s="487"/>
      <c r="X42" s="487"/>
      <c r="Y42" s="487"/>
      <c r="Z42" s="487"/>
      <c r="AA42" s="487"/>
      <c r="AB42" s="487"/>
      <c r="AC42" s="487"/>
      <c r="AD42" s="487"/>
      <c r="AE42" s="487"/>
      <c r="AF42" s="487"/>
      <c r="AG42" s="487"/>
      <c r="AH42" s="487"/>
      <c r="AI42" s="487"/>
      <c r="AJ42" s="487"/>
      <c r="AK42" s="487"/>
      <c r="AL42" s="488"/>
    </row>
    <row r="44" spans="2:38" ht="15.75" customHeight="1" x14ac:dyDescent="0.25">
      <c r="B44" s="476" t="s">
        <v>316</v>
      </c>
      <c r="C44" s="476"/>
      <c r="D44" s="476"/>
      <c r="E44" s="476"/>
      <c r="F44" s="476"/>
      <c r="G44" s="476"/>
      <c r="H44" s="476"/>
      <c r="I44" s="476"/>
      <c r="J44" s="476"/>
      <c r="K44" s="476"/>
      <c r="L44" s="476"/>
      <c r="M44" s="476"/>
      <c r="N44" s="476"/>
      <c r="O44" s="476"/>
      <c r="P44" s="476"/>
      <c r="Q44" s="476"/>
      <c r="R44" s="476"/>
      <c r="S44" s="476"/>
      <c r="U44" s="497"/>
      <c r="V44" s="497"/>
      <c r="W44" s="497"/>
      <c r="X44" s="497"/>
      <c r="Y44" s="497"/>
      <c r="Z44" s="497"/>
      <c r="AA44" s="497"/>
      <c r="AB44" s="497"/>
      <c r="AC44" s="497"/>
      <c r="AD44" s="497"/>
      <c r="AE44" s="497"/>
      <c r="AF44" s="497"/>
      <c r="AG44" s="497"/>
      <c r="AH44" s="497"/>
      <c r="AI44" s="497"/>
      <c r="AJ44" s="497"/>
      <c r="AK44" s="497"/>
      <c r="AL44" s="497"/>
    </row>
    <row r="47" spans="2:38" ht="15" customHeight="1" x14ac:dyDescent="0.25">
      <c r="B47" s="6" t="s">
        <v>317</v>
      </c>
      <c r="C47" s="6"/>
      <c r="D47" s="6"/>
      <c r="E47" s="115">
        <f>'Balance Sheet'!C37/'Balance Sheet'!C44</f>
        <v>2.173933328402283</v>
      </c>
      <c r="F47" s="115">
        <f>'Balance Sheet'!D37/'Balance Sheet'!D44</f>
        <v>1.738147319945978</v>
      </c>
      <c r="G47" s="115">
        <f>'Balance Sheet'!E37/'Balance Sheet'!E44</f>
        <v>1.7438018208421393</v>
      </c>
      <c r="H47" s="115">
        <f>'Balance Sheet'!F37/'Balance Sheet'!F44</f>
        <v>1.9119533351353089</v>
      </c>
      <c r="I47" s="115">
        <f>'Balance Sheet'!G37/'Balance Sheet'!G44</f>
        <v>1.9827089748484448</v>
      </c>
      <c r="J47" s="115">
        <f>'Balance Sheet'!H37/'Balance Sheet'!H44</f>
        <v>1.9189257495134637</v>
      </c>
      <c r="K47" s="115">
        <f>'Balance Sheet'!I37/'Balance Sheet'!I44</f>
        <v>1.9127384452242586</v>
      </c>
      <c r="L47" s="115">
        <f>'Balance Sheet'!J37/'Balance Sheet'!J44</f>
        <v>1.8992098000930049</v>
      </c>
      <c r="M47" s="115">
        <f>'Balance Sheet'!K37/'Balance Sheet'!K44</f>
        <v>1.8808033506495423</v>
      </c>
      <c r="N47" s="115">
        <f>'Balance Sheet'!L37/'Balance Sheet'!L44</f>
        <v>1.8594140686765022</v>
      </c>
      <c r="O47" s="115">
        <f>'Balance Sheet'!M37/'Balance Sheet'!M44</f>
        <v>1.8364403218924175</v>
      </c>
      <c r="P47" s="115">
        <f>'Balance Sheet'!N37/'Balance Sheet'!N44</f>
        <v>1.8128823936795111</v>
      </c>
      <c r="Q47" s="115">
        <f>'Balance Sheet'!O37/'Balance Sheet'!O44</f>
        <v>1.7894375680774517</v>
      </c>
      <c r="R47" s="115">
        <f>'Balance Sheet'!P37/'Balance Sheet'!P44</f>
        <v>1.7665801041236135</v>
      </c>
      <c r="S47" s="115">
        <f>'Balance Sheet'!Q37/'Balance Sheet'!Q44</f>
        <v>1.7446238438612907</v>
      </c>
      <c r="U47" s="486" t="s">
        <v>495</v>
      </c>
      <c r="V47" s="487"/>
      <c r="W47" s="487"/>
      <c r="X47" s="487"/>
      <c r="Y47" s="487"/>
      <c r="Z47" s="487"/>
      <c r="AA47" s="487"/>
      <c r="AB47" s="487"/>
      <c r="AC47" s="487"/>
      <c r="AD47" s="487"/>
      <c r="AE47" s="487"/>
      <c r="AF47" s="487"/>
      <c r="AG47" s="487"/>
      <c r="AH47" s="487"/>
      <c r="AI47" s="487"/>
      <c r="AJ47" s="487"/>
      <c r="AK47" s="487"/>
      <c r="AL47" s="488"/>
    </row>
    <row r="48" spans="2:38" x14ac:dyDescent="0.25">
      <c r="U48" s="486"/>
      <c r="V48" s="487"/>
      <c r="W48" s="487"/>
      <c r="X48" s="487"/>
      <c r="Y48" s="487"/>
      <c r="Z48" s="487"/>
      <c r="AA48" s="487"/>
      <c r="AB48" s="487"/>
      <c r="AC48" s="487"/>
      <c r="AD48" s="487"/>
      <c r="AE48" s="487"/>
      <c r="AF48" s="487"/>
      <c r="AG48" s="487"/>
      <c r="AH48" s="487"/>
      <c r="AI48" s="487"/>
      <c r="AJ48" s="487"/>
      <c r="AK48" s="487"/>
      <c r="AL48" s="488"/>
    </row>
    <row r="49" spans="2:38" ht="15" customHeight="1" x14ac:dyDescent="0.25">
      <c r="B49" s="6" t="s">
        <v>318</v>
      </c>
      <c r="C49" s="6"/>
      <c r="D49" s="6"/>
      <c r="E49" s="115">
        <f>'Debt Schedules'!C15/'Balance Sheet'!C44</f>
        <v>0.70896749489351774</v>
      </c>
      <c r="F49" s="115">
        <f>'Debt Schedules'!D15/'Balance Sheet'!D44</f>
        <v>0.57275223061084424</v>
      </c>
      <c r="G49" s="115">
        <f>'Debt Schedules'!E15/'Balance Sheet'!E44</f>
        <v>0.59082059827670297</v>
      </c>
      <c r="H49" s="115">
        <f>'Debt Schedules'!F15/'Balance Sheet'!F44</f>
        <v>0.6847513179308532</v>
      </c>
      <c r="I49" s="115">
        <f>'Debt Schedules'!G15/'Balance Sheet'!G44</f>
        <v>0.68646547325528706</v>
      </c>
      <c r="J49" s="115">
        <f>'Debt Schedules'!H15/'Balance Sheet'!H44</f>
        <v>0.65468325949409312</v>
      </c>
      <c r="K49" s="115">
        <f>'Debt Schedules'!I15/'Balance Sheet'!I44</f>
        <v>0.65027515085018672</v>
      </c>
      <c r="L49" s="115">
        <f>'Debt Schedules'!J15/'Balance Sheet'!J44</f>
        <v>0.64063674699029094</v>
      </c>
      <c r="M49" s="115">
        <f>'Debt Schedules'!K15/'Balance Sheet'!K44</f>
        <v>0.62752318006310537</v>
      </c>
      <c r="N49" s="115">
        <f>'Debt Schedules'!L15/'Balance Sheet'!L44</f>
        <v>0.61228451159858333</v>
      </c>
      <c r="O49" s="115">
        <f>'Debt Schedules'!M15/'Balance Sheet'!M44</f>
        <v>0.59591700047446905</v>
      </c>
      <c r="P49" s="115">
        <f>'Debt Schedules'!N15/'Balance Sheet'!N44</f>
        <v>0.57913329271840808</v>
      </c>
      <c r="Q49" s="115">
        <f>'Debt Schedules'!O15/'Balance Sheet'!O44</f>
        <v>0.56243016425394454</v>
      </c>
      <c r="R49" s="115">
        <f>'Debt Schedules'!P15/'Balance Sheet'!P44</f>
        <v>0.54614549815008262</v>
      </c>
      <c r="S49" s="115">
        <f>'Debt Schedules'!Q15/'Balance Sheet'!Q44</f>
        <v>0.53050288932945799</v>
      </c>
      <c r="U49" s="489" t="s">
        <v>496</v>
      </c>
      <c r="V49" s="490"/>
      <c r="W49" s="490"/>
      <c r="X49" s="490"/>
      <c r="Y49" s="490"/>
      <c r="Z49" s="490"/>
      <c r="AA49" s="490"/>
      <c r="AB49" s="490"/>
      <c r="AC49" s="490"/>
      <c r="AD49" s="490"/>
      <c r="AE49" s="490"/>
      <c r="AF49" s="490"/>
      <c r="AG49" s="490"/>
      <c r="AH49" s="490"/>
      <c r="AI49" s="490"/>
      <c r="AJ49" s="490"/>
      <c r="AK49" s="490"/>
      <c r="AL49" s="491"/>
    </row>
    <row r="50" spans="2:38" x14ac:dyDescent="0.25">
      <c r="U50" s="489"/>
      <c r="V50" s="490"/>
      <c r="W50" s="490"/>
      <c r="X50" s="490"/>
      <c r="Y50" s="490"/>
      <c r="Z50" s="490"/>
      <c r="AA50" s="490"/>
      <c r="AB50" s="490"/>
      <c r="AC50" s="490"/>
      <c r="AD50" s="490"/>
      <c r="AE50" s="490"/>
      <c r="AF50" s="490"/>
      <c r="AG50" s="490"/>
      <c r="AH50" s="490"/>
      <c r="AI50" s="490"/>
      <c r="AJ50" s="490"/>
      <c r="AK50" s="490"/>
      <c r="AL50" s="491"/>
    </row>
    <row r="51" spans="2:38" ht="15" customHeight="1" x14ac:dyDescent="0.25">
      <c r="B51" s="6" t="s">
        <v>319</v>
      </c>
      <c r="C51" s="6"/>
      <c r="D51" s="6"/>
      <c r="E51" s="115">
        <f>'Debt Schedules'!C15/'Balance Sheet'!C37</f>
        <v>0.3261220045853791</v>
      </c>
      <c r="F51" s="115">
        <f>'Debt Schedules'!D15/'Balance Sheet'!D37</f>
        <v>0.3295188066271883</v>
      </c>
      <c r="G51" s="115">
        <f>'Debt Schedules'!E15/'Balance Sheet'!E37</f>
        <v>0.33881177965015324</v>
      </c>
      <c r="H51" s="115">
        <f>'Debt Schedules'!F15/'Balance Sheet'!F37</f>
        <v>0.35814227541405624</v>
      </c>
      <c r="I51" s="115">
        <f>'Debt Schedules'!G15/'Balance Sheet'!G37</f>
        <v>0.34622603819491937</v>
      </c>
      <c r="J51" s="115">
        <f>'Debt Schedules'!H15/'Balance Sheet'!H37</f>
        <v>0.34117175177835074</v>
      </c>
      <c r="K51" s="115">
        <f>'Debt Schedules'!I15/'Balance Sheet'!I37</f>
        <v>0.33997076415429361</v>
      </c>
      <c r="L51" s="115">
        <f>'Debt Schedules'!J15/'Balance Sheet'!J37</f>
        <v>0.33731752382433933</v>
      </c>
      <c r="M51" s="115">
        <f>'Debt Schedules'!K15/'Balance Sheet'!K37</f>
        <v>0.33364635374899132</v>
      </c>
      <c r="N51" s="115">
        <f>'Debt Schedules'!L15/'Balance Sheet'!L37</f>
        <v>0.3292889528551306</v>
      </c>
      <c r="O51" s="115">
        <f>'Debt Schedules'!M15/'Balance Sheet'!M37</f>
        <v>0.32449570692304763</v>
      </c>
      <c r="P51" s="115">
        <f>'Debt Schedules'!N15/'Balance Sheet'!N37</f>
        <v>0.31945441951310033</v>
      </c>
      <c r="Q51" s="115">
        <f>'Debt Schedules'!O15/'Balance Sheet'!O37</f>
        <v>0.31430555292197876</v>
      </c>
      <c r="R51" s="115">
        <f>'Debt Schedules'!P15/'Balance Sheet'!P37</f>
        <v>0.30915410904676816</v>
      </c>
      <c r="S51" s="115">
        <f>'Debt Schedules'!Q15/'Balance Sheet'!Q37</f>
        <v>0.30407866497761599</v>
      </c>
      <c r="U51" s="495" t="s">
        <v>497</v>
      </c>
      <c r="V51" s="495"/>
      <c r="W51" s="495"/>
      <c r="X51" s="495"/>
      <c r="Y51" s="495"/>
      <c r="Z51" s="495"/>
      <c r="AA51" s="495"/>
      <c r="AB51" s="495"/>
      <c r="AC51" s="495"/>
      <c r="AD51" s="495"/>
      <c r="AE51" s="495"/>
      <c r="AF51" s="495"/>
      <c r="AG51" s="495"/>
      <c r="AH51" s="495"/>
      <c r="AI51" s="495"/>
      <c r="AJ51" s="495"/>
      <c r="AK51" s="495"/>
      <c r="AL51" s="496"/>
    </row>
    <row r="52" spans="2:38" x14ac:dyDescent="0.25">
      <c r="U52" s="484"/>
      <c r="V52" s="484"/>
      <c r="W52" s="484"/>
      <c r="X52" s="484"/>
      <c r="Y52" s="484"/>
      <c r="Z52" s="484"/>
      <c r="AA52" s="484"/>
      <c r="AB52" s="484"/>
      <c r="AC52" s="484"/>
      <c r="AD52" s="484"/>
      <c r="AE52" s="484"/>
      <c r="AF52" s="484"/>
      <c r="AG52" s="484"/>
      <c r="AH52" s="484"/>
      <c r="AI52" s="484"/>
      <c r="AJ52" s="484"/>
      <c r="AK52" s="484"/>
      <c r="AL52" s="485"/>
    </row>
    <row r="53" spans="2:38" ht="15" customHeight="1" x14ac:dyDescent="0.25">
      <c r="B53" s="6" t="s">
        <v>320</v>
      </c>
      <c r="C53" s="6"/>
      <c r="D53" s="6"/>
      <c r="E53" s="115">
        <f>-'Income statement'!C36/'Income statement'!C29</f>
        <v>7.6942225309713947</v>
      </c>
      <c r="F53" s="115">
        <f>-'Income statement'!D36/'Income statement'!D29</f>
        <v>13.40906869930617</v>
      </c>
      <c r="G53" s="115">
        <f>-'Income statement'!E36/'Income statement'!E29</f>
        <v>3.6314475873544096</v>
      </c>
      <c r="H53" s="115">
        <f>-'Income statement'!F36/'Income statement'!F29</f>
        <v>1.8698633375892575</v>
      </c>
      <c r="I53" s="115">
        <f>-'Income statement'!G36/'Income statement'!G29</f>
        <v>1.1154153354632614</v>
      </c>
      <c r="J53" s="115">
        <f>-'Income statement'!H36/'Income statement'!H29</f>
        <v>3.5213285400345997</v>
      </c>
      <c r="K53" s="115">
        <f>-'Income statement'!I36/'Income statement'!I29</f>
        <v>3.8126849722737264</v>
      </c>
      <c r="L53" s="115">
        <f>-'Income statement'!J36/'Income statement'!J29</f>
        <v>3.8163121030662253</v>
      </c>
      <c r="M53" s="115">
        <f>-'Income statement'!K36/'Income statement'!K29</f>
        <v>3.7912706735116486</v>
      </c>
      <c r="N53" s="115">
        <f>-'Income statement'!L36/'Income statement'!L29</f>
        <v>3.7439518330869688</v>
      </c>
      <c r="O53" s="115">
        <f>-'Income statement'!M36/'Income statement'!M29</f>
        <v>3.6790307804869871</v>
      </c>
      <c r="P53" s="115">
        <f>-'Income statement'!N36/'Income statement'!N29</f>
        <v>3.5999592607203095</v>
      </c>
      <c r="Q53" s="115">
        <f>-'Income statement'!O36/'Income statement'!O29</f>
        <v>3.509309164143283</v>
      </c>
      <c r="R53" s="115">
        <f>-'Income statement'!P36/'Income statement'!P29</f>
        <v>3.4090147725998525</v>
      </c>
      <c r="S53" s="115">
        <f>-'Income statement'!Q36/'Income statement'!Q29</f>
        <v>3.3005452224478433</v>
      </c>
      <c r="U53" s="495" t="s">
        <v>498</v>
      </c>
      <c r="V53" s="495"/>
      <c r="W53" s="495"/>
      <c r="X53" s="495"/>
      <c r="Y53" s="495"/>
      <c r="Z53" s="495"/>
      <c r="AA53" s="495"/>
      <c r="AB53" s="495"/>
      <c r="AC53" s="495"/>
      <c r="AD53" s="495"/>
      <c r="AE53" s="495"/>
      <c r="AF53" s="495"/>
      <c r="AG53" s="495"/>
      <c r="AH53" s="495"/>
      <c r="AI53" s="495"/>
      <c r="AJ53" s="495"/>
      <c r="AK53" s="495"/>
      <c r="AL53" s="496"/>
    </row>
    <row r="54" spans="2:38" x14ac:dyDescent="0.25">
      <c r="U54" s="484"/>
      <c r="V54" s="484"/>
      <c r="W54" s="484"/>
      <c r="X54" s="484"/>
      <c r="Y54" s="484"/>
      <c r="Z54" s="484"/>
      <c r="AA54" s="484"/>
      <c r="AB54" s="484"/>
      <c r="AC54" s="484"/>
      <c r="AD54" s="484"/>
      <c r="AE54" s="484"/>
      <c r="AF54" s="484"/>
      <c r="AG54" s="484"/>
      <c r="AH54" s="484"/>
      <c r="AI54" s="484"/>
      <c r="AJ54" s="484"/>
      <c r="AK54" s="484"/>
      <c r="AL54" s="485"/>
    </row>
    <row r="56" spans="2:38" ht="15.75" customHeight="1" x14ac:dyDescent="0.25">
      <c r="B56" s="476" t="s">
        <v>321</v>
      </c>
      <c r="C56" s="476"/>
      <c r="D56" s="476"/>
      <c r="E56" s="476"/>
      <c r="F56" s="476"/>
      <c r="G56" s="476"/>
      <c r="H56" s="476"/>
      <c r="I56" s="476"/>
      <c r="J56" s="476"/>
      <c r="K56" s="476"/>
      <c r="L56" s="476"/>
      <c r="M56" s="476"/>
      <c r="N56" s="476"/>
      <c r="O56" s="476"/>
      <c r="P56" s="476"/>
      <c r="Q56" s="476"/>
      <c r="R56" s="476"/>
      <c r="S56" s="476"/>
      <c r="U56" s="497"/>
      <c r="V56" s="497"/>
      <c r="W56" s="497"/>
      <c r="X56" s="497"/>
      <c r="Y56" s="497"/>
      <c r="Z56" s="497"/>
      <c r="AA56" s="497"/>
      <c r="AB56" s="497"/>
      <c r="AC56" s="497"/>
      <c r="AD56" s="497"/>
      <c r="AE56" s="497"/>
      <c r="AF56" s="497"/>
      <c r="AG56" s="497"/>
      <c r="AH56" s="497"/>
      <c r="AI56" s="497"/>
      <c r="AJ56" s="497"/>
      <c r="AK56" s="497"/>
      <c r="AL56" s="497"/>
    </row>
    <row r="59" spans="2:38" ht="15" customHeight="1" x14ac:dyDescent="0.25">
      <c r="B59" s="6" t="s">
        <v>322</v>
      </c>
      <c r="C59" s="6"/>
      <c r="D59" s="6"/>
      <c r="E59" s="115">
        <f>'Revenue Build_up'!C14/'Balance Sheet'!C15</f>
        <v>1.0271526984003645</v>
      </c>
      <c r="F59" s="115">
        <f>'Revenue Build_up'!D14/'Balance Sheet'!D15</f>
        <v>1.3907206353832704</v>
      </c>
      <c r="G59" s="115">
        <f>'Revenue Build_up'!E14/'Balance Sheet'!E15</f>
        <v>1.222496588145042</v>
      </c>
      <c r="H59" s="115">
        <f>'Revenue Build_up'!F14/'Balance Sheet'!F15</f>
        <v>1.0192063618983929</v>
      </c>
      <c r="I59" s="115">
        <f>'Revenue Build_up'!G14/'Balance Sheet'!G15</f>
        <v>1.0274562635678712</v>
      </c>
      <c r="J59" s="115">
        <f>'Revenue Build_up'!H14/'Balance Sheet'!H15</f>
        <v>1.0840732548904508</v>
      </c>
      <c r="K59" s="115">
        <f>'Revenue Build_up'!I14/'Balance Sheet'!I15</f>
        <v>1.1208838279351421</v>
      </c>
      <c r="L59" s="115">
        <f>'Revenue Build_up'!J14/'Balance Sheet'!J15</f>
        <v>1.1390177060610005</v>
      </c>
      <c r="M59" s="115">
        <f>'Revenue Build_up'!K14/'Balance Sheet'!K15</f>
        <v>1.1408031966263721</v>
      </c>
      <c r="N59" s="115">
        <f>'Revenue Build_up'!L14/'Balance Sheet'!L15</f>
        <v>1.1291636261622808</v>
      </c>
      <c r="O59" s="115">
        <f>'Revenue Build_up'!M14/'Balance Sheet'!M15</f>
        <v>1.1071253383636723</v>
      </c>
      <c r="P59" s="115">
        <f>'Revenue Build_up'!N14/'Balance Sheet'!N15</f>
        <v>1.0774920366319893</v>
      </c>
      <c r="Q59" s="115">
        <f>'Revenue Build_up'!O14/'Balance Sheet'!O15</f>
        <v>1.0426747473067393</v>
      </c>
      <c r="R59" s="115">
        <f>'Revenue Build_up'!P14/'Balance Sheet'!P15</f>
        <v>1.0046369954089185</v>
      </c>
      <c r="S59" s="115">
        <f>'Revenue Build_up'!Q14/'Balance Sheet'!Q15</f>
        <v>0.96491117806172499</v>
      </c>
      <c r="U59" s="498" t="s">
        <v>499</v>
      </c>
      <c r="V59" s="498"/>
      <c r="W59" s="498"/>
      <c r="X59" s="498"/>
      <c r="Y59" s="498"/>
      <c r="Z59" s="498"/>
      <c r="AA59" s="498"/>
      <c r="AB59" s="498"/>
      <c r="AC59" s="498"/>
      <c r="AD59" s="498"/>
      <c r="AE59" s="498"/>
      <c r="AF59" s="498"/>
      <c r="AG59" s="498"/>
      <c r="AH59" s="498"/>
      <c r="AI59" s="498"/>
      <c r="AJ59" s="498"/>
      <c r="AK59" s="498"/>
      <c r="AL59" s="499"/>
    </row>
    <row r="60" spans="2:38" x14ac:dyDescent="0.25">
      <c r="U60" s="500"/>
      <c r="V60" s="500"/>
      <c r="W60" s="500"/>
      <c r="X60" s="500"/>
      <c r="Y60" s="500"/>
      <c r="Z60" s="500"/>
      <c r="AA60" s="500"/>
      <c r="AB60" s="500"/>
      <c r="AC60" s="500"/>
      <c r="AD60" s="500"/>
      <c r="AE60" s="500"/>
      <c r="AF60" s="500"/>
      <c r="AG60" s="500"/>
      <c r="AH60" s="500"/>
      <c r="AI60" s="500"/>
      <c r="AJ60" s="500"/>
      <c r="AK60" s="500"/>
      <c r="AL60" s="501"/>
    </row>
    <row r="61" spans="2:38" ht="15" customHeight="1" x14ac:dyDescent="0.25">
      <c r="B61" s="6" t="s">
        <v>323</v>
      </c>
      <c r="C61" s="6"/>
      <c r="D61" s="6"/>
      <c r="E61" s="115">
        <f>'Revenue Build_up'!C14/'Balance Sheet'!C37</f>
        <v>0.65735283340836037</v>
      </c>
      <c r="F61" s="115">
        <f>'Revenue Build_up'!D14/'Balance Sheet'!D37</f>
        <v>0.87521606381095185</v>
      </c>
      <c r="G61" s="115">
        <f>'Revenue Build_up'!E14/'Balance Sheet'!E37</f>
        <v>0.84870118519036464</v>
      </c>
      <c r="H61" s="115">
        <f>'Revenue Build_up'!F14/'Balance Sheet'!F37</f>
        <v>0.69307386825925799</v>
      </c>
      <c r="I61" s="115">
        <f>'Revenue Build_up'!G14/'Balance Sheet'!G37</f>
        <v>0.72398394028174695</v>
      </c>
      <c r="J61" s="115">
        <f>'Revenue Build_up'!H14/'Balance Sheet'!H37</f>
        <v>0.75290009299317806</v>
      </c>
      <c r="K61" s="115">
        <f>'Revenue Build_up'!I14/'Balance Sheet'!I37</f>
        <v>0.75024974550947499</v>
      </c>
      <c r="L61" s="115">
        <f>'Revenue Build_up'!J14/'Balance Sheet'!J37</f>
        <v>0.74439455708680158</v>
      </c>
      <c r="M61" s="115">
        <f>'Revenue Build_up'!K14/'Balance Sheet'!K37</f>
        <v>0.73629299452566954</v>
      </c>
      <c r="N61" s="115">
        <f>'Revenue Build_up'!L14/'Balance Sheet'!L37</f>
        <v>0.7266770532260286</v>
      </c>
      <c r="O61" s="115">
        <f>'Revenue Build_up'!M14/'Balance Sheet'!M37</f>
        <v>0.71609928619463326</v>
      </c>
      <c r="P61" s="115">
        <f>'Revenue Build_up'!N14/'Balance Sheet'!N37</f>
        <v>0.70497413957868327</v>
      </c>
      <c r="Q61" s="115">
        <f>'Revenue Build_up'!O14/'Balance Sheet'!O37</f>
        <v>0.69361158650956689</v>
      </c>
      <c r="R61" s="115">
        <f>'Revenue Build_up'!P14/'Balance Sheet'!P37</f>
        <v>0.68224334587276625</v>
      </c>
      <c r="S61" s="115">
        <f>'Revenue Build_up'!Q14/'Balance Sheet'!Q37</f>
        <v>0.67104282211390298</v>
      </c>
      <c r="U61" s="486" t="s">
        <v>456</v>
      </c>
      <c r="V61" s="487"/>
      <c r="W61" s="487"/>
      <c r="X61" s="487"/>
      <c r="Y61" s="487"/>
      <c r="Z61" s="487"/>
      <c r="AA61" s="487"/>
      <c r="AB61" s="487"/>
      <c r="AC61" s="487"/>
      <c r="AD61" s="487"/>
      <c r="AE61" s="487"/>
      <c r="AF61" s="487"/>
      <c r="AG61" s="487"/>
      <c r="AH61" s="487"/>
      <c r="AI61" s="487"/>
      <c r="AJ61" s="487"/>
      <c r="AK61" s="487"/>
      <c r="AL61" s="488"/>
    </row>
    <row r="62" spans="2:38" x14ac:dyDescent="0.25">
      <c r="U62" s="486"/>
      <c r="V62" s="487"/>
      <c r="W62" s="487"/>
      <c r="X62" s="487"/>
      <c r="Y62" s="487"/>
      <c r="Z62" s="487"/>
      <c r="AA62" s="487"/>
      <c r="AB62" s="487"/>
      <c r="AC62" s="487"/>
      <c r="AD62" s="487"/>
      <c r="AE62" s="487"/>
      <c r="AF62" s="487"/>
      <c r="AG62" s="487"/>
      <c r="AH62" s="487"/>
      <c r="AI62" s="487"/>
      <c r="AJ62" s="487"/>
      <c r="AK62" s="487"/>
      <c r="AL62" s="488"/>
    </row>
    <row r="63" spans="2:38" ht="15" customHeight="1" x14ac:dyDescent="0.25">
      <c r="B63" s="6" t="s">
        <v>324</v>
      </c>
      <c r="C63" s="6"/>
      <c r="D63" s="6"/>
      <c r="E63" s="115">
        <f>-'Income statement'!C14/'Working Capital Schedules'!C14</f>
        <v>2.2748803009575922</v>
      </c>
      <c r="F63" s="115">
        <f>-'Income statement'!D14/'Working Capital Schedules'!D14</f>
        <v>3.0557637134415279</v>
      </c>
      <c r="G63" s="115">
        <f>-'Income statement'!E14/'Working Capital Schedules'!E14</f>
        <v>3.7259783715629702</v>
      </c>
      <c r="H63" s="115">
        <f>-'Income statement'!F14/'Working Capital Schedules'!F14</f>
        <v>3.3474582848273182</v>
      </c>
      <c r="I63" s="115">
        <f>-'Income statement'!G14/'Working Capital Schedules'!G14</f>
        <v>3.2015515605012306</v>
      </c>
      <c r="J63" s="115">
        <f>-'Income statement'!H14/'Working Capital Schedules'!H14</f>
        <v>3.0371088075415926</v>
      </c>
      <c r="K63" s="115">
        <f>-'Income statement'!I14/'Working Capital Schedules'!I14</f>
        <v>3.0371088075415926</v>
      </c>
      <c r="L63" s="115">
        <f>-'Income statement'!J14/'Working Capital Schedules'!J14</f>
        <v>3.0371088075415926</v>
      </c>
      <c r="M63" s="115">
        <f>-'Income statement'!K14/'Working Capital Schedules'!K14</f>
        <v>3.0371088075415926</v>
      </c>
      <c r="N63" s="115">
        <f>-'Income statement'!L14/'Working Capital Schedules'!L14</f>
        <v>3.0371088075415931</v>
      </c>
      <c r="O63" s="115">
        <f>-'Income statement'!M14/'Working Capital Schedules'!M14</f>
        <v>3.0371088075415926</v>
      </c>
      <c r="P63" s="115">
        <f>-'Income statement'!N14/'Working Capital Schedules'!N14</f>
        <v>3.0371088075415926</v>
      </c>
      <c r="Q63" s="115">
        <f>-'Income statement'!O14/'Working Capital Schedules'!O14</f>
        <v>3.0371088075415926</v>
      </c>
      <c r="R63" s="115">
        <f>-'Income statement'!P14/'Working Capital Schedules'!P14</f>
        <v>3.0371088075415926</v>
      </c>
      <c r="S63" s="115">
        <f>-'Income statement'!Q14/'Working Capital Schedules'!Q14</f>
        <v>3.0371088075415931</v>
      </c>
      <c r="U63" s="492" t="s">
        <v>473</v>
      </c>
      <c r="V63" s="493"/>
      <c r="W63" s="493"/>
      <c r="X63" s="493"/>
      <c r="Y63" s="493"/>
      <c r="Z63" s="493"/>
      <c r="AA63" s="493"/>
      <c r="AB63" s="493"/>
      <c r="AC63" s="493"/>
      <c r="AD63" s="493"/>
      <c r="AE63" s="493"/>
      <c r="AF63" s="493"/>
      <c r="AG63" s="493"/>
      <c r="AH63" s="493"/>
      <c r="AI63" s="493"/>
      <c r="AJ63" s="493"/>
      <c r="AK63" s="493"/>
      <c r="AL63" s="494"/>
    </row>
    <row r="64" spans="2:38" x14ac:dyDescent="0.25">
      <c r="U64" s="492"/>
      <c r="V64" s="493"/>
      <c r="W64" s="493"/>
      <c r="X64" s="493"/>
      <c r="Y64" s="493"/>
      <c r="Z64" s="493"/>
      <c r="AA64" s="493"/>
      <c r="AB64" s="493"/>
      <c r="AC64" s="493"/>
      <c r="AD64" s="493"/>
      <c r="AE64" s="493"/>
      <c r="AF64" s="493"/>
      <c r="AG64" s="493"/>
      <c r="AH64" s="493"/>
      <c r="AI64" s="493"/>
      <c r="AJ64" s="493"/>
      <c r="AK64" s="493"/>
      <c r="AL64" s="494"/>
    </row>
    <row r="65" spans="2:38" ht="15" customHeight="1" x14ac:dyDescent="0.25">
      <c r="B65" s="6" t="s">
        <v>325</v>
      </c>
      <c r="C65" s="6"/>
      <c r="D65" s="6"/>
      <c r="E65" s="115">
        <f>'Income statement'!C13/'Balance Sheet'!C27</f>
        <v>5.6771194234815354</v>
      </c>
      <c r="F65" s="115">
        <f>'Income statement'!D13/'Balance Sheet'!D27</f>
        <v>5.5752620199355034</v>
      </c>
      <c r="G65" s="115">
        <f>'Income statement'!E13/'Balance Sheet'!E27</f>
        <v>7.0373741347595402</v>
      </c>
      <c r="H65" s="115">
        <f>'Income statement'!F13/'Balance Sheet'!F27</f>
        <v>7.4583811374651718</v>
      </c>
      <c r="I65" s="115">
        <f>'Income statement'!G13/'Balance Sheet'!G27</f>
        <v>9.2503371243925407</v>
      </c>
      <c r="J65" s="115">
        <f>'Income statement'!H13/'Balance Sheet'!H27</f>
        <v>6.758680114335224</v>
      </c>
      <c r="K65" s="115">
        <f>'Income statement'!I13/'Balance Sheet'!I27</f>
        <v>6.7586801143352231</v>
      </c>
      <c r="L65" s="115">
        <f>'Income statement'!J13/'Balance Sheet'!J27</f>
        <v>6.758680114335224</v>
      </c>
      <c r="M65" s="115">
        <f>'Income statement'!K13/'Balance Sheet'!K27</f>
        <v>6.7586801143352249</v>
      </c>
      <c r="N65" s="115">
        <f>'Income statement'!L13/'Balance Sheet'!L27</f>
        <v>6.758680114335224</v>
      </c>
      <c r="O65" s="115">
        <f>'Income statement'!M13/'Balance Sheet'!M27</f>
        <v>6.758680114335224</v>
      </c>
      <c r="P65" s="115">
        <f>'Income statement'!N13/'Balance Sheet'!N27</f>
        <v>6.758680114335224</v>
      </c>
      <c r="Q65" s="115">
        <f>'Income statement'!O13/'Balance Sheet'!O27</f>
        <v>6.7586801143352231</v>
      </c>
      <c r="R65" s="115">
        <f>'Income statement'!P13/'Balance Sheet'!P27</f>
        <v>6.758680114335224</v>
      </c>
      <c r="S65" s="115">
        <f>'Income statement'!Q13/'Balance Sheet'!Q27</f>
        <v>6.758680114335224</v>
      </c>
      <c r="U65" s="492" t="s">
        <v>474</v>
      </c>
      <c r="V65" s="493"/>
      <c r="W65" s="493"/>
      <c r="X65" s="493"/>
      <c r="Y65" s="493"/>
      <c r="Z65" s="493"/>
      <c r="AA65" s="493"/>
      <c r="AB65" s="493"/>
      <c r="AC65" s="493"/>
      <c r="AD65" s="493"/>
      <c r="AE65" s="493"/>
      <c r="AF65" s="493"/>
      <c r="AG65" s="493"/>
      <c r="AH65" s="493"/>
      <c r="AI65" s="493"/>
      <c r="AJ65" s="493"/>
      <c r="AK65" s="493"/>
      <c r="AL65" s="494"/>
    </row>
    <row r="66" spans="2:38" x14ac:dyDescent="0.25">
      <c r="U66" s="492"/>
      <c r="V66" s="493"/>
      <c r="W66" s="493"/>
      <c r="X66" s="493"/>
      <c r="Y66" s="493"/>
      <c r="Z66" s="493"/>
      <c r="AA66" s="493"/>
      <c r="AB66" s="493"/>
      <c r="AC66" s="493"/>
      <c r="AD66" s="493"/>
      <c r="AE66" s="493"/>
      <c r="AF66" s="493"/>
      <c r="AG66" s="493"/>
      <c r="AH66" s="493"/>
      <c r="AI66" s="493"/>
      <c r="AJ66" s="493"/>
      <c r="AK66" s="493"/>
      <c r="AL66" s="494"/>
    </row>
    <row r="67" spans="2:38" ht="15" customHeight="1" x14ac:dyDescent="0.25">
      <c r="B67" s="6" t="s">
        <v>326</v>
      </c>
      <c r="C67" s="6"/>
      <c r="D67" s="6"/>
      <c r="E67" s="115">
        <f>-'Income statement'!C14/'Balance Sheet'!C60</f>
        <v>3.6933007131331004</v>
      </c>
      <c r="F67" s="115">
        <f>-'Income statement'!D14/'Balance Sheet'!D60</f>
        <v>8.2773669711468738</v>
      </c>
      <c r="G67" s="115">
        <f>-'Income statement'!E14/'Balance Sheet'!E60</f>
        <v>17.818506493506494</v>
      </c>
      <c r="H67" s="115">
        <f>-'Income statement'!F14/'Balance Sheet'!F60</f>
        <v>5.3549081277934105</v>
      </c>
      <c r="I67" s="115">
        <f>-'Income statement'!G14/'Balance Sheet'!G60</f>
        <v>3.7617739276594362</v>
      </c>
      <c r="J67" s="115">
        <f>-'Income statement'!H14/'Balance Sheet'!H60</f>
        <v>5.5538899908793464</v>
      </c>
      <c r="K67" s="115">
        <f>-'Income statement'!I14/'Balance Sheet'!I60</f>
        <v>5.5538899908793464</v>
      </c>
      <c r="L67" s="115">
        <f>-'Income statement'!J14/'Balance Sheet'!J60</f>
        <v>5.5538899908793455</v>
      </c>
      <c r="M67" s="115">
        <f>-'Income statement'!K14/'Balance Sheet'!K60</f>
        <v>5.5538899908793464</v>
      </c>
      <c r="N67" s="115">
        <f>-'Income statement'!L14/'Balance Sheet'!L60</f>
        <v>5.5538899908793455</v>
      </c>
      <c r="O67" s="115">
        <f>-'Income statement'!M14/'Balance Sheet'!M60</f>
        <v>5.5538899908793464</v>
      </c>
      <c r="P67" s="115">
        <f>-'Income statement'!N14/'Balance Sheet'!N60</f>
        <v>5.5538899908793464</v>
      </c>
      <c r="Q67" s="115">
        <f>-'Income statement'!O14/'Balance Sheet'!O60</f>
        <v>5.5538899908793455</v>
      </c>
      <c r="R67" s="115">
        <f>-'Income statement'!P14/'Balance Sheet'!P60</f>
        <v>5.5538899908793455</v>
      </c>
      <c r="S67" s="115">
        <f>-'Income statement'!Q14/'Balance Sheet'!Q60</f>
        <v>5.5538899908793464</v>
      </c>
      <c r="U67" s="492" t="s">
        <v>475</v>
      </c>
      <c r="V67" s="493"/>
      <c r="W67" s="493"/>
      <c r="X67" s="493"/>
      <c r="Y67" s="493"/>
      <c r="Z67" s="493"/>
      <c r="AA67" s="493"/>
      <c r="AB67" s="493"/>
      <c r="AC67" s="493"/>
      <c r="AD67" s="493"/>
      <c r="AE67" s="493"/>
      <c r="AF67" s="493"/>
      <c r="AG67" s="493"/>
      <c r="AH67" s="493"/>
      <c r="AI67" s="493"/>
      <c r="AJ67" s="493"/>
      <c r="AK67" s="493"/>
      <c r="AL67" s="494"/>
    </row>
    <row r="68" spans="2:38" x14ac:dyDescent="0.25">
      <c r="U68" s="492"/>
      <c r="V68" s="493"/>
      <c r="W68" s="493"/>
      <c r="X68" s="493"/>
      <c r="Y68" s="493"/>
      <c r="Z68" s="493"/>
      <c r="AA68" s="493"/>
      <c r="AB68" s="493"/>
      <c r="AC68" s="493"/>
      <c r="AD68" s="493"/>
      <c r="AE68" s="493"/>
      <c r="AF68" s="493"/>
      <c r="AG68" s="493"/>
      <c r="AH68" s="493"/>
      <c r="AI68" s="493"/>
      <c r="AJ68" s="493"/>
      <c r="AK68" s="493"/>
      <c r="AL68" s="494"/>
    </row>
    <row r="70" spans="2:38" ht="15.75" customHeight="1" x14ac:dyDescent="0.25">
      <c r="B70" s="476" t="s">
        <v>327</v>
      </c>
      <c r="C70" s="476"/>
      <c r="D70" s="476"/>
      <c r="E70" s="476"/>
      <c r="F70" s="476"/>
      <c r="G70" s="476"/>
      <c r="H70" s="476"/>
      <c r="I70" s="476"/>
      <c r="J70" s="476"/>
      <c r="K70" s="476"/>
      <c r="L70" s="476"/>
      <c r="M70" s="476"/>
      <c r="N70" s="476"/>
      <c r="O70" s="476"/>
      <c r="P70" s="476"/>
      <c r="Q70" s="476"/>
      <c r="R70" s="476"/>
      <c r="S70" s="476"/>
      <c r="U70" s="497"/>
      <c r="V70" s="497"/>
      <c r="W70" s="497"/>
      <c r="X70" s="497"/>
      <c r="Y70" s="497"/>
      <c r="Z70" s="497"/>
      <c r="AA70" s="497"/>
      <c r="AB70" s="497"/>
      <c r="AC70" s="497"/>
      <c r="AD70" s="497"/>
      <c r="AE70" s="497"/>
      <c r="AF70" s="497"/>
      <c r="AG70" s="497"/>
      <c r="AH70" s="497"/>
      <c r="AI70" s="497"/>
      <c r="AJ70" s="497"/>
      <c r="AK70" s="497"/>
      <c r="AL70" s="497"/>
    </row>
    <row r="73" spans="2:38" ht="15" customHeight="1" x14ac:dyDescent="0.25">
      <c r="B73" s="6" t="s">
        <v>137</v>
      </c>
      <c r="C73" s="6"/>
      <c r="D73" s="6"/>
      <c r="E73" s="243">
        <f>E25</f>
        <v>0.11616919287188465</v>
      </c>
      <c r="F73" s="243">
        <f t="shared" ref="F73:S73" si="2">F25</f>
        <v>0.19483494398990392</v>
      </c>
      <c r="G73" s="243">
        <f t="shared" si="2"/>
        <v>8.2378697545394938E-2</v>
      </c>
      <c r="H73" s="243">
        <f t="shared" si="2"/>
        <v>6.5371695862372126E-2</v>
      </c>
      <c r="I73" s="243">
        <f t="shared" si="2"/>
        <v>4.5503429913688401E-2</v>
      </c>
      <c r="J73" s="243">
        <f t="shared" si="2"/>
        <v>9.8541942933866297E-2</v>
      </c>
      <c r="K73" s="243">
        <f t="shared" si="2"/>
        <v>0.1020680069298541</v>
      </c>
      <c r="L73" s="243">
        <f t="shared" si="2"/>
        <v>0.10307321813263187</v>
      </c>
      <c r="M73" s="243">
        <f t="shared" si="2"/>
        <v>0.10324114548951463</v>
      </c>
      <c r="N73" s="243">
        <f t="shared" si="2"/>
        <v>0.10273185410111471</v>
      </c>
      <c r="O73" s="243">
        <f t="shared" si="2"/>
        <v>0.10166535870899805</v>
      </c>
      <c r="P73" s="243">
        <f t="shared" si="2"/>
        <v>0.10013269789234978</v>
      </c>
      <c r="Q73" s="243">
        <f t="shared" si="2"/>
        <v>9.8203758002504929E-2</v>
      </c>
      <c r="R73" s="243">
        <f t="shared" si="2"/>
        <v>9.5932857670451316E-2</v>
      </c>
      <c r="S73" s="243">
        <f t="shared" si="2"/>
        <v>9.336277210923602E-2</v>
      </c>
      <c r="U73" s="492" t="s">
        <v>500</v>
      </c>
      <c r="V73" s="493"/>
      <c r="W73" s="493"/>
      <c r="X73" s="493"/>
      <c r="Y73" s="493"/>
      <c r="Z73" s="493"/>
      <c r="AA73" s="493"/>
      <c r="AB73" s="493"/>
      <c r="AC73" s="493"/>
      <c r="AD73" s="493"/>
      <c r="AE73" s="493"/>
      <c r="AF73" s="493"/>
      <c r="AG73" s="493"/>
      <c r="AH73" s="493"/>
      <c r="AI73" s="493"/>
      <c r="AJ73" s="493"/>
      <c r="AK73" s="493"/>
      <c r="AL73" s="494"/>
    </row>
    <row r="74" spans="2:38" x14ac:dyDescent="0.25">
      <c r="U74" s="492"/>
      <c r="V74" s="493"/>
      <c r="W74" s="493"/>
      <c r="X74" s="493"/>
      <c r="Y74" s="493"/>
      <c r="Z74" s="493"/>
      <c r="AA74" s="493"/>
      <c r="AB74" s="493"/>
      <c r="AC74" s="493"/>
      <c r="AD74" s="493"/>
      <c r="AE74" s="493"/>
      <c r="AF74" s="493"/>
      <c r="AG74" s="493"/>
      <c r="AH74" s="493"/>
      <c r="AI74" s="493"/>
      <c r="AJ74" s="493"/>
      <c r="AK74" s="493"/>
      <c r="AL74" s="494"/>
    </row>
    <row r="75" spans="2:38" ht="15" customHeight="1" x14ac:dyDescent="0.25">
      <c r="B75" s="6" t="s">
        <v>328</v>
      </c>
      <c r="C75" s="6"/>
      <c r="D75" s="6"/>
      <c r="E75" s="115">
        <f>E61</f>
        <v>0.65735283340836037</v>
      </c>
      <c r="F75" s="115">
        <f t="shared" ref="F75:S75" si="3">F61</f>
        <v>0.87521606381095185</v>
      </c>
      <c r="G75" s="115">
        <f t="shared" si="3"/>
        <v>0.84870118519036464</v>
      </c>
      <c r="H75" s="115">
        <f t="shared" si="3"/>
        <v>0.69307386825925799</v>
      </c>
      <c r="I75" s="115">
        <f t="shared" si="3"/>
        <v>0.72398394028174695</v>
      </c>
      <c r="J75" s="115">
        <f t="shared" si="3"/>
        <v>0.75290009299317806</v>
      </c>
      <c r="K75" s="115">
        <f t="shared" si="3"/>
        <v>0.75024974550947499</v>
      </c>
      <c r="L75" s="115">
        <f t="shared" si="3"/>
        <v>0.74439455708680158</v>
      </c>
      <c r="M75" s="115">
        <f t="shared" si="3"/>
        <v>0.73629299452566954</v>
      </c>
      <c r="N75" s="115">
        <f t="shared" si="3"/>
        <v>0.7266770532260286</v>
      </c>
      <c r="O75" s="115">
        <f t="shared" si="3"/>
        <v>0.71609928619463326</v>
      </c>
      <c r="P75" s="115">
        <f t="shared" si="3"/>
        <v>0.70497413957868327</v>
      </c>
      <c r="Q75" s="115">
        <f t="shared" si="3"/>
        <v>0.69361158650956689</v>
      </c>
      <c r="R75" s="115">
        <f t="shared" si="3"/>
        <v>0.68224334587276625</v>
      </c>
      <c r="S75" s="115">
        <f t="shared" si="3"/>
        <v>0.67104282211390298</v>
      </c>
      <c r="U75" s="492" t="s">
        <v>501</v>
      </c>
      <c r="V75" s="493"/>
      <c r="W75" s="493"/>
      <c r="X75" s="493"/>
      <c r="Y75" s="493"/>
      <c r="Z75" s="493"/>
      <c r="AA75" s="493"/>
      <c r="AB75" s="493"/>
      <c r="AC75" s="493"/>
      <c r="AD75" s="493"/>
      <c r="AE75" s="493"/>
      <c r="AF75" s="493"/>
      <c r="AG75" s="493"/>
      <c r="AH75" s="493"/>
      <c r="AI75" s="493"/>
      <c r="AJ75" s="493"/>
      <c r="AK75" s="493"/>
      <c r="AL75" s="494"/>
    </row>
    <row r="76" spans="2:38" x14ac:dyDescent="0.25">
      <c r="U76" s="492"/>
      <c r="V76" s="493"/>
      <c r="W76" s="493"/>
      <c r="X76" s="493"/>
      <c r="Y76" s="493"/>
      <c r="Z76" s="493"/>
      <c r="AA76" s="493"/>
      <c r="AB76" s="493"/>
      <c r="AC76" s="493"/>
      <c r="AD76" s="493"/>
      <c r="AE76" s="493"/>
      <c r="AF76" s="493"/>
      <c r="AG76" s="493"/>
      <c r="AH76" s="493"/>
      <c r="AI76" s="493"/>
      <c r="AJ76" s="493"/>
      <c r="AK76" s="493"/>
      <c r="AL76" s="494"/>
    </row>
    <row r="77" spans="2:38" ht="15" customHeight="1" x14ac:dyDescent="0.25">
      <c r="B77" s="6" t="s">
        <v>329</v>
      </c>
      <c r="C77" s="6"/>
      <c r="D77" s="6"/>
      <c r="E77" s="115">
        <f>E47</f>
        <v>2.173933328402283</v>
      </c>
      <c r="F77" s="115">
        <f t="shared" ref="F77:S77" si="4">F47</f>
        <v>1.738147319945978</v>
      </c>
      <c r="G77" s="115">
        <f t="shared" si="4"/>
        <v>1.7438018208421393</v>
      </c>
      <c r="H77" s="115">
        <f t="shared" si="4"/>
        <v>1.9119533351353089</v>
      </c>
      <c r="I77" s="115">
        <f t="shared" si="4"/>
        <v>1.9827089748484448</v>
      </c>
      <c r="J77" s="115">
        <f t="shared" si="4"/>
        <v>1.9189257495134637</v>
      </c>
      <c r="K77" s="115">
        <f t="shared" si="4"/>
        <v>1.9127384452242586</v>
      </c>
      <c r="L77" s="115">
        <f t="shared" si="4"/>
        <v>1.8992098000930049</v>
      </c>
      <c r="M77" s="115">
        <f t="shared" si="4"/>
        <v>1.8808033506495423</v>
      </c>
      <c r="N77" s="115">
        <f t="shared" si="4"/>
        <v>1.8594140686765022</v>
      </c>
      <c r="O77" s="115">
        <f t="shared" si="4"/>
        <v>1.8364403218924175</v>
      </c>
      <c r="P77" s="115">
        <f t="shared" si="4"/>
        <v>1.8128823936795111</v>
      </c>
      <c r="Q77" s="115">
        <f t="shared" si="4"/>
        <v>1.7894375680774517</v>
      </c>
      <c r="R77" s="115">
        <f t="shared" si="4"/>
        <v>1.7665801041236135</v>
      </c>
      <c r="S77" s="115">
        <f t="shared" si="4"/>
        <v>1.7446238438612907</v>
      </c>
      <c r="U77" s="492" t="s">
        <v>502</v>
      </c>
      <c r="V77" s="493"/>
      <c r="W77" s="493"/>
      <c r="X77" s="493"/>
      <c r="Y77" s="493"/>
      <c r="Z77" s="493"/>
      <c r="AA77" s="493"/>
      <c r="AB77" s="493"/>
      <c r="AC77" s="493"/>
      <c r="AD77" s="493"/>
      <c r="AE77" s="493"/>
      <c r="AF77" s="493"/>
      <c r="AG77" s="493"/>
      <c r="AH77" s="493"/>
      <c r="AI77" s="493"/>
      <c r="AJ77" s="493"/>
      <c r="AK77" s="493"/>
      <c r="AL77" s="494"/>
    </row>
    <row r="78" spans="2:38" x14ac:dyDescent="0.25">
      <c r="U78" s="492"/>
      <c r="V78" s="493"/>
      <c r="W78" s="493"/>
      <c r="X78" s="493"/>
      <c r="Y78" s="493"/>
      <c r="Z78" s="493"/>
      <c r="AA78" s="493"/>
      <c r="AB78" s="493"/>
      <c r="AC78" s="493"/>
      <c r="AD78" s="493"/>
      <c r="AE78" s="493"/>
      <c r="AF78" s="493"/>
      <c r="AG78" s="493"/>
      <c r="AH78" s="493"/>
      <c r="AI78" s="493"/>
      <c r="AJ78" s="493"/>
      <c r="AK78" s="493"/>
      <c r="AL78" s="494"/>
    </row>
    <row r="79" spans="2:38" ht="15" customHeight="1" x14ac:dyDescent="0.25">
      <c r="B79" s="6" t="s">
        <v>330</v>
      </c>
      <c r="C79" s="6"/>
      <c r="D79" s="6"/>
      <c r="E79" s="137">
        <f>E73*E75*E77</f>
        <v>0.16601056662593261</v>
      </c>
      <c r="F79" s="137">
        <f t="shared" ref="F79:S79" si="5">F73*F75*F77</f>
        <v>0.29639352666810492</v>
      </c>
      <c r="G79" s="137">
        <f t="shared" si="5"/>
        <v>0.12191772685702408</v>
      </c>
      <c r="H79" s="137">
        <f t="shared" si="5"/>
        <v>8.6625661544566079E-2</v>
      </c>
      <c r="I79" s="137">
        <f t="shared" si="5"/>
        <v>6.5317873717683869E-2</v>
      </c>
      <c r="J79" s="137">
        <f t="shared" si="5"/>
        <v>0.14236939590961459</v>
      </c>
      <c r="K79" s="137">
        <f t="shared" si="5"/>
        <v>0.1464708083277988</v>
      </c>
      <c r="L79" s="137">
        <f t="shared" si="5"/>
        <v>0.14572094108185399</v>
      </c>
      <c r="M79" s="137">
        <f t="shared" si="5"/>
        <v>0.1429706437687967</v>
      </c>
      <c r="N79" s="137">
        <f t="shared" si="5"/>
        <v>0.13881061721842497</v>
      </c>
      <c r="O79" s="137">
        <f t="shared" si="5"/>
        <v>0.13369742964342593</v>
      </c>
      <c r="P79" s="137">
        <f t="shared" si="5"/>
        <v>0.12797311314229318</v>
      </c>
      <c r="Q79" s="137">
        <f t="shared" si="5"/>
        <v>0.12188801305777566</v>
      </c>
      <c r="R79" s="137">
        <f t="shared" si="5"/>
        <v>0.11562187956017847</v>
      </c>
      <c r="S79" s="137">
        <f t="shared" si="5"/>
        <v>0.10930141320424312</v>
      </c>
      <c r="U79" s="502" t="s">
        <v>503</v>
      </c>
      <c r="V79" s="502"/>
      <c r="W79" s="502"/>
      <c r="X79" s="502"/>
      <c r="Y79" s="502"/>
      <c r="Z79" s="502"/>
      <c r="AA79" s="502"/>
      <c r="AB79" s="502"/>
      <c r="AC79" s="502"/>
      <c r="AD79" s="502"/>
      <c r="AE79" s="502"/>
      <c r="AF79" s="502"/>
      <c r="AG79" s="502"/>
      <c r="AH79" s="502"/>
      <c r="AI79" s="502"/>
      <c r="AJ79" s="502"/>
      <c r="AK79" s="502"/>
      <c r="AL79" s="503"/>
    </row>
    <row r="80" spans="2:38" x14ac:dyDescent="0.25">
      <c r="U80" s="504"/>
      <c r="V80" s="504"/>
      <c r="W80" s="504"/>
      <c r="X80" s="504"/>
      <c r="Y80" s="504"/>
      <c r="Z80" s="504"/>
      <c r="AA80" s="504"/>
      <c r="AB80" s="504"/>
      <c r="AC80" s="504"/>
      <c r="AD80" s="504"/>
      <c r="AE80" s="504"/>
      <c r="AF80" s="504"/>
      <c r="AG80" s="504"/>
      <c r="AH80" s="504"/>
      <c r="AI80" s="504"/>
      <c r="AJ80" s="504"/>
      <c r="AK80" s="504"/>
      <c r="AL80" s="505"/>
    </row>
    <row r="82" spans="2:38" x14ac:dyDescent="0.25">
      <c r="B82" s="67"/>
      <c r="C82" s="67"/>
      <c r="D82" s="67"/>
      <c r="E82" s="67"/>
      <c r="F82" s="67"/>
      <c r="G82" s="67"/>
      <c r="H82" s="67"/>
      <c r="I82" s="67"/>
      <c r="J82" s="67"/>
      <c r="K82" s="67"/>
      <c r="L82" s="67"/>
      <c r="M82" s="67"/>
      <c r="N82" s="67"/>
      <c r="O82" s="67"/>
      <c r="P82" s="67"/>
      <c r="Q82" s="67"/>
      <c r="R82" s="67"/>
      <c r="S82" s="67"/>
      <c r="U82" s="497"/>
      <c r="V82" s="497"/>
      <c r="W82" s="497"/>
      <c r="X82" s="497"/>
      <c r="Y82" s="497"/>
      <c r="Z82" s="497"/>
      <c r="AA82" s="497"/>
      <c r="AB82" s="497"/>
      <c r="AC82" s="497"/>
      <c r="AD82" s="497"/>
      <c r="AE82" s="497"/>
      <c r="AF82" s="497"/>
      <c r="AG82" s="497"/>
      <c r="AH82" s="497"/>
      <c r="AI82" s="497"/>
      <c r="AJ82" s="497"/>
      <c r="AK82" s="497"/>
      <c r="AL82" s="497"/>
    </row>
  </sheetData>
  <mergeCells count="48">
    <mergeCell ref="U75:AL76"/>
    <mergeCell ref="U77:AL78"/>
    <mergeCell ref="U79:AL80"/>
    <mergeCell ref="U82:AL82"/>
    <mergeCell ref="U70:AL70"/>
    <mergeCell ref="U67:AL68"/>
    <mergeCell ref="U73:AL74"/>
    <mergeCell ref="U39:AL40"/>
    <mergeCell ref="U41:AL42"/>
    <mergeCell ref="U47:AL48"/>
    <mergeCell ref="U49:AL50"/>
    <mergeCell ref="U51:AL52"/>
    <mergeCell ref="U53:AL54"/>
    <mergeCell ref="U44:AL44"/>
    <mergeCell ref="U56:AL56"/>
    <mergeCell ref="U59:AL60"/>
    <mergeCell ref="U61:AL62"/>
    <mergeCell ref="U63:AL64"/>
    <mergeCell ref="U65:AL66"/>
    <mergeCell ref="U25:AL26"/>
    <mergeCell ref="U27:AL28"/>
    <mergeCell ref="U29:AL30"/>
    <mergeCell ref="U31:AL32"/>
    <mergeCell ref="U13:AL13"/>
    <mergeCell ref="B8:S8"/>
    <mergeCell ref="U15:AL16"/>
    <mergeCell ref="B39:D39"/>
    <mergeCell ref="B41:D41"/>
    <mergeCell ref="B34:S34"/>
    <mergeCell ref="B13:S13"/>
    <mergeCell ref="B15:D15"/>
    <mergeCell ref="B17:D17"/>
    <mergeCell ref="B19:D19"/>
    <mergeCell ref="B21:D21"/>
    <mergeCell ref="B23:D23"/>
    <mergeCell ref="U37:AL38"/>
    <mergeCell ref="U17:AL18"/>
    <mergeCell ref="U19:AL20"/>
    <mergeCell ref="U21:AL22"/>
    <mergeCell ref="U23:AL24"/>
    <mergeCell ref="B44:S44"/>
    <mergeCell ref="B56:S56"/>
    <mergeCell ref="B70:S70"/>
    <mergeCell ref="B25:D25"/>
    <mergeCell ref="B27:D27"/>
    <mergeCell ref="B29:D29"/>
    <mergeCell ref="B31:D31"/>
    <mergeCell ref="B37:D3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topLeftCell="A9" workbookViewId="0">
      <selection activeCell="S5" sqref="S5"/>
    </sheetView>
  </sheetViews>
  <sheetFormatPr defaultRowHeight="15" x14ac:dyDescent="0.25"/>
  <cols>
    <col min="1" max="1" width="1.85546875" customWidth="1"/>
    <col min="3" max="17" width="9.7109375" bestFit="1" customWidth="1"/>
  </cols>
  <sheetData>
    <row r="1" spans="2:17" x14ac:dyDescent="0.25">
      <c r="B1" s="260"/>
      <c r="C1" s="260"/>
      <c r="D1" s="260"/>
      <c r="E1" s="260"/>
      <c r="F1" s="260"/>
      <c r="G1" s="260"/>
      <c r="H1" s="260"/>
      <c r="I1" s="260"/>
      <c r="J1" s="260"/>
      <c r="K1" s="260"/>
      <c r="L1" s="260"/>
      <c r="M1" s="260"/>
      <c r="N1" s="260"/>
      <c r="O1" s="260"/>
      <c r="P1" s="260"/>
      <c r="Q1" s="260"/>
    </row>
    <row r="9" spans="2:17" x14ac:dyDescent="0.25">
      <c r="B9" s="27" t="s">
        <v>344</v>
      </c>
    </row>
    <row r="10" spans="2:17" x14ac:dyDescent="0.25">
      <c r="B10" s="405" t="s">
        <v>357</v>
      </c>
      <c r="C10" s="405"/>
      <c r="D10" s="405"/>
      <c r="E10" s="405"/>
      <c r="F10" s="405"/>
      <c r="G10" s="405"/>
      <c r="H10" s="405"/>
      <c r="I10" s="405"/>
      <c r="J10" s="405"/>
      <c r="K10" s="405"/>
      <c r="L10" s="405"/>
      <c r="M10" s="405"/>
      <c r="N10" s="405"/>
      <c r="O10" s="405"/>
      <c r="P10" s="405"/>
      <c r="Q10" s="405"/>
    </row>
    <row r="43" spans="2:17" x14ac:dyDescent="0.25">
      <c r="B43" s="259"/>
      <c r="C43" s="259"/>
      <c r="D43" s="259"/>
      <c r="E43" s="259"/>
      <c r="F43" s="259"/>
      <c r="G43" s="259"/>
      <c r="H43" s="259"/>
      <c r="I43" s="259"/>
      <c r="J43" s="259"/>
      <c r="K43" s="259"/>
      <c r="L43" s="259"/>
      <c r="M43" s="259"/>
      <c r="N43" s="259"/>
      <c r="O43" s="259"/>
      <c r="P43" s="259"/>
      <c r="Q43" s="259"/>
    </row>
  </sheetData>
  <mergeCells count="1">
    <mergeCell ref="B10:Q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Index</vt:lpstr>
      <vt:lpstr>Assumption</vt:lpstr>
      <vt:lpstr>Historical P&amp;L</vt:lpstr>
      <vt:lpstr>Historical balance Sheet</vt:lpstr>
      <vt:lpstr>Revenue Build_up</vt:lpstr>
      <vt:lpstr>Cost Build_up</vt:lpstr>
      <vt:lpstr>Working Capital Schedules</vt:lpstr>
      <vt:lpstr>Dep and Capex Schedules</vt:lpstr>
      <vt:lpstr>Debt Schedules</vt:lpstr>
      <vt:lpstr>Balance_Sheet</vt:lpstr>
      <vt:lpstr>Income statement</vt:lpstr>
      <vt:lpstr>Balance Sheet</vt:lpstr>
      <vt:lpstr>Cashflow Statement</vt:lpstr>
      <vt:lpstr>Common Size Statement</vt:lpstr>
      <vt:lpstr>Equity Market</vt:lpstr>
      <vt:lpstr>Beta</vt:lpstr>
      <vt:lpstr>Comps Data</vt:lpstr>
      <vt:lpstr>Comps </vt:lpstr>
      <vt:lpstr>WACC</vt:lpstr>
      <vt:lpstr>DCF</vt:lpstr>
      <vt:lpstr>Football Field Analysis</vt:lpstr>
      <vt:lpstr>Ratio Analysis</vt:lpstr>
      <vt:lpstr>Charts</vt:lpstr>
      <vt:lpstr>'Comps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Dhiraj Kumar</dc:creator>
  <cp:lastModifiedBy>Dhiraj Kumar</cp:lastModifiedBy>
  <cp:lastPrinted>2025-08-03T08:23:27Z</cp:lastPrinted>
  <dcterms:created xsi:type="dcterms:W3CDTF">2025-08-01T09:54:48Z</dcterms:created>
  <dcterms:modified xsi:type="dcterms:W3CDTF">2025-08-21T07:09:59Z</dcterms:modified>
</cp:coreProperties>
</file>