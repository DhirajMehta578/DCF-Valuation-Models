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drawings/drawing11.xml" ContentType="application/vnd.openxmlformats-officedocument.drawing+xml"/>
  <Override PartName="/xl/comments2.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hiraj Kumar\OneDrive\Desktop\Jobaaj Assigment\"/>
    </mc:Choice>
  </mc:AlternateContent>
  <bookViews>
    <workbookView xWindow="0" yWindow="0" windowWidth="20490" windowHeight="7350" firstSheet="15" activeTab="17"/>
  </bookViews>
  <sheets>
    <sheet name="Assumptions" sheetId="1" r:id="rId1"/>
    <sheet name="Historical P&amp;L" sheetId="2" r:id="rId2"/>
    <sheet name="Historical B_Sheet" sheetId="3" r:id="rId3"/>
    <sheet name="Revenue_BuildUp" sheetId="5" r:id="rId4"/>
    <sheet name="Cost_BuildUp" sheetId="6" r:id="rId5"/>
    <sheet name="FSA" sheetId="7" r:id="rId6"/>
    <sheet name="Investment" sheetId="12" r:id="rId7"/>
    <sheet name="Income Statement" sheetId="10" r:id="rId8"/>
    <sheet name="Balance_Sheet_Forecast" sheetId="8" r:id="rId9"/>
    <sheet name="Net Working Capital" sheetId="21" r:id="rId10"/>
    <sheet name="Balance Sheet" sheetId="9" r:id="rId11"/>
    <sheet name="Cash flow" sheetId="4" r:id="rId12"/>
    <sheet name="CommonSize Statement" sheetId="20" r:id="rId13"/>
    <sheet name="Market Data" sheetId="15" r:id="rId14"/>
    <sheet name="Equity Return" sheetId="16" r:id="rId15"/>
    <sheet name="Comps Data" sheetId="13" r:id="rId16"/>
    <sheet name="Comps Valuation" sheetId="14" r:id="rId17"/>
    <sheet name="DCF" sheetId="17" r:id="rId18"/>
    <sheet name="Football Field Analysis" sheetId="18" r:id="rId19"/>
    <sheet name="Ratio Analysis" sheetId="19" r:id="rId2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8" i="17" l="1"/>
  <c r="F27" i="17"/>
  <c r="F29" i="17"/>
  <c r="G30" i="14" l="1"/>
  <c r="I11" i="16" l="1"/>
  <c r="I10" i="16"/>
  <c r="H12" i="7" l="1"/>
  <c r="D10" i="12" l="1"/>
  <c r="C37" i="17"/>
  <c r="C25" i="1"/>
  <c r="F9" i="15"/>
  <c r="F10" i="15"/>
  <c r="G18" i="17"/>
  <c r="F18" i="17"/>
  <c r="E18" i="17"/>
  <c r="D18" i="17"/>
  <c r="G43" i="21"/>
  <c r="F43" i="21"/>
  <c r="E43" i="21"/>
  <c r="D43" i="21"/>
  <c r="G24" i="21"/>
  <c r="F24" i="21"/>
  <c r="E24" i="21"/>
  <c r="D24" i="21"/>
  <c r="G22" i="21"/>
  <c r="F22" i="21"/>
  <c r="E22" i="21"/>
  <c r="D22" i="21"/>
  <c r="C22" i="21"/>
  <c r="Q33" i="21"/>
  <c r="P33" i="21"/>
  <c r="O33" i="21"/>
  <c r="N33" i="21"/>
  <c r="M33" i="21"/>
  <c r="L33" i="21"/>
  <c r="K33" i="21"/>
  <c r="J33" i="21"/>
  <c r="I33" i="21"/>
  <c r="H33" i="21"/>
  <c r="G20" i="21"/>
  <c r="F20" i="21"/>
  <c r="E20" i="21"/>
  <c r="D20" i="21"/>
  <c r="C20" i="21"/>
  <c r="G15" i="21"/>
  <c r="F15" i="21"/>
  <c r="E15" i="21"/>
  <c r="D15" i="21"/>
  <c r="C15" i="21"/>
  <c r="G14" i="21"/>
  <c r="F14" i="21"/>
  <c r="E14" i="21"/>
  <c r="D14" i="21"/>
  <c r="C14" i="21"/>
  <c r="G35" i="21"/>
  <c r="F35" i="21"/>
  <c r="E35" i="21"/>
  <c r="D35" i="21"/>
  <c r="C35" i="21"/>
  <c r="G34" i="21"/>
  <c r="F34" i="21"/>
  <c r="E34" i="21"/>
  <c r="D34" i="21"/>
  <c r="C34" i="21"/>
  <c r="G33" i="21"/>
  <c r="F33" i="21"/>
  <c r="E33" i="21"/>
  <c r="D33" i="21"/>
  <c r="C33" i="21"/>
  <c r="G28" i="21"/>
  <c r="G30" i="21" s="1"/>
  <c r="F28" i="21"/>
  <c r="F30" i="21" s="1"/>
  <c r="E28" i="21"/>
  <c r="E30" i="21" s="1"/>
  <c r="D28" i="21"/>
  <c r="D30" i="21" s="1"/>
  <c r="C28" i="21"/>
  <c r="C30" i="21" s="1"/>
  <c r="D9" i="21"/>
  <c r="E9" i="21" s="1"/>
  <c r="F9" i="21" s="1"/>
  <c r="G9" i="21" s="1"/>
  <c r="H9" i="21" s="1"/>
  <c r="I9" i="21" s="1"/>
  <c r="J9" i="21" s="1"/>
  <c r="K9" i="21" s="1"/>
  <c r="L9" i="21" s="1"/>
  <c r="M9" i="21" s="1"/>
  <c r="N9" i="21" s="1"/>
  <c r="O9" i="21" s="1"/>
  <c r="P9" i="21" s="1"/>
  <c r="Q9" i="21" s="1"/>
  <c r="G13" i="17"/>
  <c r="F13" i="17"/>
  <c r="E13" i="17"/>
  <c r="D13" i="17"/>
  <c r="C13" i="17"/>
  <c r="H14" i="21" l="1"/>
  <c r="C37" i="21"/>
  <c r="C39" i="21" s="1"/>
  <c r="G37" i="21"/>
  <c r="G39" i="21" s="1"/>
  <c r="G41" i="21" s="1"/>
  <c r="H13" i="21"/>
  <c r="D37" i="21"/>
  <c r="I14" i="21"/>
  <c r="E37" i="21"/>
  <c r="E39" i="21" s="1"/>
  <c r="F37" i="21"/>
  <c r="F39" i="21" s="1"/>
  <c r="G33" i="9"/>
  <c r="F33" i="9"/>
  <c r="E33" i="9"/>
  <c r="D33" i="9"/>
  <c r="D39" i="21" l="1"/>
  <c r="D41" i="21" s="1"/>
  <c r="F41" i="21"/>
  <c r="J14" i="21"/>
  <c r="C18" i="9"/>
  <c r="C54" i="9"/>
  <c r="C30" i="9"/>
  <c r="C22" i="9"/>
  <c r="C32" i="9" s="1"/>
  <c r="J41" i="17"/>
  <c r="J42" i="17" s="1"/>
  <c r="J39" i="17"/>
  <c r="J38" i="17"/>
  <c r="N37" i="17"/>
  <c r="O37" i="17" s="1"/>
  <c r="L37" i="17"/>
  <c r="K37" i="17"/>
  <c r="E41" i="21" l="1"/>
  <c r="K14" i="21"/>
  <c r="C42" i="19"/>
  <c r="L14" i="21" l="1"/>
  <c r="H15" i="7"/>
  <c r="H19" i="6"/>
  <c r="M14" i="21" l="1"/>
  <c r="H22" i="8"/>
  <c r="H14" i="9"/>
  <c r="G17" i="17"/>
  <c r="F17" i="17"/>
  <c r="E17" i="17"/>
  <c r="D17" i="17"/>
  <c r="C17" i="17"/>
  <c r="G15" i="19"/>
  <c r="F15" i="19"/>
  <c r="E15" i="19"/>
  <c r="D15" i="19"/>
  <c r="G12" i="19"/>
  <c r="F12" i="19"/>
  <c r="E12" i="19"/>
  <c r="D12" i="19"/>
  <c r="C15" i="19"/>
  <c r="C12" i="19"/>
  <c r="N14" i="21" l="1"/>
  <c r="H26" i="5"/>
  <c r="I14" i="9"/>
  <c r="J14" i="9" s="1"/>
  <c r="K14" i="9" s="1"/>
  <c r="L14" i="9" s="1"/>
  <c r="M14" i="9" s="1"/>
  <c r="N14" i="9" s="1"/>
  <c r="O14" i="9" s="1"/>
  <c r="P14" i="9" s="1"/>
  <c r="Q14" i="9" s="1"/>
  <c r="H25" i="8"/>
  <c r="H19" i="8"/>
  <c r="H15" i="8"/>
  <c r="H12" i="8"/>
  <c r="C12" i="12"/>
  <c r="G29" i="20"/>
  <c r="F29" i="20"/>
  <c r="E29" i="20"/>
  <c r="D29" i="20"/>
  <c r="G28" i="20"/>
  <c r="F28" i="20"/>
  <c r="E28" i="20"/>
  <c r="D28" i="20"/>
  <c r="C29" i="20"/>
  <c r="C28" i="20"/>
  <c r="G19" i="6"/>
  <c r="F19" i="6"/>
  <c r="E19" i="6"/>
  <c r="D19" i="6"/>
  <c r="C19" i="6"/>
  <c r="G30" i="10"/>
  <c r="F30" i="10"/>
  <c r="E30" i="10"/>
  <c r="D30" i="10"/>
  <c r="C30" i="10"/>
  <c r="G24" i="10"/>
  <c r="F24" i="10"/>
  <c r="E24" i="10"/>
  <c r="D24" i="10"/>
  <c r="C24" i="10"/>
  <c r="G20" i="10"/>
  <c r="F20" i="10"/>
  <c r="E20" i="10"/>
  <c r="D20" i="10"/>
  <c r="C20" i="10"/>
  <c r="H23" i="5"/>
  <c r="C23" i="5"/>
  <c r="E23" i="5"/>
  <c r="F23" i="5"/>
  <c r="G23" i="5"/>
  <c r="D23" i="5"/>
  <c r="G27" i="10"/>
  <c r="F27" i="10"/>
  <c r="E27" i="10"/>
  <c r="D27" i="10"/>
  <c r="C27" i="10"/>
  <c r="G26" i="10"/>
  <c r="F26" i="10"/>
  <c r="E26" i="10"/>
  <c r="D26" i="10"/>
  <c r="C26" i="10"/>
  <c r="O14" i="21" l="1"/>
  <c r="C18" i="1"/>
  <c r="D42" i="20"/>
  <c r="E42" i="20"/>
  <c r="F42" i="20"/>
  <c r="G42" i="20"/>
  <c r="G80" i="20"/>
  <c r="F80" i="20"/>
  <c r="E80" i="20"/>
  <c r="D80" i="20"/>
  <c r="G78" i="20"/>
  <c r="F78" i="20"/>
  <c r="E78" i="20"/>
  <c r="D78" i="20"/>
  <c r="G76" i="20"/>
  <c r="F76" i="20"/>
  <c r="E76" i="20"/>
  <c r="D76" i="20"/>
  <c r="G75" i="20"/>
  <c r="F75" i="20"/>
  <c r="E75" i="20"/>
  <c r="D75" i="20"/>
  <c r="G72" i="20"/>
  <c r="F72" i="20"/>
  <c r="E72" i="20"/>
  <c r="D72" i="20"/>
  <c r="G70" i="20"/>
  <c r="F70" i="20"/>
  <c r="E70" i="20"/>
  <c r="D70" i="20"/>
  <c r="G69" i="20"/>
  <c r="F69" i="20"/>
  <c r="E69" i="20"/>
  <c r="D69" i="20"/>
  <c r="G68" i="20"/>
  <c r="F68" i="20"/>
  <c r="E68" i="20"/>
  <c r="D68" i="20"/>
  <c r="G65" i="20"/>
  <c r="F65" i="20"/>
  <c r="E65" i="20"/>
  <c r="D65" i="20"/>
  <c r="G63" i="20"/>
  <c r="F63" i="20"/>
  <c r="E63" i="20"/>
  <c r="D63" i="20"/>
  <c r="G58" i="20"/>
  <c r="F58" i="20"/>
  <c r="E58" i="20"/>
  <c r="D58" i="20"/>
  <c r="G56" i="20"/>
  <c r="F56" i="20"/>
  <c r="E56" i="20"/>
  <c r="D56" i="20"/>
  <c r="G54" i="20"/>
  <c r="F54" i="20"/>
  <c r="E54" i="20"/>
  <c r="D54" i="20"/>
  <c r="G53" i="20"/>
  <c r="F53" i="20"/>
  <c r="E53" i="20"/>
  <c r="D53" i="20"/>
  <c r="G52" i="20"/>
  <c r="F52" i="20"/>
  <c r="E52" i="20"/>
  <c r="D52" i="20"/>
  <c r="G51" i="20"/>
  <c r="F51" i="20"/>
  <c r="E51" i="20"/>
  <c r="D51" i="20"/>
  <c r="G48" i="20"/>
  <c r="F48" i="20"/>
  <c r="E48" i="20"/>
  <c r="D48" i="20"/>
  <c r="G46" i="20"/>
  <c r="F46" i="20"/>
  <c r="E46" i="20"/>
  <c r="D46" i="20"/>
  <c r="G45" i="20"/>
  <c r="F45" i="20"/>
  <c r="E45" i="20"/>
  <c r="D45" i="20"/>
  <c r="G44" i="20"/>
  <c r="F44" i="20"/>
  <c r="E44" i="20"/>
  <c r="D44" i="20"/>
  <c r="G43" i="20"/>
  <c r="F43" i="20"/>
  <c r="E43" i="20"/>
  <c r="D43" i="20"/>
  <c r="G40" i="20"/>
  <c r="F40" i="20"/>
  <c r="E40" i="20"/>
  <c r="D40" i="20"/>
  <c r="G39" i="20"/>
  <c r="F39" i="20"/>
  <c r="E39" i="20"/>
  <c r="D39" i="20"/>
  <c r="D9" i="20"/>
  <c r="E9" i="20" s="1"/>
  <c r="F9" i="20" s="1"/>
  <c r="G9" i="20" s="1"/>
  <c r="H9" i="20" s="1"/>
  <c r="I9" i="20" s="1"/>
  <c r="J9" i="20" s="1"/>
  <c r="K9" i="20" s="1"/>
  <c r="L9" i="20" s="1"/>
  <c r="M9" i="20" s="1"/>
  <c r="N9" i="20" s="1"/>
  <c r="O9" i="20" s="1"/>
  <c r="P9" i="20" s="1"/>
  <c r="Q9" i="20" s="1"/>
  <c r="G36" i="19"/>
  <c r="F36" i="19"/>
  <c r="E36" i="19"/>
  <c r="D36" i="19"/>
  <c r="G21" i="19"/>
  <c r="F21" i="19"/>
  <c r="E21" i="19"/>
  <c r="D21" i="19"/>
  <c r="C21" i="19"/>
  <c r="D9" i="19"/>
  <c r="E9" i="19" s="1"/>
  <c r="F9" i="19" s="1"/>
  <c r="G9" i="19" s="1"/>
  <c r="H9" i="19" s="1"/>
  <c r="I9" i="19" s="1"/>
  <c r="J9" i="19" s="1"/>
  <c r="K9" i="19" s="1"/>
  <c r="L9" i="19" s="1"/>
  <c r="M9" i="19" s="1"/>
  <c r="N9" i="19" s="1"/>
  <c r="O9" i="19" s="1"/>
  <c r="P9" i="19" s="1"/>
  <c r="Q9" i="19" s="1"/>
  <c r="I14" i="18"/>
  <c r="H14" i="18"/>
  <c r="G14" i="18"/>
  <c r="F14" i="18"/>
  <c r="E14" i="18"/>
  <c r="I12" i="18"/>
  <c r="H12" i="18"/>
  <c r="G12" i="18"/>
  <c r="F12" i="18"/>
  <c r="E12" i="18"/>
  <c r="O27" i="17"/>
  <c r="N27" i="17"/>
  <c r="K27" i="17"/>
  <c r="L27" i="17"/>
  <c r="J31" i="17"/>
  <c r="J32" i="17" s="1"/>
  <c r="J29" i="17"/>
  <c r="J28" i="17" s="1"/>
  <c r="C24" i="1"/>
  <c r="C29" i="17"/>
  <c r="Q10" i="17"/>
  <c r="R10" i="17" s="1"/>
  <c r="P10" i="17"/>
  <c r="O10" i="17"/>
  <c r="N10" i="17"/>
  <c r="M10" i="17"/>
  <c r="L10" i="17"/>
  <c r="K10" i="17"/>
  <c r="J10" i="17"/>
  <c r="I10" i="17"/>
  <c r="H10" i="17"/>
  <c r="G10" i="17"/>
  <c r="D7" i="17"/>
  <c r="E7" i="17" s="1"/>
  <c r="F7" i="17" s="1"/>
  <c r="G7" i="17" s="1"/>
  <c r="H7" i="17" s="1"/>
  <c r="I7" i="17" s="1"/>
  <c r="J7" i="17" s="1"/>
  <c r="K7" i="17" s="1"/>
  <c r="L7" i="17" s="1"/>
  <c r="M7" i="17" s="1"/>
  <c r="N7" i="17" s="1"/>
  <c r="O7" i="17" s="1"/>
  <c r="P7" i="17" s="1"/>
  <c r="Q7" i="17" s="1"/>
  <c r="C38" i="17"/>
  <c r="I12" i="16"/>
  <c r="P14" i="21" l="1"/>
  <c r="H21" i="19"/>
  <c r="I19" i="6"/>
  <c r="J19" i="6" s="1"/>
  <c r="K19" i="6" s="1"/>
  <c r="L19" i="6" s="1"/>
  <c r="M19" i="6" s="1"/>
  <c r="N19" i="6" s="1"/>
  <c r="O19" i="6" s="1"/>
  <c r="P19" i="6" s="1"/>
  <c r="Q19" i="6" s="1"/>
  <c r="C26" i="1"/>
  <c r="J12" i="17"/>
  <c r="N12" i="17"/>
  <c r="H12" i="17"/>
  <c r="L12" i="17"/>
  <c r="P12" i="17"/>
  <c r="C39" i="17"/>
  <c r="K12" i="17"/>
  <c r="O12" i="17"/>
  <c r="M12" i="17"/>
  <c r="Q12" i="17"/>
  <c r="I12" i="17"/>
  <c r="Q14" i="21" l="1"/>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F130" i="16"/>
  <c r="F129" i="16" l="1"/>
  <c r="F128" i="16"/>
  <c r="F127" i="16"/>
  <c r="F126" i="16"/>
  <c r="F125" i="16"/>
  <c r="F124" i="16"/>
  <c r="F123" i="16"/>
  <c r="F122" i="16"/>
  <c r="F121" i="16"/>
  <c r="F120" i="16"/>
  <c r="F119" i="16"/>
  <c r="F118" i="16"/>
  <c r="F117" i="16"/>
  <c r="F116" i="16"/>
  <c r="F115" i="16"/>
  <c r="F114" i="16"/>
  <c r="F113" i="16"/>
  <c r="F112" i="16"/>
  <c r="F111" i="16"/>
  <c r="F110" i="16"/>
  <c r="F109" i="16"/>
  <c r="F108" i="16"/>
  <c r="F107" i="16"/>
  <c r="F106" i="16"/>
  <c r="F105" i="16"/>
  <c r="F104" i="16"/>
  <c r="F103" i="16"/>
  <c r="F102" i="16"/>
  <c r="F101" i="16"/>
  <c r="F100" i="16"/>
  <c r="F99" i="16"/>
  <c r="F98" i="16"/>
  <c r="F97" i="16"/>
  <c r="F96" i="16"/>
  <c r="F95" i="16"/>
  <c r="F94" i="16"/>
  <c r="F93" i="16"/>
  <c r="F92" i="16"/>
  <c r="F91" i="16"/>
  <c r="F90" i="16"/>
  <c r="F89" i="16"/>
  <c r="F88" i="16"/>
  <c r="F87" i="16"/>
  <c r="F86" i="16"/>
  <c r="F85" i="16"/>
  <c r="F84" i="16"/>
  <c r="F83" i="16"/>
  <c r="F82" i="16"/>
  <c r="F81" i="16"/>
  <c r="F80" i="16"/>
  <c r="F79" i="16"/>
  <c r="F78" i="16"/>
  <c r="F77" i="16"/>
  <c r="F76" i="16"/>
  <c r="F75" i="16"/>
  <c r="F74" i="16"/>
  <c r="F73" i="16"/>
  <c r="F72" i="16"/>
  <c r="F71" i="16"/>
  <c r="F70" i="16"/>
  <c r="F69" i="16"/>
  <c r="F68" i="16"/>
  <c r="F67" i="16"/>
  <c r="F66" i="16"/>
  <c r="F65" i="16"/>
  <c r="F64" i="16"/>
  <c r="F63" i="16"/>
  <c r="F62" i="16"/>
  <c r="F61" i="16"/>
  <c r="F60" i="16"/>
  <c r="F59" i="16"/>
  <c r="F58" i="16"/>
  <c r="F57" i="16"/>
  <c r="F56" i="16"/>
  <c r="F55" i="16"/>
  <c r="F54" i="16"/>
  <c r="F53" i="16"/>
  <c r="F52" i="16"/>
  <c r="F51" i="16"/>
  <c r="F50" i="16"/>
  <c r="F49" i="16"/>
  <c r="F48" i="16"/>
  <c r="F47" i="16"/>
  <c r="F46" i="16"/>
  <c r="F45" i="16"/>
  <c r="F44" i="16"/>
  <c r="F43" i="16"/>
  <c r="F42" i="16"/>
  <c r="F41" i="16"/>
  <c r="F40" i="16"/>
  <c r="F39" i="16"/>
  <c r="F38" i="16"/>
  <c r="F37" i="16"/>
  <c r="F36" i="16"/>
  <c r="F35" i="16"/>
  <c r="F34" i="16"/>
  <c r="F33" i="16"/>
  <c r="F32" i="16"/>
  <c r="F31" i="16"/>
  <c r="F30" i="16"/>
  <c r="F29" i="16"/>
  <c r="F28" i="16"/>
  <c r="F27" i="16"/>
  <c r="F26" i="16"/>
  <c r="F25" i="16"/>
  <c r="F24" i="16"/>
  <c r="F23" i="16"/>
  <c r="F22" i="16"/>
  <c r="F21" i="16"/>
  <c r="F20" i="16"/>
  <c r="F19" i="16"/>
  <c r="F18" i="16"/>
  <c r="F17" i="16"/>
  <c r="F16" i="16"/>
  <c r="F15" i="16"/>
  <c r="F14" i="16"/>
  <c r="F13" i="16"/>
  <c r="F12" i="16"/>
  <c r="F11" i="16"/>
  <c r="N26" i="14"/>
  <c r="M26" i="14"/>
  <c r="L26" i="14"/>
  <c r="I26" i="14"/>
  <c r="F38" i="17" s="1"/>
  <c r="H26" i="14"/>
  <c r="F26" i="14"/>
  <c r="I32" i="14" s="1"/>
  <c r="E26" i="14"/>
  <c r="B26" i="14"/>
  <c r="N16" i="14"/>
  <c r="M16" i="14"/>
  <c r="L16" i="14"/>
  <c r="N15" i="14"/>
  <c r="M15" i="14"/>
  <c r="L15" i="14"/>
  <c r="N14" i="14"/>
  <c r="M14" i="14"/>
  <c r="L14" i="14"/>
  <c r="N13" i="14"/>
  <c r="M13" i="14"/>
  <c r="L13" i="14"/>
  <c r="N12" i="14"/>
  <c r="M12" i="14"/>
  <c r="L12" i="14"/>
  <c r="N11" i="14"/>
  <c r="M11" i="14"/>
  <c r="L11" i="14"/>
  <c r="I16" i="14"/>
  <c r="I15" i="14"/>
  <c r="I14" i="14"/>
  <c r="I13" i="14"/>
  <c r="I12" i="14"/>
  <c r="I11" i="14"/>
  <c r="H16" i="14"/>
  <c r="H15" i="14"/>
  <c r="H14" i="14"/>
  <c r="H13" i="14"/>
  <c r="H12" i="14"/>
  <c r="H11" i="14"/>
  <c r="F16" i="14"/>
  <c r="F15" i="14"/>
  <c r="F14" i="14"/>
  <c r="F13" i="14"/>
  <c r="F12" i="14"/>
  <c r="F11" i="14"/>
  <c r="E16" i="14"/>
  <c r="E15" i="14"/>
  <c r="E14" i="14"/>
  <c r="E13" i="14"/>
  <c r="E12" i="14"/>
  <c r="E11" i="14"/>
  <c r="B16" i="14"/>
  <c r="B15" i="14"/>
  <c r="B14" i="14"/>
  <c r="B13" i="14"/>
  <c r="B12" i="14"/>
  <c r="B11" i="14"/>
  <c r="C40" i="17" l="1"/>
  <c r="C41" i="17" s="1"/>
  <c r="G32" i="14"/>
  <c r="F39" i="17"/>
  <c r="I36" i="14"/>
  <c r="I38" i="14"/>
  <c r="G38" i="14"/>
  <c r="G36" i="14"/>
  <c r="G37" i="14"/>
  <c r="I37" i="14"/>
  <c r="I30" i="14"/>
  <c r="I31" i="14"/>
  <c r="G31" i="14"/>
  <c r="G16" i="14"/>
  <c r="R16" i="14" s="1"/>
  <c r="G26" i="14"/>
  <c r="J26" i="14" s="1"/>
  <c r="G13" i="14"/>
  <c r="J13" i="14" s="1"/>
  <c r="G11" i="14"/>
  <c r="J11" i="14" s="1"/>
  <c r="G14" i="14"/>
  <c r="J14" i="14" s="1"/>
  <c r="G12" i="14"/>
  <c r="R12" i="14" s="1"/>
  <c r="G15" i="14"/>
  <c r="J15" i="14" s="1"/>
  <c r="J16" i="14"/>
  <c r="R14" i="14" l="1"/>
  <c r="R13" i="14"/>
  <c r="R26" i="14"/>
  <c r="C27" i="17"/>
  <c r="R11" i="14"/>
  <c r="R15" i="14"/>
  <c r="J12" i="14"/>
  <c r="P12" i="14" s="1"/>
  <c r="Q11" i="14"/>
  <c r="P11" i="14"/>
  <c r="Q12" i="14"/>
  <c r="Q26" i="14"/>
  <c r="P26" i="14"/>
  <c r="Q14" i="14"/>
  <c r="P14" i="14"/>
  <c r="Q13" i="14"/>
  <c r="P13" i="14"/>
  <c r="Q16" i="14"/>
  <c r="P16" i="14"/>
  <c r="P15" i="14"/>
  <c r="Q15" i="14"/>
  <c r="R22" i="14" l="1"/>
  <c r="E32" i="14" s="1"/>
  <c r="H32" i="14" s="1"/>
  <c r="J32" i="14" s="1"/>
  <c r="L32" i="14" s="1"/>
  <c r="R24" i="14"/>
  <c r="R19" i="14"/>
  <c r="R21" i="14"/>
  <c r="E38" i="14" s="1"/>
  <c r="H38" i="14" s="1"/>
  <c r="J38" i="14" s="1"/>
  <c r="L38" i="14" s="1"/>
  <c r="R23" i="14"/>
  <c r="R20" i="14"/>
  <c r="F32" i="14"/>
  <c r="P21" i="14"/>
  <c r="E36" i="14" s="1"/>
  <c r="F36" i="14" s="1"/>
  <c r="H36" i="14" s="1"/>
  <c r="J36" i="14" s="1"/>
  <c r="L36" i="14" s="1"/>
  <c r="P20" i="14"/>
  <c r="P23" i="14"/>
  <c r="P24" i="14"/>
  <c r="P19" i="14"/>
  <c r="P22" i="14"/>
  <c r="E30" i="14" s="1"/>
  <c r="F30" i="14" s="1"/>
  <c r="H30" i="14" s="1"/>
  <c r="J30" i="14" s="1"/>
  <c r="L30" i="14" s="1"/>
  <c r="Q23" i="14"/>
  <c r="Q21" i="14"/>
  <c r="E37" i="14" s="1"/>
  <c r="Q19" i="14"/>
  <c r="Q20" i="14"/>
  <c r="Q24" i="14"/>
  <c r="Q22" i="14"/>
  <c r="E31" i="14" s="1"/>
  <c r="F38" i="14" l="1"/>
  <c r="F37" i="14"/>
  <c r="H37" i="14" s="1"/>
  <c r="J37" i="14" s="1"/>
  <c r="L37" i="14" s="1"/>
  <c r="C21" i="1"/>
  <c r="F31" i="14"/>
  <c r="H31" i="14" s="1"/>
  <c r="J31" i="14" s="1"/>
  <c r="L31" i="14" s="1"/>
  <c r="D18" i="12" l="1"/>
  <c r="G20" i="12"/>
  <c r="F20" i="12"/>
  <c r="E20" i="12"/>
  <c r="D20" i="12"/>
  <c r="G12" i="12"/>
  <c r="H10" i="12" s="1"/>
  <c r="F12" i="12"/>
  <c r="G10" i="12" s="1"/>
  <c r="E12" i="12"/>
  <c r="F10" i="12" s="1"/>
  <c r="D12" i="12"/>
  <c r="D14" i="12" s="1"/>
  <c r="D7" i="12"/>
  <c r="E7" i="12" s="1"/>
  <c r="F7" i="12" s="1"/>
  <c r="G7" i="12" s="1"/>
  <c r="H7" i="12" s="1"/>
  <c r="I7" i="12" s="1"/>
  <c r="J7" i="12" s="1"/>
  <c r="K7" i="12" s="1"/>
  <c r="L7" i="12" s="1"/>
  <c r="M7" i="12" s="1"/>
  <c r="N7" i="12" s="1"/>
  <c r="O7" i="12" s="1"/>
  <c r="P7" i="12" s="1"/>
  <c r="Q7" i="12" s="1"/>
  <c r="D19" i="12" l="1"/>
  <c r="E22" i="12"/>
  <c r="F22" i="12"/>
  <c r="F18" i="12"/>
  <c r="F19" i="12" s="1"/>
  <c r="F14" i="12"/>
  <c r="G14" i="12"/>
  <c r="G18" i="12"/>
  <c r="G19" i="12" s="1"/>
  <c r="G22" i="12"/>
  <c r="H18" i="12"/>
  <c r="E14" i="12"/>
  <c r="C15" i="12" s="1"/>
  <c r="E18" i="12"/>
  <c r="E19" i="12" s="1"/>
  <c r="D11" i="12"/>
  <c r="F11" i="12"/>
  <c r="G11" i="12"/>
  <c r="E10" i="12"/>
  <c r="E11" i="12" s="1"/>
  <c r="G50" i="9"/>
  <c r="H14" i="12" l="1"/>
  <c r="I14" i="12" s="1"/>
  <c r="J14" i="12" s="1"/>
  <c r="K14" i="12" s="1"/>
  <c r="L14" i="12" s="1"/>
  <c r="M14" i="12" s="1"/>
  <c r="N14" i="12" s="1"/>
  <c r="O14" i="12" s="1"/>
  <c r="P14" i="12" s="1"/>
  <c r="Q14" i="12" s="1"/>
  <c r="C23" i="12"/>
  <c r="H22" i="12"/>
  <c r="I22" i="12" s="1"/>
  <c r="J22" i="12" s="1"/>
  <c r="K22" i="12" s="1"/>
  <c r="L22" i="12" s="1"/>
  <c r="M22" i="12" s="1"/>
  <c r="N22" i="12" s="1"/>
  <c r="O22" i="12" s="1"/>
  <c r="P22" i="12" s="1"/>
  <c r="Q22" i="12" s="1"/>
  <c r="H49" i="4"/>
  <c r="E7" i="4"/>
  <c r="F7" i="4" s="1"/>
  <c r="G7" i="4" s="1"/>
  <c r="H7" i="4" s="1"/>
  <c r="I7" i="4" s="1"/>
  <c r="J7" i="4" s="1"/>
  <c r="K7" i="4" s="1"/>
  <c r="L7" i="4" s="1"/>
  <c r="M7" i="4" s="1"/>
  <c r="N7" i="4" s="1"/>
  <c r="O7" i="4" s="1"/>
  <c r="P7" i="4" s="1"/>
  <c r="Q7" i="4" s="1"/>
  <c r="D7" i="4"/>
  <c r="G37" i="10"/>
  <c r="F37" i="10"/>
  <c r="E37" i="10"/>
  <c r="D37" i="10"/>
  <c r="C37" i="10"/>
  <c r="G25" i="5"/>
  <c r="F25" i="5"/>
  <c r="E25" i="5"/>
  <c r="D25" i="5"/>
  <c r="C25" i="5"/>
  <c r="G32" i="10"/>
  <c r="F32" i="10"/>
  <c r="E32" i="10"/>
  <c r="D32" i="10"/>
  <c r="C32" i="10"/>
  <c r="E22" i="10"/>
  <c r="F16" i="10"/>
  <c r="D7" i="10"/>
  <c r="E7" i="10" s="1"/>
  <c r="F7" i="10" s="1"/>
  <c r="G7" i="10" s="1"/>
  <c r="H7" i="10" s="1"/>
  <c r="I7" i="10" s="1"/>
  <c r="J7" i="10" s="1"/>
  <c r="K7" i="10" s="1"/>
  <c r="L7" i="10" s="1"/>
  <c r="M7" i="10" s="1"/>
  <c r="N7" i="10" s="1"/>
  <c r="O7" i="10" s="1"/>
  <c r="P7" i="10" s="1"/>
  <c r="Q7" i="10" s="1"/>
  <c r="F50" i="9"/>
  <c r="E50" i="9"/>
  <c r="D50" i="9"/>
  <c r="G49" i="9"/>
  <c r="G52" i="9" s="1"/>
  <c r="F49" i="9"/>
  <c r="F52" i="9" s="1"/>
  <c r="E49" i="9"/>
  <c r="E52" i="9" s="1"/>
  <c r="D49" i="9"/>
  <c r="D52" i="9" s="1"/>
  <c r="C50" i="9"/>
  <c r="C49" i="9"/>
  <c r="G44" i="9"/>
  <c r="F44" i="9"/>
  <c r="E44" i="9"/>
  <c r="D44" i="9"/>
  <c r="G43" i="9"/>
  <c r="F43" i="9"/>
  <c r="E43" i="9"/>
  <c r="D43" i="9"/>
  <c r="G42" i="9"/>
  <c r="H42" i="9" s="1"/>
  <c r="I42" i="9" s="1"/>
  <c r="J42" i="9" s="1"/>
  <c r="K42" i="9" s="1"/>
  <c r="L42" i="9" s="1"/>
  <c r="M42" i="9" s="1"/>
  <c r="N42" i="9" s="1"/>
  <c r="O42" i="9" s="1"/>
  <c r="P42" i="9" s="1"/>
  <c r="Q42" i="9" s="1"/>
  <c r="F42" i="9"/>
  <c r="F46" i="9" s="1"/>
  <c r="E42" i="9"/>
  <c r="E46" i="9" s="1"/>
  <c r="D42" i="9"/>
  <c r="D46" i="9" s="1"/>
  <c r="C44" i="9"/>
  <c r="C43" i="9"/>
  <c r="C42" i="9"/>
  <c r="G37" i="9"/>
  <c r="G39" i="9" s="1"/>
  <c r="F37" i="9"/>
  <c r="F39" i="9" s="1"/>
  <c r="E37" i="9"/>
  <c r="E39" i="9" s="1"/>
  <c r="D37" i="9"/>
  <c r="D39" i="9" s="1"/>
  <c r="C37" i="9"/>
  <c r="C39" i="9" s="1"/>
  <c r="G28" i="9"/>
  <c r="F28" i="9"/>
  <c r="E28" i="9"/>
  <c r="D28" i="9"/>
  <c r="G27" i="9"/>
  <c r="F27" i="9"/>
  <c r="E27" i="9"/>
  <c r="D27" i="9"/>
  <c r="G26" i="9"/>
  <c r="F26" i="9"/>
  <c r="E26" i="9"/>
  <c r="D26" i="9"/>
  <c r="G25" i="9"/>
  <c r="G30" i="9" s="1"/>
  <c r="F25" i="9"/>
  <c r="F30" i="9" s="1"/>
  <c r="E25" i="9"/>
  <c r="E30" i="9" s="1"/>
  <c r="D25" i="9"/>
  <c r="D30" i="9" s="1"/>
  <c r="C28" i="9"/>
  <c r="C27" i="9"/>
  <c r="C26" i="9"/>
  <c r="C25" i="9"/>
  <c r="G20" i="9"/>
  <c r="F20" i="9"/>
  <c r="E20" i="9"/>
  <c r="D20" i="9"/>
  <c r="G19" i="9"/>
  <c r="F19" i="9"/>
  <c r="E19" i="9"/>
  <c r="D19" i="9"/>
  <c r="G18" i="9"/>
  <c r="F18" i="9"/>
  <c r="E18" i="9"/>
  <c r="D18" i="9"/>
  <c r="G17" i="9"/>
  <c r="F17" i="9"/>
  <c r="E17" i="9"/>
  <c r="D17" i="9"/>
  <c r="G14" i="9"/>
  <c r="F14" i="9"/>
  <c r="E14" i="9"/>
  <c r="D14" i="9"/>
  <c r="G13" i="9"/>
  <c r="G22" i="9" s="1"/>
  <c r="F13" i="9"/>
  <c r="F22" i="9" s="1"/>
  <c r="E13" i="9"/>
  <c r="E22" i="9" s="1"/>
  <c r="E32" i="9" s="1"/>
  <c r="D13" i="9"/>
  <c r="D22" i="9" s="1"/>
  <c r="C20" i="9"/>
  <c r="C19" i="9"/>
  <c r="C17" i="9"/>
  <c r="C14" i="9"/>
  <c r="C13" i="9"/>
  <c r="D9" i="9"/>
  <c r="E9" i="9" s="1"/>
  <c r="F9" i="9" s="1"/>
  <c r="G9" i="9" s="1"/>
  <c r="H9" i="9" s="1"/>
  <c r="I9" i="9" s="1"/>
  <c r="J9" i="9" s="1"/>
  <c r="K9" i="9" s="1"/>
  <c r="L9" i="9" s="1"/>
  <c r="M9" i="9" s="1"/>
  <c r="N9" i="9" s="1"/>
  <c r="O9" i="9" s="1"/>
  <c r="P9" i="9" s="1"/>
  <c r="Q9" i="9" s="1"/>
  <c r="G36" i="8"/>
  <c r="F36" i="8"/>
  <c r="E36" i="8"/>
  <c r="D36" i="8"/>
  <c r="G33" i="8"/>
  <c r="F33" i="8"/>
  <c r="E33" i="8"/>
  <c r="D33" i="8"/>
  <c r="G29" i="8"/>
  <c r="F29" i="8"/>
  <c r="E29" i="8"/>
  <c r="D29" i="8"/>
  <c r="G24" i="8"/>
  <c r="F24" i="8"/>
  <c r="E24" i="8"/>
  <c r="D24" i="8"/>
  <c r="G21" i="8"/>
  <c r="F21" i="8"/>
  <c r="E21" i="8"/>
  <c r="D21" i="8"/>
  <c r="G18" i="8"/>
  <c r="F18" i="8"/>
  <c r="E18" i="8"/>
  <c r="D18" i="8"/>
  <c r="C36" i="8"/>
  <c r="C33" i="8"/>
  <c r="C29" i="8"/>
  <c r="C24" i="8"/>
  <c r="C21" i="8"/>
  <c r="C18" i="8"/>
  <c r="G14" i="8"/>
  <c r="F14" i="8"/>
  <c r="E14" i="8"/>
  <c r="D14" i="8"/>
  <c r="C14" i="8"/>
  <c r="G11" i="8"/>
  <c r="F11" i="8"/>
  <c r="E11" i="8"/>
  <c r="D11" i="8"/>
  <c r="C11" i="8"/>
  <c r="D7" i="8"/>
  <c r="E7" i="8" s="1"/>
  <c r="F7" i="8" s="1"/>
  <c r="G7" i="8" s="1"/>
  <c r="H7" i="8" s="1"/>
  <c r="I7" i="8" s="1"/>
  <c r="J7" i="8" s="1"/>
  <c r="K7" i="8" s="1"/>
  <c r="L7" i="8" s="1"/>
  <c r="M7" i="8" s="1"/>
  <c r="N7" i="8" s="1"/>
  <c r="O7" i="8" s="1"/>
  <c r="P7" i="8" s="1"/>
  <c r="Q7" i="8" s="1"/>
  <c r="D15" i="7"/>
  <c r="D11" i="7"/>
  <c r="H10" i="7"/>
  <c r="G10" i="7"/>
  <c r="F10" i="7"/>
  <c r="E10" i="7"/>
  <c r="D10" i="7"/>
  <c r="G13" i="7"/>
  <c r="F13" i="7"/>
  <c r="E13" i="7"/>
  <c r="D13" i="7"/>
  <c r="C13" i="7"/>
  <c r="G12" i="7"/>
  <c r="G15" i="7" s="1"/>
  <c r="F12" i="7"/>
  <c r="F15" i="7" s="1"/>
  <c r="E12" i="7"/>
  <c r="E15" i="7" s="1"/>
  <c r="D12" i="7"/>
  <c r="D22" i="10" s="1"/>
  <c r="C12" i="7"/>
  <c r="C22" i="10" s="1"/>
  <c r="D7" i="7"/>
  <c r="E7" i="7" s="1"/>
  <c r="F7" i="7" s="1"/>
  <c r="G7" i="7" s="1"/>
  <c r="H7" i="7" s="1"/>
  <c r="I7" i="7" s="1"/>
  <c r="J7" i="7" s="1"/>
  <c r="K7" i="7" s="1"/>
  <c r="L7" i="7" s="1"/>
  <c r="M7" i="7" s="1"/>
  <c r="N7" i="7" s="1"/>
  <c r="O7" i="7" s="1"/>
  <c r="P7" i="7" s="1"/>
  <c r="Q7" i="7" s="1"/>
  <c r="C13" i="1"/>
  <c r="G18" i="6"/>
  <c r="F18" i="6"/>
  <c r="E18" i="6"/>
  <c r="D18" i="6"/>
  <c r="C18" i="6"/>
  <c r="G22" i="5"/>
  <c r="F22" i="5"/>
  <c r="E22" i="5"/>
  <c r="D22" i="5"/>
  <c r="C22" i="5"/>
  <c r="G14" i="6"/>
  <c r="G17" i="10" s="1"/>
  <c r="F14" i="6"/>
  <c r="F17" i="10" s="1"/>
  <c r="E14" i="6"/>
  <c r="E17" i="10" s="1"/>
  <c r="D14" i="6"/>
  <c r="D17" i="10" s="1"/>
  <c r="C14" i="6"/>
  <c r="C17" i="10" s="1"/>
  <c r="G11" i="6"/>
  <c r="G16" i="10" s="1"/>
  <c r="F11" i="6"/>
  <c r="E11" i="6"/>
  <c r="E16" i="10" s="1"/>
  <c r="D11" i="6"/>
  <c r="D16" i="10" s="1"/>
  <c r="C11" i="6"/>
  <c r="C16" i="10" s="1"/>
  <c r="D7" i="6"/>
  <c r="E7" i="6" s="1"/>
  <c r="F7" i="6" s="1"/>
  <c r="G7" i="6" s="1"/>
  <c r="H7" i="6" s="1"/>
  <c r="I7" i="6" s="1"/>
  <c r="J7" i="6" s="1"/>
  <c r="K7" i="6" s="1"/>
  <c r="L7" i="6" s="1"/>
  <c r="M7" i="6" s="1"/>
  <c r="N7" i="6" s="1"/>
  <c r="O7" i="6" s="1"/>
  <c r="P7" i="6" s="1"/>
  <c r="Q7" i="6" s="1"/>
  <c r="C8" i="1"/>
  <c r="D18" i="10" l="1"/>
  <c r="D16" i="17"/>
  <c r="E18" i="10"/>
  <c r="C16" i="17"/>
  <c r="E16" i="17"/>
  <c r="G18" i="10"/>
  <c r="I15" i="7"/>
  <c r="J15" i="7" s="1"/>
  <c r="E11" i="7"/>
  <c r="F22" i="10"/>
  <c r="F11" i="7"/>
  <c r="G22" i="10"/>
  <c r="F18" i="10"/>
  <c r="G11" i="7"/>
  <c r="C46" i="9"/>
  <c r="C52" i="9"/>
  <c r="H39" i="4"/>
  <c r="H49" i="9"/>
  <c r="I49" i="9" s="1"/>
  <c r="J49" i="9" s="1"/>
  <c r="K49" i="9" s="1"/>
  <c r="L49" i="9" s="1"/>
  <c r="M49" i="9" s="1"/>
  <c r="N49" i="9" s="1"/>
  <c r="O49" i="9" s="1"/>
  <c r="P49" i="9" s="1"/>
  <c r="Q49" i="9" s="1"/>
  <c r="F32" i="9"/>
  <c r="G46" i="9"/>
  <c r="E54" i="9"/>
  <c r="E57" i="9" s="1"/>
  <c r="F54" i="9"/>
  <c r="D54" i="9"/>
  <c r="G32" i="9"/>
  <c r="G54" i="9"/>
  <c r="D32" i="9"/>
  <c r="H12" i="12"/>
  <c r="H18" i="9" s="1"/>
  <c r="H20" i="12"/>
  <c r="C18" i="10"/>
  <c r="H33" i="4" l="1"/>
  <c r="H19" i="9"/>
  <c r="C48" i="20"/>
  <c r="K15" i="7"/>
  <c r="L15" i="7" s="1"/>
  <c r="M15" i="7" s="1"/>
  <c r="H11" i="12"/>
  <c r="I10" i="12"/>
  <c r="I12" i="12"/>
  <c r="I18" i="9" s="1"/>
  <c r="G16" i="17"/>
  <c r="F16" i="17"/>
  <c r="H22" i="10"/>
  <c r="H12" i="4" s="1"/>
  <c r="I18" i="12"/>
  <c r="H19" i="12"/>
  <c r="C33" i="17"/>
  <c r="C34" i="17" s="1"/>
  <c r="C43" i="17" s="1"/>
  <c r="C23" i="1" s="1"/>
  <c r="H11" i="7"/>
  <c r="H17" i="17" s="1"/>
  <c r="C57" i="9"/>
  <c r="D57" i="9"/>
  <c r="G57" i="9"/>
  <c r="F57" i="9"/>
  <c r="J39" i="4"/>
  <c r="I39" i="4"/>
  <c r="I20" i="12"/>
  <c r="I13" i="21" s="1"/>
  <c r="I19" i="9" l="1"/>
  <c r="H34" i="4"/>
  <c r="I33" i="4"/>
  <c r="I34" i="4"/>
  <c r="C78" i="20"/>
  <c r="C70" i="20"/>
  <c r="C63" i="20"/>
  <c r="C53" i="20"/>
  <c r="C46" i="20"/>
  <c r="C40" i="20"/>
  <c r="C42" i="20"/>
  <c r="C68" i="20"/>
  <c r="C51" i="20"/>
  <c r="C72" i="20"/>
  <c r="C54" i="20"/>
  <c r="C43" i="20"/>
  <c r="C76" i="20"/>
  <c r="C69" i="20"/>
  <c r="C58" i="20"/>
  <c r="C52" i="20"/>
  <c r="C45" i="20"/>
  <c r="C39" i="20"/>
  <c r="C75" i="20"/>
  <c r="C56" i="20"/>
  <c r="C44" i="20"/>
  <c r="C80" i="20"/>
  <c r="C65" i="20"/>
  <c r="C36" i="19"/>
  <c r="N15" i="7"/>
  <c r="O15" i="7" s="1"/>
  <c r="P15" i="7" s="1"/>
  <c r="Q15" i="7" s="1"/>
  <c r="I19" i="12"/>
  <c r="J12" i="12"/>
  <c r="J18" i="9" s="1"/>
  <c r="J10" i="12"/>
  <c r="I11" i="12"/>
  <c r="H16" i="17"/>
  <c r="I21" i="19"/>
  <c r="J18" i="12"/>
  <c r="H13" i="7"/>
  <c r="I11" i="7"/>
  <c r="I17" i="17" s="1"/>
  <c r="K39" i="4"/>
  <c r="J20" i="12"/>
  <c r="J13" i="21" s="1"/>
  <c r="J19" i="9" l="1"/>
  <c r="J33" i="4"/>
  <c r="J34" i="4"/>
  <c r="J11" i="12"/>
  <c r="K10" i="12"/>
  <c r="K12" i="12"/>
  <c r="K18" i="9" s="1"/>
  <c r="K18" i="12"/>
  <c r="J21" i="19"/>
  <c r="I10" i="7"/>
  <c r="I12" i="7" s="1"/>
  <c r="I22" i="10" s="1"/>
  <c r="H27" i="9"/>
  <c r="J11" i="7"/>
  <c r="L39" i="4"/>
  <c r="J19" i="12"/>
  <c r="K20" i="12"/>
  <c r="K13" i="21" s="1"/>
  <c r="K19" i="9" l="1"/>
  <c r="K33" i="4"/>
  <c r="K34" i="4"/>
  <c r="L10" i="12"/>
  <c r="K11" i="7"/>
  <c r="K17" i="17" s="1"/>
  <c r="J17" i="17"/>
  <c r="K11" i="12"/>
  <c r="L12" i="12"/>
  <c r="L18" i="9" s="1"/>
  <c r="I16" i="17"/>
  <c r="K21" i="19"/>
  <c r="I13" i="7"/>
  <c r="J10" i="7" s="1"/>
  <c r="J12" i="7" s="1"/>
  <c r="J22" i="10" s="1"/>
  <c r="I12" i="4"/>
  <c r="L20" i="12"/>
  <c r="L13" i="21" s="1"/>
  <c r="M39" i="4"/>
  <c r="L18" i="12"/>
  <c r="K19" i="12"/>
  <c r="L19" i="9" l="1"/>
  <c r="L34" i="4" s="1"/>
  <c r="L33" i="4"/>
  <c r="L11" i="7"/>
  <c r="M10" i="12"/>
  <c r="L11" i="12"/>
  <c r="M12" i="12"/>
  <c r="M18" i="9" s="1"/>
  <c r="L19" i="12"/>
  <c r="M18" i="12"/>
  <c r="L21" i="19"/>
  <c r="I27" i="9"/>
  <c r="M20" i="12"/>
  <c r="M13" i="21" s="1"/>
  <c r="N39" i="4"/>
  <c r="J12" i="4"/>
  <c r="J16" i="17"/>
  <c r="J13" i="7"/>
  <c r="M19" i="9" l="1"/>
  <c r="M34" i="4" s="1"/>
  <c r="M33" i="4"/>
  <c r="M11" i="7"/>
  <c r="L17" i="17"/>
  <c r="N12" i="12"/>
  <c r="N18" i="9" s="1"/>
  <c r="M11" i="12"/>
  <c r="N10" i="12"/>
  <c r="N20" i="12"/>
  <c r="N13" i="21" s="1"/>
  <c r="N18" i="12"/>
  <c r="M19" i="12"/>
  <c r="M21" i="19"/>
  <c r="O39" i="4"/>
  <c r="K10" i="7"/>
  <c r="K12" i="7" s="1"/>
  <c r="J27" i="9"/>
  <c r="N19" i="9" l="1"/>
  <c r="N33" i="4"/>
  <c r="N34" i="4"/>
  <c r="O10" i="12"/>
  <c r="O12" i="12"/>
  <c r="N11" i="12"/>
  <c r="M17" i="17"/>
  <c r="N11" i="7"/>
  <c r="O20" i="12"/>
  <c r="O13" i="21" s="1"/>
  <c r="O18" i="12"/>
  <c r="N19" i="12"/>
  <c r="N21" i="19"/>
  <c r="K13" i="7"/>
  <c r="K22" i="10"/>
  <c r="P10" i="12" l="1"/>
  <c r="O18" i="9"/>
  <c r="P20" i="12"/>
  <c r="O19" i="9"/>
  <c r="O19" i="12"/>
  <c r="O11" i="12"/>
  <c r="P12" i="12"/>
  <c r="P18" i="12"/>
  <c r="N17" i="17"/>
  <c r="O11" i="7"/>
  <c r="O17" i="17" s="1"/>
  <c r="O21" i="19"/>
  <c r="Q39" i="4"/>
  <c r="P39" i="4"/>
  <c r="K12" i="4"/>
  <c r="K16" i="17"/>
  <c r="L10" i="7"/>
  <c r="L12" i="7" s="1"/>
  <c r="K27" i="9"/>
  <c r="Q20" i="12" l="1"/>
  <c r="Q13" i="21" s="1"/>
  <c r="P13" i="21"/>
  <c r="Q18" i="12"/>
  <c r="P19" i="9"/>
  <c r="P19" i="12"/>
  <c r="Q10" i="12"/>
  <c r="P18" i="9"/>
  <c r="P33" i="4" s="1"/>
  <c r="O33" i="4"/>
  <c r="P34" i="4"/>
  <c r="O34" i="4"/>
  <c r="P11" i="12"/>
  <c r="Q12" i="12"/>
  <c r="Q18" i="9" s="1"/>
  <c r="P11" i="7"/>
  <c r="P17" i="17" s="1"/>
  <c r="Q21" i="19"/>
  <c r="P21" i="19"/>
  <c r="L13" i="7"/>
  <c r="L22" i="10"/>
  <c r="G9" i="5"/>
  <c r="G26" i="5" s="1"/>
  <c r="F9" i="5"/>
  <c r="F26" i="5" s="1"/>
  <c r="E9" i="5"/>
  <c r="E26" i="5" s="1"/>
  <c r="D9" i="5"/>
  <c r="D26" i="5" s="1"/>
  <c r="C9" i="5"/>
  <c r="C26" i="5" s="1"/>
  <c r="G19" i="5"/>
  <c r="F19" i="5"/>
  <c r="E19" i="5"/>
  <c r="E12" i="10" s="1"/>
  <c r="D19" i="5"/>
  <c r="G16" i="5"/>
  <c r="F16" i="5"/>
  <c r="E16" i="5"/>
  <c r="E11" i="10" s="1"/>
  <c r="D16" i="5"/>
  <c r="G13" i="5"/>
  <c r="F13" i="5"/>
  <c r="E13" i="5"/>
  <c r="E10" i="10" s="1"/>
  <c r="D13" i="5"/>
  <c r="C19" i="5"/>
  <c r="C16" i="5"/>
  <c r="C13" i="5"/>
  <c r="C10" i="10" s="1"/>
  <c r="D7" i="5"/>
  <c r="E7" i="5" s="1"/>
  <c r="F7" i="5" s="1"/>
  <c r="G7" i="5" s="1"/>
  <c r="H7" i="5" s="1"/>
  <c r="I7" i="5" s="1"/>
  <c r="J7" i="5" s="1"/>
  <c r="K7" i="5" s="1"/>
  <c r="L7" i="5" s="1"/>
  <c r="M7" i="5" s="1"/>
  <c r="N7" i="5" s="1"/>
  <c r="O7" i="5" s="1"/>
  <c r="P7" i="5" s="1"/>
  <c r="Q7" i="5" s="1"/>
  <c r="Q19" i="9" l="1"/>
  <c r="Q11" i="12"/>
  <c r="Q19" i="12"/>
  <c r="Q11" i="7"/>
  <c r="Q17" i="17" s="1"/>
  <c r="Q34" i="4"/>
  <c r="Q33" i="4"/>
  <c r="E13" i="10"/>
  <c r="E12" i="20" s="1"/>
  <c r="I26" i="5"/>
  <c r="J26" i="5" s="1"/>
  <c r="K26" i="5" s="1"/>
  <c r="L26" i="5" s="1"/>
  <c r="M26" i="5" s="1"/>
  <c r="N26" i="5" s="1"/>
  <c r="O26" i="5" s="1"/>
  <c r="P26" i="5" s="1"/>
  <c r="Q26" i="5" s="1"/>
  <c r="L12" i="4"/>
  <c r="L16" i="17"/>
  <c r="M10" i="7"/>
  <c r="M12" i="7" s="1"/>
  <c r="L27" i="9"/>
  <c r="D14" i="5"/>
  <c r="D10" i="10"/>
  <c r="D17" i="5"/>
  <c r="D11" i="10"/>
  <c r="D20" i="5"/>
  <c r="D12" i="10"/>
  <c r="C22" i="8"/>
  <c r="C25" i="8"/>
  <c r="C15" i="8"/>
  <c r="C30" i="8"/>
  <c r="C19" i="8"/>
  <c r="C34" i="8"/>
  <c r="C37" i="8"/>
  <c r="C12" i="8"/>
  <c r="I12" i="8" s="1"/>
  <c r="J12" i="8" s="1"/>
  <c r="K12" i="8" s="1"/>
  <c r="L12" i="8" s="1"/>
  <c r="M12" i="8" s="1"/>
  <c r="N12" i="8" s="1"/>
  <c r="O12" i="8" s="1"/>
  <c r="P12" i="8" s="1"/>
  <c r="Q12" i="8" s="1"/>
  <c r="G12" i="8"/>
  <c r="G25" i="8"/>
  <c r="G34" i="8"/>
  <c r="G22" i="8"/>
  <c r="G30" i="8"/>
  <c r="G19" i="8"/>
  <c r="G15" i="8"/>
  <c r="G37" i="8"/>
  <c r="D30" i="8"/>
  <c r="D12" i="8"/>
  <c r="D22" i="8"/>
  <c r="D15" i="8"/>
  <c r="D19" i="8"/>
  <c r="D34" i="8"/>
  <c r="D37" i="8"/>
  <c r="D25" i="8"/>
  <c r="C17" i="5"/>
  <c r="C11" i="10"/>
  <c r="F14" i="5"/>
  <c r="F10" i="10"/>
  <c r="F17" i="5"/>
  <c r="F11" i="10"/>
  <c r="F20" i="5"/>
  <c r="F12" i="10"/>
  <c r="E30" i="8"/>
  <c r="E15" i="8"/>
  <c r="E22" i="8"/>
  <c r="E12" i="8"/>
  <c r="E25" i="8"/>
  <c r="E19" i="8"/>
  <c r="E34" i="8"/>
  <c r="E37" i="8"/>
  <c r="C20" i="5"/>
  <c r="C12" i="10"/>
  <c r="G14" i="5"/>
  <c r="G10" i="10"/>
  <c r="G17" i="5"/>
  <c r="G11" i="10"/>
  <c r="G20" i="5"/>
  <c r="G12" i="10"/>
  <c r="F25" i="8"/>
  <c r="F34" i="8"/>
  <c r="F12" i="8"/>
  <c r="F37" i="8"/>
  <c r="F30" i="8"/>
  <c r="F19" i="8"/>
  <c r="F15" i="8"/>
  <c r="F22" i="8"/>
  <c r="C9" i="6"/>
  <c r="C15" i="6" s="1"/>
  <c r="G9" i="6"/>
  <c r="E17" i="5"/>
  <c r="H17" i="5" s="1"/>
  <c r="I17" i="5" s="1"/>
  <c r="E20" i="5"/>
  <c r="E10" i="5"/>
  <c r="E9" i="6"/>
  <c r="F10" i="5"/>
  <c r="F9" i="6"/>
  <c r="G15" i="6"/>
  <c r="G12" i="6"/>
  <c r="G10" i="5"/>
  <c r="D10" i="5"/>
  <c r="D9" i="6"/>
  <c r="E14" i="5"/>
  <c r="E49" i="4"/>
  <c r="G20" i="4"/>
  <c r="F20" i="4"/>
  <c r="F27" i="4" s="1"/>
  <c r="F30" i="4" s="1"/>
  <c r="E20" i="4"/>
  <c r="D20" i="4"/>
  <c r="D27" i="4" s="1"/>
  <c r="D30" i="4" s="1"/>
  <c r="C20" i="4"/>
  <c r="G41" i="4"/>
  <c r="F41" i="4"/>
  <c r="E41" i="4"/>
  <c r="D41" i="4"/>
  <c r="C41" i="4"/>
  <c r="G46" i="4"/>
  <c r="F46" i="4"/>
  <c r="E46" i="4"/>
  <c r="D46" i="4"/>
  <c r="C46" i="4"/>
  <c r="E27" i="4"/>
  <c r="E30" i="4" s="1"/>
  <c r="G27" i="4"/>
  <c r="G30" i="4" s="1"/>
  <c r="C27" i="4"/>
  <c r="C30" i="4" s="1"/>
  <c r="G54" i="3"/>
  <c r="F54" i="3"/>
  <c r="E54" i="3"/>
  <c r="D54" i="3"/>
  <c r="C54" i="3"/>
  <c r="G48" i="3"/>
  <c r="F48" i="3"/>
  <c r="E48" i="3"/>
  <c r="D48" i="3"/>
  <c r="C48" i="3"/>
  <c r="G41" i="3"/>
  <c r="F41" i="3"/>
  <c r="E41" i="3"/>
  <c r="D41" i="3"/>
  <c r="D56" i="3" s="1"/>
  <c r="C41" i="3"/>
  <c r="C56" i="3" s="1"/>
  <c r="C30" i="3"/>
  <c r="G28" i="3"/>
  <c r="F28" i="3"/>
  <c r="E28" i="3"/>
  <c r="D28" i="3"/>
  <c r="C28" i="3"/>
  <c r="G20" i="3"/>
  <c r="F20" i="3"/>
  <c r="E20" i="3"/>
  <c r="D20" i="3"/>
  <c r="D30" i="3" s="1"/>
  <c r="C20" i="3"/>
  <c r="D7" i="3"/>
  <c r="E7" i="3" s="1"/>
  <c r="F7" i="3" s="1"/>
  <c r="G7" i="3" s="1"/>
  <c r="E31" i="2"/>
  <c r="D31" i="2"/>
  <c r="C31" i="2"/>
  <c r="F33" i="2"/>
  <c r="F31" i="2"/>
  <c r="F26" i="2"/>
  <c r="F24" i="2"/>
  <c r="F22" i="2"/>
  <c r="G31" i="2"/>
  <c r="G24" i="2"/>
  <c r="G26" i="2" s="1"/>
  <c r="G33" i="2" s="1"/>
  <c r="F20" i="2"/>
  <c r="E20" i="2"/>
  <c r="D20" i="2"/>
  <c r="C20" i="2"/>
  <c r="G20" i="2"/>
  <c r="G22" i="2" s="1"/>
  <c r="D15" i="2"/>
  <c r="D22" i="2" s="1"/>
  <c r="D24" i="2" s="1"/>
  <c r="D26" i="2" s="1"/>
  <c r="D33" i="2" s="1"/>
  <c r="G15" i="2"/>
  <c r="C13" i="2"/>
  <c r="C15" i="2" s="1"/>
  <c r="C22" i="2" s="1"/>
  <c r="C24" i="2" s="1"/>
  <c r="C26" i="2" s="1"/>
  <c r="G13" i="2"/>
  <c r="F13" i="2"/>
  <c r="F15" i="2" s="1"/>
  <c r="E13" i="2"/>
  <c r="E15" i="2" s="1"/>
  <c r="D13" i="2"/>
  <c r="E7" i="2"/>
  <c r="F7" i="2" s="1"/>
  <c r="G7" i="2" s="1"/>
  <c r="D7" i="2"/>
  <c r="E14" i="20" l="1"/>
  <c r="E15" i="20"/>
  <c r="E39" i="19"/>
  <c r="E19" i="20"/>
  <c r="E32" i="20"/>
  <c r="E42" i="19"/>
  <c r="E24" i="20"/>
  <c r="E18" i="20"/>
  <c r="E20" i="20"/>
  <c r="E22" i="20"/>
  <c r="E13" i="20"/>
  <c r="I23" i="5"/>
  <c r="J23" i="5" s="1"/>
  <c r="K23" i="5" s="1"/>
  <c r="L23" i="5" s="1"/>
  <c r="M23" i="5" s="1"/>
  <c r="N23" i="5" s="1"/>
  <c r="O23" i="5" s="1"/>
  <c r="P23" i="5" s="1"/>
  <c r="Q23" i="5" s="1"/>
  <c r="E56" i="3"/>
  <c r="D58" i="3"/>
  <c r="F56" i="3"/>
  <c r="C58" i="3"/>
  <c r="H37" i="8"/>
  <c r="I37" i="8" s="1"/>
  <c r="J37" i="8" s="1"/>
  <c r="K37" i="8" s="1"/>
  <c r="L37" i="8" s="1"/>
  <c r="M37" i="8" s="1"/>
  <c r="N37" i="8" s="1"/>
  <c r="O37" i="8" s="1"/>
  <c r="P37" i="8" s="1"/>
  <c r="Q37" i="8" s="1"/>
  <c r="I15" i="8"/>
  <c r="J15" i="8" s="1"/>
  <c r="K15" i="8" s="1"/>
  <c r="L15" i="8" s="1"/>
  <c r="M15" i="8" s="1"/>
  <c r="N15" i="8" s="1"/>
  <c r="O15" i="8" s="1"/>
  <c r="P15" i="8" s="1"/>
  <c r="Q15" i="8" s="1"/>
  <c r="H30" i="8"/>
  <c r="I30" i="8" s="1"/>
  <c r="J30" i="8" s="1"/>
  <c r="K30" i="8" s="1"/>
  <c r="L30" i="8" s="1"/>
  <c r="M30" i="8" s="1"/>
  <c r="N30" i="8" s="1"/>
  <c r="O30" i="8" s="1"/>
  <c r="P30" i="8" s="1"/>
  <c r="Q30" i="8" s="1"/>
  <c r="H34" i="8"/>
  <c r="I34" i="8" s="1"/>
  <c r="J34" i="8" s="1"/>
  <c r="K34" i="8" s="1"/>
  <c r="L34" i="8" s="1"/>
  <c r="M34" i="8" s="1"/>
  <c r="N34" i="8" s="1"/>
  <c r="O34" i="8" s="1"/>
  <c r="P34" i="8" s="1"/>
  <c r="Q34" i="8" s="1"/>
  <c r="I25" i="8"/>
  <c r="J25" i="8" s="1"/>
  <c r="K25" i="8" s="1"/>
  <c r="L25" i="8" s="1"/>
  <c r="M25" i="8" s="1"/>
  <c r="N25" i="8" s="1"/>
  <c r="O25" i="8" s="1"/>
  <c r="P25" i="8" s="1"/>
  <c r="Q25" i="8" s="1"/>
  <c r="I19" i="8"/>
  <c r="J19" i="8" s="1"/>
  <c r="K19" i="8" s="1"/>
  <c r="L19" i="8" s="1"/>
  <c r="M19" i="8" s="1"/>
  <c r="N19" i="8" s="1"/>
  <c r="O19" i="8" s="1"/>
  <c r="P19" i="8" s="1"/>
  <c r="Q19" i="8" s="1"/>
  <c r="I22" i="8"/>
  <c r="J22" i="8" s="1"/>
  <c r="K22" i="8" s="1"/>
  <c r="L22" i="8" s="1"/>
  <c r="M22" i="8" s="1"/>
  <c r="N22" i="8" s="1"/>
  <c r="O22" i="8" s="1"/>
  <c r="P22" i="8" s="1"/>
  <c r="Q22" i="8" s="1"/>
  <c r="M13" i="7"/>
  <c r="M22" i="10"/>
  <c r="C13" i="10"/>
  <c r="G13" i="10"/>
  <c r="G12" i="20" s="1"/>
  <c r="H31" i="5"/>
  <c r="H20" i="5"/>
  <c r="F13" i="10"/>
  <c r="F14" i="20" s="1"/>
  <c r="D13" i="10"/>
  <c r="D12" i="20" s="1"/>
  <c r="C12" i="6"/>
  <c r="F15" i="6"/>
  <c r="F12" i="6"/>
  <c r="D15" i="6"/>
  <c r="D12" i="6"/>
  <c r="E15" i="6"/>
  <c r="E12" i="6"/>
  <c r="I20" i="5"/>
  <c r="H10" i="5"/>
  <c r="H9" i="5" s="1"/>
  <c r="H22" i="5" s="1"/>
  <c r="I31" i="5"/>
  <c r="J17" i="5"/>
  <c r="G48" i="4"/>
  <c r="F48" i="4"/>
  <c r="E48" i="4"/>
  <c r="D48" i="4"/>
  <c r="C48" i="4"/>
  <c r="C50" i="4" s="1"/>
  <c r="D49" i="4" s="1"/>
  <c r="G56" i="3"/>
  <c r="G30" i="3"/>
  <c r="G58" i="3" s="1"/>
  <c r="F30" i="3"/>
  <c r="F58" i="3" s="1"/>
  <c r="E30" i="3"/>
  <c r="E58" i="3" s="1"/>
  <c r="C33" i="2"/>
  <c r="E22" i="2"/>
  <c r="E24" i="2" s="1"/>
  <c r="E26" i="2" s="1"/>
  <c r="E33" i="2" s="1"/>
  <c r="H27" i="10" l="1"/>
  <c r="G13" i="20"/>
  <c r="E30" i="19"/>
  <c r="E26" i="20"/>
  <c r="D13" i="20"/>
  <c r="F12" i="20"/>
  <c r="D39" i="19"/>
  <c r="D15" i="20"/>
  <c r="D42" i="19"/>
  <c r="D32" i="20"/>
  <c r="D19" i="20"/>
  <c r="D18" i="20"/>
  <c r="D24" i="20"/>
  <c r="D20" i="20"/>
  <c r="G15" i="20"/>
  <c r="G39" i="19"/>
  <c r="G19" i="20"/>
  <c r="G32" i="20"/>
  <c r="G42" i="19"/>
  <c r="G18" i="20"/>
  <c r="G24" i="20"/>
  <c r="G20" i="20"/>
  <c r="D14" i="20"/>
  <c r="G14" i="20"/>
  <c r="F15" i="20"/>
  <c r="F39" i="19"/>
  <c r="F19" i="20"/>
  <c r="F32" i="20"/>
  <c r="F18" i="20"/>
  <c r="F42" i="19"/>
  <c r="F24" i="20"/>
  <c r="F20" i="20"/>
  <c r="C15" i="20"/>
  <c r="C39" i="19"/>
  <c r="C32" i="20"/>
  <c r="C18" i="20"/>
  <c r="C19" i="20"/>
  <c r="C24" i="20"/>
  <c r="C20" i="20"/>
  <c r="C12" i="20"/>
  <c r="C14" i="20"/>
  <c r="F13" i="20"/>
  <c r="C13" i="20"/>
  <c r="H12" i="6"/>
  <c r="H30" i="5"/>
  <c r="I30" i="5" s="1"/>
  <c r="J30" i="5" s="1"/>
  <c r="K30" i="5" s="1"/>
  <c r="L30" i="5" s="1"/>
  <c r="M30" i="5" s="1"/>
  <c r="N30" i="5" s="1"/>
  <c r="O30" i="5" s="1"/>
  <c r="P30" i="5" s="1"/>
  <c r="Q30" i="5" s="1"/>
  <c r="H32" i="5"/>
  <c r="I32" i="5" s="1"/>
  <c r="J32" i="5" s="1"/>
  <c r="K32" i="5" s="1"/>
  <c r="L32" i="5" s="1"/>
  <c r="M32" i="5" s="1"/>
  <c r="N32" i="5" s="1"/>
  <c r="O32" i="5" s="1"/>
  <c r="P32" i="5" s="1"/>
  <c r="Q32" i="5" s="1"/>
  <c r="M12" i="4"/>
  <c r="M16" i="17"/>
  <c r="H9" i="6"/>
  <c r="H11" i="6" s="1"/>
  <c r="H16" i="10" s="1"/>
  <c r="H25" i="5"/>
  <c r="H26" i="10" s="1"/>
  <c r="N10" i="7"/>
  <c r="M27" i="9"/>
  <c r="H21" i="8"/>
  <c r="H26" i="9" s="1"/>
  <c r="H33" i="8"/>
  <c r="H43" i="9" s="1"/>
  <c r="H34" i="21" s="1"/>
  <c r="H14" i="8"/>
  <c r="H20" i="9" s="1"/>
  <c r="H12" i="21" s="1"/>
  <c r="H29" i="8"/>
  <c r="H37" i="9" s="1"/>
  <c r="H28" i="21" s="1"/>
  <c r="H30" i="21" s="1"/>
  <c r="H18" i="8"/>
  <c r="H25" i="9" s="1"/>
  <c r="H24" i="8"/>
  <c r="H28" i="9" s="1"/>
  <c r="H19" i="21" s="1"/>
  <c r="H36" i="8"/>
  <c r="H44" i="9" s="1"/>
  <c r="H35" i="21" s="1"/>
  <c r="H11" i="8"/>
  <c r="H17" i="9" s="1"/>
  <c r="H11" i="21" s="1"/>
  <c r="H15" i="21" s="1"/>
  <c r="I12" i="6"/>
  <c r="H15" i="6"/>
  <c r="H16" i="5"/>
  <c r="H11" i="10" s="1"/>
  <c r="J31" i="5"/>
  <c r="I10" i="5"/>
  <c r="I9" i="5" s="1"/>
  <c r="I22" i="5" s="1"/>
  <c r="J20" i="5"/>
  <c r="K17" i="5"/>
  <c r="H19" i="5"/>
  <c r="H12" i="10" s="1"/>
  <c r="E50" i="4"/>
  <c r="H37" i="21" l="1"/>
  <c r="H39" i="21" s="1"/>
  <c r="H41" i="21" s="1"/>
  <c r="H18" i="21"/>
  <c r="H20" i="21" s="1"/>
  <c r="H22" i="21" s="1"/>
  <c r="H23" i="4"/>
  <c r="H38" i="4"/>
  <c r="H41" i="4" s="1"/>
  <c r="H13" i="4"/>
  <c r="I27" i="10"/>
  <c r="D22" i="20"/>
  <c r="G22" i="20"/>
  <c r="C22" i="20"/>
  <c r="F22" i="20"/>
  <c r="E30" i="20"/>
  <c r="E18" i="19"/>
  <c r="E14" i="17"/>
  <c r="E15" i="17" s="1"/>
  <c r="E34" i="10"/>
  <c r="N12" i="7"/>
  <c r="N22" i="10" s="1"/>
  <c r="I9" i="6"/>
  <c r="I11" i="6" s="1"/>
  <c r="I16" i="10" s="1"/>
  <c r="I25" i="5"/>
  <c r="I26" i="10" s="1"/>
  <c r="H25" i="4"/>
  <c r="H46" i="9"/>
  <c r="H24" i="4"/>
  <c r="H39" i="9"/>
  <c r="H30" i="9"/>
  <c r="H22" i="4"/>
  <c r="I11" i="8"/>
  <c r="I17" i="9" s="1"/>
  <c r="I11" i="21" s="1"/>
  <c r="I15" i="21" s="1"/>
  <c r="I14" i="8"/>
  <c r="I20" i="9" s="1"/>
  <c r="I12" i="21" s="1"/>
  <c r="I18" i="8"/>
  <c r="I25" i="9" s="1"/>
  <c r="I33" i="8"/>
  <c r="I43" i="9" s="1"/>
  <c r="I34" i="21" s="1"/>
  <c r="I36" i="8"/>
  <c r="I44" i="9" s="1"/>
  <c r="I35" i="21" s="1"/>
  <c r="I24" i="8"/>
  <c r="I28" i="9" s="1"/>
  <c r="I19" i="21" s="1"/>
  <c r="I29" i="8"/>
  <c r="I37" i="9" s="1"/>
  <c r="I28" i="21" s="1"/>
  <c r="I30" i="21" s="1"/>
  <c r="I21" i="8"/>
  <c r="I26" i="9" s="1"/>
  <c r="I15" i="6"/>
  <c r="H14" i="6"/>
  <c r="H17" i="10" s="1"/>
  <c r="J12" i="6"/>
  <c r="I16" i="5"/>
  <c r="I11" i="10" s="1"/>
  <c r="I19" i="5"/>
  <c r="I12" i="10" s="1"/>
  <c r="K31" i="5"/>
  <c r="J10" i="5"/>
  <c r="J9" i="5" s="1"/>
  <c r="J22" i="5" s="1"/>
  <c r="K20" i="5"/>
  <c r="L17" i="5"/>
  <c r="F49" i="4"/>
  <c r="F50" i="4" s="1"/>
  <c r="I37" i="21" l="1"/>
  <c r="I39" i="21" s="1"/>
  <c r="I41" i="21" s="1"/>
  <c r="I23" i="4"/>
  <c r="I18" i="21"/>
  <c r="I20" i="21" s="1"/>
  <c r="I22" i="21" s="1"/>
  <c r="I24" i="21" s="1"/>
  <c r="I43" i="21" s="1"/>
  <c r="I18" i="17" s="1"/>
  <c r="H24" i="21"/>
  <c r="H43" i="21" s="1"/>
  <c r="H18" i="17" s="1"/>
  <c r="E20" i="17"/>
  <c r="E22" i="17" s="1"/>
  <c r="I38" i="4"/>
  <c r="I13" i="4"/>
  <c r="J27" i="10"/>
  <c r="E35" i="10"/>
  <c r="E24" i="19"/>
  <c r="E33" i="19"/>
  <c r="E34" i="20"/>
  <c r="E27" i="19"/>
  <c r="E38" i="10"/>
  <c r="E40" i="10"/>
  <c r="E41" i="10" s="1"/>
  <c r="F30" i="19"/>
  <c r="F26" i="20"/>
  <c r="F45" i="19"/>
  <c r="G26" i="20"/>
  <c r="G30" i="19"/>
  <c r="G45" i="19"/>
  <c r="C26" i="20"/>
  <c r="C30" i="19"/>
  <c r="D26" i="20"/>
  <c r="D45" i="19"/>
  <c r="D30" i="19"/>
  <c r="E45" i="19"/>
  <c r="H18" i="10"/>
  <c r="N13" i="7"/>
  <c r="N27" i="9" s="1"/>
  <c r="N12" i="4"/>
  <c r="N16" i="17"/>
  <c r="J9" i="6"/>
  <c r="J11" i="6" s="1"/>
  <c r="J16" i="10" s="1"/>
  <c r="J25" i="5"/>
  <c r="J26" i="10" s="1"/>
  <c r="I46" i="9"/>
  <c r="I25" i="4"/>
  <c r="I39" i="9"/>
  <c r="I24" i="4"/>
  <c r="I41" i="4"/>
  <c r="I22" i="4"/>
  <c r="I30" i="9"/>
  <c r="J11" i="8"/>
  <c r="J17" i="9" s="1"/>
  <c r="J11" i="21" s="1"/>
  <c r="J29" i="8"/>
  <c r="J37" i="9" s="1"/>
  <c r="J28" i="21" s="1"/>
  <c r="J30" i="21" s="1"/>
  <c r="J36" i="8"/>
  <c r="J44" i="9" s="1"/>
  <c r="J35" i="21" s="1"/>
  <c r="J21" i="8"/>
  <c r="J26" i="9" s="1"/>
  <c r="J24" i="8"/>
  <c r="J28" i="9" s="1"/>
  <c r="J19" i="21" s="1"/>
  <c r="J18" i="8"/>
  <c r="J25" i="9" s="1"/>
  <c r="J33" i="8"/>
  <c r="J43" i="9" s="1"/>
  <c r="J34" i="21" s="1"/>
  <c r="J37" i="21" s="1"/>
  <c r="J39" i="21" s="1"/>
  <c r="J41" i="21" s="1"/>
  <c r="J14" i="8"/>
  <c r="J20" i="9" s="1"/>
  <c r="J12" i="21" s="1"/>
  <c r="K12" i="6"/>
  <c r="J15" i="6"/>
  <c r="I14" i="6"/>
  <c r="I17" i="10" s="1"/>
  <c r="J16" i="5"/>
  <c r="J11" i="10" s="1"/>
  <c r="J19" i="5"/>
  <c r="J12" i="10" s="1"/>
  <c r="L31" i="5"/>
  <c r="K10" i="5"/>
  <c r="K9" i="5" s="1"/>
  <c r="K22" i="5" s="1"/>
  <c r="M17" i="5"/>
  <c r="L20" i="5"/>
  <c r="G49" i="4"/>
  <c r="G50" i="4" s="1"/>
  <c r="J23" i="4" l="1"/>
  <c r="J18" i="21"/>
  <c r="J20" i="21" s="1"/>
  <c r="J15" i="21"/>
  <c r="O10" i="7"/>
  <c r="O12" i="7" s="1"/>
  <c r="O22" i="10" s="1"/>
  <c r="J38" i="4"/>
  <c r="J13" i="4"/>
  <c r="K27" i="10"/>
  <c r="C18" i="19"/>
  <c r="C30" i="20"/>
  <c r="C34" i="10"/>
  <c r="C14" i="17"/>
  <c r="C15" i="17" s="1"/>
  <c r="D18" i="19"/>
  <c r="D30" i="20"/>
  <c r="D14" i="17"/>
  <c r="D15" i="17" s="1"/>
  <c r="D34" i="10"/>
  <c r="G18" i="19"/>
  <c r="G30" i="20"/>
  <c r="G14" i="17"/>
  <c r="G15" i="17" s="1"/>
  <c r="G34" i="10"/>
  <c r="F30" i="20"/>
  <c r="F18" i="19"/>
  <c r="F34" i="10"/>
  <c r="I18" i="10"/>
  <c r="O13" i="7"/>
  <c r="K9" i="6"/>
  <c r="K11" i="6" s="1"/>
  <c r="K16" i="10" s="1"/>
  <c r="K25" i="5"/>
  <c r="K26" i="10" s="1"/>
  <c r="J25" i="4"/>
  <c r="J39" i="9"/>
  <c r="J24" i="4"/>
  <c r="J22" i="4"/>
  <c r="J46" i="9"/>
  <c r="J30" i="9"/>
  <c r="K14" i="8"/>
  <c r="K20" i="9" s="1"/>
  <c r="K12" i="21" s="1"/>
  <c r="K18" i="8"/>
  <c r="K25" i="9" s="1"/>
  <c r="K36" i="8"/>
  <c r="K44" i="9" s="1"/>
  <c r="K35" i="21" s="1"/>
  <c r="K33" i="8"/>
  <c r="K43" i="9" s="1"/>
  <c r="K34" i="21" s="1"/>
  <c r="K11" i="8"/>
  <c r="K17" i="9" s="1"/>
  <c r="K11" i="21" s="1"/>
  <c r="K24" i="8"/>
  <c r="K28" i="9" s="1"/>
  <c r="K19" i="21" s="1"/>
  <c r="K29" i="8"/>
  <c r="K37" i="9" s="1"/>
  <c r="K28" i="21" s="1"/>
  <c r="K30" i="21" s="1"/>
  <c r="K21" i="8"/>
  <c r="K26" i="9" s="1"/>
  <c r="L12" i="6"/>
  <c r="K15" i="6"/>
  <c r="J14" i="6"/>
  <c r="J17" i="10" s="1"/>
  <c r="K16" i="5"/>
  <c r="K11" i="10" s="1"/>
  <c r="K19" i="5"/>
  <c r="K12" i="10" s="1"/>
  <c r="M31" i="5"/>
  <c r="L10" i="5"/>
  <c r="L9" i="5" s="1"/>
  <c r="L22" i="5" s="1"/>
  <c r="N17" i="5"/>
  <c r="M20" i="5"/>
  <c r="K15" i="21" l="1"/>
  <c r="K37" i="21"/>
  <c r="K39" i="21" s="1"/>
  <c r="K41" i="21" s="1"/>
  <c r="J22" i="21"/>
  <c r="J24" i="21" s="1"/>
  <c r="J43" i="21" s="1"/>
  <c r="J18" i="17" s="1"/>
  <c r="K18" i="21"/>
  <c r="K20" i="21" s="1"/>
  <c r="K23" i="4"/>
  <c r="G20" i="17"/>
  <c r="G22" i="17" s="1"/>
  <c r="D20" i="17"/>
  <c r="D22" i="17" s="1"/>
  <c r="C20" i="17"/>
  <c r="C22" i="17" s="1"/>
  <c r="K38" i="4"/>
  <c r="K13" i="4"/>
  <c r="L27" i="10"/>
  <c r="F35" i="10"/>
  <c r="F33" i="19"/>
  <c r="F34" i="20"/>
  <c r="F27" i="19"/>
  <c r="F24" i="19"/>
  <c r="F38" i="10"/>
  <c r="F40" i="10"/>
  <c r="F41" i="10" s="1"/>
  <c r="C35" i="10"/>
  <c r="C33" i="19"/>
  <c r="C34" i="20"/>
  <c r="C27" i="19"/>
  <c r="C24" i="19"/>
  <c r="C40" i="10"/>
  <c r="C41" i="10" s="1"/>
  <c r="C38" i="10"/>
  <c r="F14" i="17"/>
  <c r="F15" i="17" s="1"/>
  <c r="D35" i="10"/>
  <c r="D34" i="20"/>
  <c r="D27" i="19"/>
  <c r="D24" i="19"/>
  <c r="D33" i="19"/>
  <c r="D38" i="10"/>
  <c r="D40" i="10"/>
  <c r="D41" i="10" s="1"/>
  <c r="G35" i="10"/>
  <c r="G33" i="19"/>
  <c r="G34" i="20"/>
  <c r="G27" i="19"/>
  <c r="G24" i="19"/>
  <c r="G38" i="10"/>
  <c r="G40" i="10"/>
  <c r="G41" i="10" s="1"/>
  <c r="J18" i="10"/>
  <c r="O12" i="4"/>
  <c r="O16" i="17"/>
  <c r="L9" i="6"/>
  <c r="L11" i="6" s="1"/>
  <c r="L16" i="10" s="1"/>
  <c r="L25" i="5"/>
  <c r="L26" i="10" s="1"/>
  <c r="P10" i="7"/>
  <c r="P12" i="7" s="1"/>
  <c r="O27" i="9"/>
  <c r="K46" i="9"/>
  <c r="K25" i="4"/>
  <c r="K39" i="9"/>
  <c r="K24" i="4"/>
  <c r="J41" i="4"/>
  <c r="K22" i="4"/>
  <c r="K30" i="9"/>
  <c r="L24" i="8"/>
  <c r="L28" i="9" s="1"/>
  <c r="L19" i="21" s="1"/>
  <c r="L21" i="8"/>
  <c r="L26" i="9" s="1"/>
  <c r="L33" i="8"/>
  <c r="L43" i="9" s="1"/>
  <c r="L34" i="21" s="1"/>
  <c r="L18" i="8"/>
  <c r="L25" i="9" s="1"/>
  <c r="L11" i="8"/>
  <c r="L17" i="9" s="1"/>
  <c r="L11" i="21" s="1"/>
  <c r="L29" i="8"/>
  <c r="L37" i="9" s="1"/>
  <c r="L28" i="21" s="1"/>
  <c r="L30" i="21" s="1"/>
  <c r="L36" i="8"/>
  <c r="L44" i="9" s="1"/>
  <c r="L35" i="21" s="1"/>
  <c r="L14" i="8"/>
  <c r="L20" i="9" s="1"/>
  <c r="L12" i="21" s="1"/>
  <c r="L15" i="6"/>
  <c r="K14" i="6"/>
  <c r="K17" i="10" s="1"/>
  <c r="M12" i="6"/>
  <c r="L16" i="5"/>
  <c r="L11" i="10" s="1"/>
  <c r="L19" i="5"/>
  <c r="L12" i="10" s="1"/>
  <c r="N20" i="5"/>
  <c r="N31" i="5"/>
  <c r="M10" i="5"/>
  <c r="M9" i="5" s="1"/>
  <c r="M22" i="5" s="1"/>
  <c r="O17" i="5"/>
  <c r="K22" i="21" l="1"/>
  <c r="L15" i="21"/>
  <c r="K24" i="21"/>
  <c r="L18" i="21"/>
  <c r="L20" i="21" s="1"/>
  <c r="L22" i="21" s="1"/>
  <c r="L24" i="21" s="1"/>
  <c r="L23" i="4"/>
  <c r="L37" i="21"/>
  <c r="L39" i="21" s="1"/>
  <c r="L41" i="21" s="1"/>
  <c r="K43" i="21"/>
  <c r="K18" i="17" s="1"/>
  <c r="F20" i="17"/>
  <c r="F22" i="17" s="1"/>
  <c r="L38" i="4"/>
  <c r="L13" i="4"/>
  <c r="M27" i="10"/>
  <c r="H38" i="10"/>
  <c r="I38" i="10" s="1"/>
  <c r="J38" i="10" s="1"/>
  <c r="K38" i="10" s="1"/>
  <c r="K18" i="10"/>
  <c r="P13" i="7"/>
  <c r="P22" i="10"/>
  <c r="M9" i="6"/>
  <c r="M11" i="6" s="1"/>
  <c r="M16" i="10" s="1"/>
  <c r="M25" i="5"/>
  <c r="M26" i="10" s="1"/>
  <c r="K41" i="4"/>
  <c r="L25" i="4"/>
  <c r="L39" i="9"/>
  <c r="L24" i="4"/>
  <c r="L22" i="4"/>
  <c r="L46" i="9"/>
  <c r="L30" i="9"/>
  <c r="M36" i="8"/>
  <c r="M44" i="9" s="1"/>
  <c r="M35" i="21" s="1"/>
  <c r="M11" i="8"/>
  <c r="M17" i="9" s="1"/>
  <c r="M11" i="21" s="1"/>
  <c r="M29" i="8"/>
  <c r="M37" i="9" s="1"/>
  <c r="M28" i="21" s="1"/>
  <c r="M30" i="21" s="1"/>
  <c r="M18" i="8"/>
  <c r="M25" i="9" s="1"/>
  <c r="M21" i="8"/>
  <c r="M26" i="9" s="1"/>
  <c r="M14" i="8"/>
  <c r="M20" i="9" s="1"/>
  <c r="M12" i="21" s="1"/>
  <c r="M33" i="8"/>
  <c r="M43" i="9" s="1"/>
  <c r="M34" i="21" s="1"/>
  <c r="M24" i="8"/>
  <c r="M28" i="9" s="1"/>
  <c r="M19" i="21" s="1"/>
  <c r="N12" i="6"/>
  <c r="M15" i="6"/>
  <c r="L14" i="6"/>
  <c r="L17" i="10" s="1"/>
  <c r="M16" i="5"/>
  <c r="M11" i="10" s="1"/>
  <c r="M19" i="5"/>
  <c r="M12" i="10" s="1"/>
  <c r="P17" i="5"/>
  <c r="O20" i="5"/>
  <c r="O31" i="5"/>
  <c r="N10" i="5"/>
  <c r="N9" i="5" s="1"/>
  <c r="N22" i="5" s="1"/>
  <c r="C14" i="5"/>
  <c r="H14" i="5" s="1"/>
  <c r="M37" i="21" l="1"/>
  <c r="M39" i="21" s="1"/>
  <c r="M41" i="21" s="1"/>
  <c r="L43" i="21"/>
  <c r="L18" i="17" s="1"/>
  <c r="M18" i="21"/>
  <c r="M20" i="21" s="1"/>
  <c r="M22" i="21" s="1"/>
  <c r="M24" i="21" s="1"/>
  <c r="M43" i="21" s="1"/>
  <c r="M18" i="17" s="1"/>
  <c r="M23" i="4"/>
  <c r="M15" i="21"/>
  <c r="M38" i="4"/>
  <c r="M13" i="4"/>
  <c r="N27" i="10"/>
  <c r="L18" i="10"/>
  <c r="P12" i="4"/>
  <c r="P16" i="17"/>
  <c r="M25" i="4"/>
  <c r="N9" i="6"/>
  <c r="N11" i="6" s="1"/>
  <c r="N16" i="10" s="1"/>
  <c r="N25" i="5"/>
  <c r="N26" i="10" s="1"/>
  <c r="Q10" i="7"/>
  <c r="Q12" i="7" s="1"/>
  <c r="P27" i="9"/>
  <c r="L41" i="4"/>
  <c r="M39" i="9"/>
  <c r="M24" i="4"/>
  <c r="M22" i="4"/>
  <c r="M46" i="9"/>
  <c r="M30" i="9"/>
  <c r="L38" i="10"/>
  <c r="N33" i="8"/>
  <c r="N43" i="9" s="1"/>
  <c r="N34" i="21" s="1"/>
  <c r="N11" i="8"/>
  <c r="N17" i="9" s="1"/>
  <c r="N11" i="21" s="1"/>
  <c r="N29" i="8"/>
  <c r="N37" i="9" s="1"/>
  <c r="N28" i="21" s="1"/>
  <c r="N30" i="21" s="1"/>
  <c r="N18" i="8"/>
  <c r="N25" i="9" s="1"/>
  <c r="N21" i="8"/>
  <c r="N26" i="9" s="1"/>
  <c r="N24" i="8"/>
  <c r="N28" i="9" s="1"/>
  <c r="N19" i="21" s="1"/>
  <c r="N14" i="8"/>
  <c r="N20" i="9" s="1"/>
  <c r="N12" i="21" s="1"/>
  <c r="N36" i="8"/>
  <c r="N44" i="9" s="1"/>
  <c r="N35" i="21" s="1"/>
  <c r="O12" i="6"/>
  <c r="N15" i="6"/>
  <c r="M14" i="6"/>
  <c r="M17" i="10" s="1"/>
  <c r="N16" i="5"/>
  <c r="N11" i="10" s="1"/>
  <c r="N19" i="5"/>
  <c r="N12" i="10" s="1"/>
  <c r="P31" i="5"/>
  <c r="O10" i="5"/>
  <c r="O9" i="5" s="1"/>
  <c r="O22" i="5" s="1"/>
  <c r="P20" i="5"/>
  <c r="I14" i="5"/>
  <c r="H13" i="5"/>
  <c r="H10" i="10" s="1"/>
  <c r="Q17" i="5"/>
  <c r="N37" i="21" l="1"/>
  <c r="N39" i="21" s="1"/>
  <c r="N41" i="21" s="1"/>
  <c r="N18" i="21"/>
  <c r="N20" i="21" s="1"/>
  <c r="N23" i="4"/>
  <c r="N15" i="21"/>
  <c r="N38" i="4"/>
  <c r="N13" i="4"/>
  <c r="O27" i="10"/>
  <c r="M18" i="10"/>
  <c r="H13" i="10"/>
  <c r="O9" i="6"/>
  <c r="O11" i="6" s="1"/>
  <c r="O16" i="10" s="1"/>
  <c r="O25" i="5"/>
  <c r="O26" i="10" s="1"/>
  <c r="Q13" i="7"/>
  <c r="Q27" i="9" s="1"/>
  <c r="Q22" i="10"/>
  <c r="N25" i="4"/>
  <c r="N39" i="9"/>
  <c r="N24" i="4"/>
  <c r="M41" i="4"/>
  <c r="N22" i="4"/>
  <c r="N46" i="9"/>
  <c r="N30" i="9"/>
  <c r="M38" i="10"/>
  <c r="O14" i="8"/>
  <c r="O20" i="9" s="1"/>
  <c r="O12" i="21" s="1"/>
  <c r="O24" i="8"/>
  <c r="O28" i="9" s="1"/>
  <c r="O19" i="21" s="1"/>
  <c r="O11" i="8"/>
  <c r="O17" i="9" s="1"/>
  <c r="O11" i="21" s="1"/>
  <c r="O33" i="8"/>
  <c r="O43" i="9" s="1"/>
  <c r="O34" i="21" s="1"/>
  <c r="O18" i="8"/>
  <c r="O25" i="9" s="1"/>
  <c r="O36" i="8"/>
  <c r="O44" i="9" s="1"/>
  <c r="O35" i="21" s="1"/>
  <c r="O21" i="8"/>
  <c r="O26" i="9" s="1"/>
  <c r="O29" i="8"/>
  <c r="O37" i="9" s="1"/>
  <c r="O28" i="21" s="1"/>
  <c r="O30" i="21" s="1"/>
  <c r="O15" i="6"/>
  <c r="N14" i="6"/>
  <c r="N17" i="10" s="1"/>
  <c r="P12" i="6"/>
  <c r="O16" i="5"/>
  <c r="O11" i="10" s="1"/>
  <c r="O19" i="5"/>
  <c r="O12" i="10" s="1"/>
  <c r="Q31" i="5"/>
  <c r="Q10" i="5" s="1"/>
  <c r="P10" i="5"/>
  <c r="P9" i="5" s="1"/>
  <c r="P22" i="5" s="1"/>
  <c r="Q20" i="5"/>
  <c r="I13" i="5"/>
  <c r="I10" i="10" s="1"/>
  <c r="J14" i="5"/>
  <c r="O23" i="4" l="1"/>
  <c r="O37" i="21"/>
  <c r="O39" i="21" s="1"/>
  <c r="O41" i="21" s="1"/>
  <c r="O15" i="21"/>
  <c r="O18" i="21"/>
  <c r="O20" i="21" s="1"/>
  <c r="N22" i="21"/>
  <c r="H20" i="10"/>
  <c r="H28" i="20"/>
  <c r="H29" i="20"/>
  <c r="O13" i="4"/>
  <c r="O38" i="4"/>
  <c r="O41" i="4" s="1"/>
  <c r="P27" i="10"/>
  <c r="H15" i="20"/>
  <c r="H24" i="20"/>
  <c r="H14" i="20"/>
  <c r="H18" i="20"/>
  <c r="H13" i="20"/>
  <c r="H19" i="20"/>
  <c r="H42" i="19"/>
  <c r="H20" i="20"/>
  <c r="I13" i="10"/>
  <c r="N18" i="10"/>
  <c r="H22" i="20"/>
  <c r="H12" i="20"/>
  <c r="Q12" i="4"/>
  <c r="Q16" i="17"/>
  <c r="O25" i="4"/>
  <c r="P9" i="6"/>
  <c r="P11" i="6" s="1"/>
  <c r="P16" i="10" s="1"/>
  <c r="P25" i="5"/>
  <c r="P26" i="10" s="1"/>
  <c r="O39" i="9"/>
  <c r="O24" i="4"/>
  <c r="N41" i="4"/>
  <c r="O22" i="4"/>
  <c r="O46" i="9"/>
  <c r="O30" i="9"/>
  <c r="N38" i="10"/>
  <c r="P33" i="8"/>
  <c r="P43" i="9" s="1"/>
  <c r="P34" i="21" s="1"/>
  <c r="P24" i="8"/>
  <c r="P28" i="9" s="1"/>
  <c r="P19" i="21" s="1"/>
  <c r="P11" i="8"/>
  <c r="P17" i="9" s="1"/>
  <c r="P11" i="21" s="1"/>
  <c r="P29" i="8"/>
  <c r="P37" i="9" s="1"/>
  <c r="P28" i="21" s="1"/>
  <c r="P30" i="21" s="1"/>
  <c r="P18" i="8"/>
  <c r="P25" i="9" s="1"/>
  <c r="P21" i="8"/>
  <c r="P26" i="9" s="1"/>
  <c r="P36" i="8"/>
  <c r="P44" i="9" s="1"/>
  <c r="P35" i="21" s="1"/>
  <c r="P14" i="8"/>
  <c r="P20" i="9" s="1"/>
  <c r="P12" i="21" s="1"/>
  <c r="Q12" i="6"/>
  <c r="P15" i="6"/>
  <c r="O14" i="6"/>
  <c r="O17" i="10" s="1"/>
  <c r="Q9" i="5"/>
  <c r="P16" i="5"/>
  <c r="P11" i="10" s="1"/>
  <c r="P19" i="5"/>
  <c r="P12" i="10" s="1"/>
  <c r="K14" i="5"/>
  <c r="J13" i="5"/>
  <c r="J10" i="10" s="1"/>
  <c r="O22" i="21" l="1"/>
  <c r="O24" i="21" s="1"/>
  <c r="O43" i="21" s="1"/>
  <c r="O18" i="17" s="1"/>
  <c r="N24" i="21"/>
  <c r="N43" i="21" s="1"/>
  <c r="N18" i="17" s="1"/>
  <c r="P18" i="21"/>
  <c r="P20" i="21" s="1"/>
  <c r="P37" i="21"/>
  <c r="P39" i="21" s="1"/>
  <c r="P41" i="21" s="1"/>
  <c r="P23" i="4"/>
  <c r="P15" i="21"/>
  <c r="H24" i="10"/>
  <c r="H12" i="19"/>
  <c r="I12" i="20"/>
  <c r="I20" i="10"/>
  <c r="I28" i="20"/>
  <c r="I29" i="20"/>
  <c r="P38" i="4"/>
  <c r="P13" i="4"/>
  <c r="J13" i="10"/>
  <c r="O18" i="10"/>
  <c r="I15" i="20"/>
  <c r="I24" i="20"/>
  <c r="I14" i="20"/>
  <c r="I13" i="20"/>
  <c r="I18" i="20"/>
  <c r="I42" i="19"/>
  <c r="I19" i="20"/>
  <c r="I20" i="20"/>
  <c r="Q14" i="8"/>
  <c r="Q20" i="9" s="1"/>
  <c r="Q12" i="21" s="1"/>
  <c r="Q22" i="5"/>
  <c r="Q25" i="5"/>
  <c r="Q26" i="10" s="1"/>
  <c r="Q29" i="8"/>
  <c r="Q37" i="9" s="1"/>
  <c r="Q21" i="8"/>
  <c r="Q26" i="9" s="1"/>
  <c r="P25" i="4"/>
  <c r="P39" i="9"/>
  <c r="P24" i="4"/>
  <c r="P22" i="4"/>
  <c r="P46" i="9"/>
  <c r="P30" i="9"/>
  <c r="O38" i="10"/>
  <c r="Q36" i="8"/>
  <c r="Q44" i="9" s="1"/>
  <c r="Q35" i="21" s="1"/>
  <c r="Q33" i="8"/>
  <c r="Q43" i="9" s="1"/>
  <c r="Q34" i="21" s="1"/>
  <c r="Q18" i="8"/>
  <c r="Q25" i="9" s="1"/>
  <c r="Q18" i="21" s="1"/>
  <c r="Q11" i="8"/>
  <c r="Q17" i="9" s="1"/>
  <c r="Q11" i="21" s="1"/>
  <c r="Q24" i="8"/>
  <c r="Q28" i="9" s="1"/>
  <c r="Q19" i="21" s="1"/>
  <c r="Q19" i="5"/>
  <c r="Q12" i="10" s="1"/>
  <c r="Q15" i="6"/>
  <c r="P14" i="6"/>
  <c r="P17" i="10" s="1"/>
  <c r="Q16" i="5"/>
  <c r="Q11" i="10" s="1"/>
  <c r="Q9" i="6"/>
  <c r="Q11" i="6" s="1"/>
  <c r="Q16" i="10" s="1"/>
  <c r="L14" i="5"/>
  <c r="K13" i="5"/>
  <c r="K10" i="10" s="1"/>
  <c r="Q37" i="21" l="1"/>
  <c r="Q15" i="21"/>
  <c r="Q23" i="4"/>
  <c r="P22" i="21"/>
  <c r="Q24" i="4"/>
  <c r="Q28" i="21"/>
  <c r="Q30" i="21" s="1"/>
  <c r="Q39" i="21" s="1"/>
  <c r="Q41" i="21" s="1"/>
  <c r="Q20" i="21"/>
  <c r="Q22" i="21" s="1"/>
  <c r="H30" i="10"/>
  <c r="H18" i="6" s="1"/>
  <c r="H13" i="17"/>
  <c r="H14" i="17" s="1"/>
  <c r="H15" i="17" s="1"/>
  <c r="H45" i="19"/>
  <c r="H26" i="20"/>
  <c r="I24" i="10"/>
  <c r="I12" i="19"/>
  <c r="H15" i="19"/>
  <c r="I22" i="20"/>
  <c r="J12" i="20"/>
  <c r="J20" i="10"/>
  <c r="J28" i="20"/>
  <c r="J29" i="20"/>
  <c r="Q27" i="10"/>
  <c r="J15" i="20"/>
  <c r="J24" i="20"/>
  <c r="J13" i="20"/>
  <c r="J18" i="20"/>
  <c r="J14" i="20"/>
  <c r="J42" i="19"/>
  <c r="J19" i="20"/>
  <c r="J20" i="20"/>
  <c r="K13" i="10"/>
  <c r="P18" i="10"/>
  <c r="Q22" i="4"/>
  <c r="Q39" i="9"/>
  <c r="Q25" i="4"/>
  <c r="P41" i="4"/>
  <c r="Q30" i="9"/>
  <c r="Q46" i="9"/>
  <c r="P38" i="10"/>
  <c r="Q14" i="6"/>
  <c r="Q17" i="10" s="1"/>
  <c r="M14" i="5"/>
  <c r="L13" i="5"/>
  <c r="L10" i="10" s="1"/>
  <c r="H32" i="10" l="1"/>
  <c r="H34" i="10" s="1"/>
  <c r="H30" i="20"/>
  <c r="H10" i="4"/>
  <c r="H20" i="4" s="1"/>
  <c r="H27" i="4" s="1"/>
  <c r="H18" i="19"/>
  <c r="I45" i="19"/>
  <c r="I13" i="17"/>
  <c r="I14" i="17" s="1"/>
  <c r="I15" i="17" s="1"/>
  <c r="Q24" i="21"/>
  <c r="Q43" i="21" s="1"/>
  <c r="Q18" i="17" s="1"/>
  <c r="P24" i="21"/>
  <c r="P43" i="21" s="1"/>
  <c r="P18" i="17" s="1"/>
  <c r="I26" i="20"/>
  <c r="I30" i="10"/>
  <c r="I18" i="6" s="1"/>
  <c r="J24" i="10"/>
  <c r="J12" i="19"/>
  <c r="H20" i="17"/>
  <c r="H22" i="17" s="1"/>
  <c r="I15" i="19"/>
  <c r="Q38" i="4"/>
  <c r="Q41" i="4" s="1"/>
  <c r="Q13" i="4"/>
  <c r="K12" i="20"/>
  <c r="K20" i="10"/>
  <c r="K28" i="20"/>
  <c r="K29" i="20"/>
  <c r="J22" i="20"/>
  <c r="L13" i="10"/>
  <c r="L12" i="20" s="1"/>
  <c r="H24" i="19"/>
  <c r="H37" i="10"/>
  <c r="H44" i="4" s="1"/>
  <c r="H46" i="4" s="1"/>
  <c r="H35" i="10"/>
  <c r="H34" i="20"/>
  <c r="Q18" i="10"/>
  <c r="H28" i="4"/>
  <c r="H30" i="4" s="1"/>
  <c r="H32" i="20"/>
  <c r="K15" i="20"/>
  <c r="K24" i="20"/>
  <c r="K13" i="20"/>
  <c r="K18" i="20"/>
  <c r="K14" i="20"/>
  <c r="K19" i="20"/>
  <c r="K42" i="19"/>
  <c r="K20" i="20"/>
  <c r="Q38" i="10"/>
  <c r="N14" i="5"/>
  <c r="M13" i="5"/>
  <c r="M10" i="10" s="1"/>
  <c r="J45" i="19" l="1"/>
  <c r="J13" i="17"/>
  <c r="J14" i="17" s="1"/>
  <c r="J15" i="17" s="1"/>
  <c r="I18" i="19"/>
  <c r="I30" i="20"/>
  <c r="J30" i="10"/>
  <c r="J18" i="6" s="1"/>
  <c r="I10" i="4"/>
  <c r="I20" i="4" s="1"/>
  <c r="I27" i="4" s="1"/>
  <c r="J26" i="20"/>
  <c r="I32" i="10"/>
  <c r="I32" i="20" s="1"/>
  <c r="I20" i="17"/>
  <c r="I22" i="17" s="1"/>
  <c r="K24" i="10"/>
  <c r="K30" i="10" s="1"/>
  <c r="K18" i="6" s="1"/>
  <c r="K12" i="19"/>
  <c r="J15" i="19"/>
  <c r="K22" i="20"/>
  <c r="L20" i="10"/>
  <c r="L28" i="20"/>
  <c r="L29" i="20"/>
  <c r="H50" i="9"/>
  <c r="H52" i="9" s="1"/>
  <c r="H54" i="9" s="1"/>
  <c r="H40" i="10"/>
  <c r="H41" i="10" s="1"/>
  <c r="M13" i="10"/>
  <c r="M12" i="20" s="1"/>
  <c r="H48" i="4"/>
  <c r="H50" i="4" s="1"/>
  <c r="H13" i="9" s="1"/>
  <c r="L15" i="20"/>
  <c r="L24" i="20"/>
  <c r="L14" i="20"/>
  <c r="L13" i="20"/>
  <c r="L18" i="20"/>
  <c r="L42" i="19"/>
  <c r="L19" i="20"/>
  <c r="L20" i="20"/>
  <c r="O14" i="5"/>
  <c r="N13" i="5"/>
  <c r="N10" i="10" s="1"/>
  <c r="K26" i="20" l="1"/>
  <c r="K45" i="19"/>
  <c r="K13" i="17"/>
  <c r="K14" i="17" s="1"/>
  <c r="K15" i="17" s="1"/>
  <c r="J18" i="19"/>
  <c r="J10" i="4"/>
  <c r="J20" i="4" s="1"/>
  <c r="J27" i="4" s="1"/>
  <c r="I34" i="10"/>
  <c r="I34" i="20" s="1"/>
  <c r="I28" i="4"/>
  <c r="I30" i="4" s="1"/>
  <c r="J30" i="20"/>
  <c r="J32" i="10"/>
  <c r="J34" i="10" s="1"/>
  <c r="J34" i="20" s="1"/>
  <c r="J20" i="17"/>
  <c r="J22" i="17" s="1"/>
  <c r="L24" i="10"/>
  <c r="L12" i="19"/>
  <c r="K15" i="19"/>
  <c r="L22" i="20"/>
  <c r="M20" i="10"/>
  <c r="M22" i="20" s="1"/>
  <c r="M28" i="20"/>
  <c r="M29" i="20"/>
  <c r="H27" i="19"/>
  <c r="I49" i="4"/>
  <c r="H22" i="9"/>
  <c r="N13" i="10"/>
  <c r="K30" i="20"/>
  <c r="K18" i="19"/>
  <c r="K32" i="10"/>
  <c r="K34" i="10" s="1"/>
  <c r="K10" i="4"/>
  <c r="K20" i="4" s="1"/>
  <c r="K27" i="4" s="1"/>
  <c r="M15" i="20"/>
  <c r="M24" i="20"/>
  <c r="M18" i="20"/>
  <c r="M13" i="20"/>
  <c r="M14" i="20"/>
  <c r="M19" i="20"/>
  <c r="M42" i="19"/>
  <c r="M20" i="20"/>
  <c r="P14" i="5"/>
  <c r="O13" i="5"/>
  <c r="O10" i="10" s="1"/>
  <c r="L30" i="10" l="1"/>
  <c r="L18" i="6" s="1"/>
  <c r="L13" i="17"/>
  <c r="L14" i="17" s="1"/>
  <c r="L15" i="17" s="1"/>
  <c r="H32" i="9"/>
  <c r="H57" i="9" s="1"/>
  <c r="I37" i="10"/>
  <c r="I44" i="4" s="1"/>
  <c r="I46" i="4" s="1"/>
  <c r="I48" i="4" s="1"/>
  <c r="I50" i="4" s="1"/>
  <c r="I35" i="10"/>
  <c r="I24" i="19"/>
  <c r="J24" i="19"/>
  <c r="J37" i="10"/>
  <c r="J44" i="4" s="1"/>
  <c r="J46" i="4" s="1"/>
  <c r="J32" i="20"/>
  <c r="J35" i="10"/>
  <c r="J28" i="4"/>
  <c r="J30" i="4" s="1"/>
  <c r="L26" i="20"/>
  <c r="L45" i="19"/>
  <c r="K20" i="17"/>
  <c r="K22" i="17" s="1"/>
  <c r="L15" i="19"/>
  <c r="M24" i="10"/>
  <c r="M12" i="19"/>
  <c r="N12" i="20"/>
  <c r="N20" i="10"/>
  <c r="N28" i="20"/>
  <c r="N29" i="20"/>
  <c r="K35" i="10"/>
  <c r="K34" i="20"/>
  <c r="H30" i="19"/>
  <c r="L30" i="20"/>
  <c r="L18" i="19"/>
  <c r="L10" i="4"/>
  <c r="L20" i="4" s="1"/>
  <c r="L27" i="4" s="1"/>
  <c r="O13" i="10"/>
  <c r="O12" i="20" s="1"/>
  <c r="K24" i="19"/>
  <c r="K37" i="10"/>
  <c r="K40" i="10" s="1"/>
  <c r="K41" i="10" s="1"/>
  <c r="K28" i="4"/>
  <c r="K30" i="4" s="1"/>
  <c r="K32" i="20"/>
  <c r="N15" i="20"/>
  <c r="N24" i="20"/>
  <c r="N18" i="20"/>
  <c r="N14" i="20"/>
  <c r="N13" i="20"/>
  <c r="N19" i="20"/>
  <c r="N42" i="19"/>
  <c r="N20" i="20"/>
  <c r="Q14" i="5"/>
  <c r="Q13" i="5" s="1"/>
  <c r="Q10" i="10" s="1"/>
  <c r="P13" i="5"/>
  <c r="P10" i="10" s="1"/>
  <c r="H58" i="20" l="1"/>
  <c r="H65" i="20"/>
  <c r="H44" i="20"/>
  <c r="H80" i="20"/>
  <c r="H51" i="20"/>
  <c r="H52" i="20"/>
  <c r="H54" i="20"/>
  <c r="L32" i="10"/>
  <c r="L34" i="10" s="1"/>
  <c r="L37" i="10" s="1"/>
  <c r="L40" i="10" s="1"/>
  <c r="L41" i="10" s="1"/>
  <c r="H76" i="20"/>
  <c r="H46" i="20"/>
  <c r="H75" i="20"/>
  <c r="H33" i="19"/>
  <c r="H53" i="20"/>
  <c r="H42" i="20"/>
  <c r="H78" i="20"/>
  <c r="H36" i="19"/>
  <c r="H63" i="20"/>
  <c r="H72" i="20"/>
  <c r="H69" i="20"/>
  <c r="H56" i="20"/>
  <c r="H39" i="19"/>
  <c r="H39" i="20"/>
  <c r="H45" i="20"/>
  <c r="H40" i="20"/>
  <c r="H70" i="20"/>
  <c r="H68" i="20"/>
  <c r="H43" i="20"/>
  <c r="I40" i="10"/>
  <c r="I41" i="10" s="1"/>
  <c r="M30" i="10"/>
  <c r="M18" i="6" s="1"/>
  <c r="M13" i="17"/>
  <c r="H48" i="20"/>
  <c r="H33" i="9"/>
  <c r="M45" i="19"/>
  <c r="I50" i="9"/>
  <c r="I52" i="9" s="1"/>
  <c r="M26" i="20"/>
  <c r="J48" i="4"/>
  <c r="J40" i="10"/>
  <c r="J41" i="10" s="1"/>
  <c r="L20" i="17"/>
  <c r="L22" i="17" s="1"/>
  <c r="N24" i="10"/>
  <c r="N12" i="19"/>
  <c r="M15" i="19"/>
  <c r="M14" i="17"/>
  <c r="M15" i="17" s="1"/>
  <c r="N22" i="20"/>
  <c r="O20" i="10"/>
  <c r="O28" i="20"/>
  <c r="O29" i="20"/>
  <c r="J49" i="4"/>
  <c r="I13" i="9"/>
  <c r="I22" i="9" s="1"/>
  <c r="P13" i="10"/>
  <c r="Q13" i="10"/>
  <c r="K44" i="4"/>
  <c r="K46" i="4" s="1"/>
  <c r="K48" i="4" s="1"/>
  <c r="M18" i="19"/>
  <c r="O15" i="20"/>
  <c r="O24" i="20"/>
  <c r="O18" i="20"/>
  <c r="O13" i="20"/>
  <c r="O14" i="20"/>
  <c r="O19" i="20"/>
  <c r="O42" i="19"/>
  <c r="O20" i="20"/>
  <c r="L32" i="20" l="1"/>
  <c r="L28" i="4"/>
  <c r="L30" i="4" s="1"/>
  <c r="L24" i="19"/>
  <c r="L35" i="10"/>
  <c r="M10" i="4"/>
  <c r="M20" i="4" s="1"/>
  <c r="M27" i="4" s="1"/>
  <c r="L34" i="20"/>
  <c r="M32" i="10"/>
  <c r="M34" i="10" s="1"/>
  <c r="M37" i="10" s="1"/>
  <c r="M44" i="4" s="1"/>
  <c r="M46" i="4" s="1"/>
  <c r="M30" i="20"/>
  <c r="N45" i="19"/>
  <c r="N13" i="17"/>
  <c r="N14" i="17" s="1"/>
  <c r="N15" i="17" s="1"/>
  <c r="I32" i="9"/>
  <c r="I33" i="9" s="1"/>
  <c r="J50" i="9"/>
  <c r="J52" i="9" s="1"/>
  <c r="J27" i="19" s="1"/>
  <c r="J50" i="4"/>
  <c r="K49" i="4" s="1"/>
  <c r="K50" i="4" s="1"/>
  <c r="N30" i="10"/>
  <c r="N18" i="6" s="1"/>
  <c r="M20" i="17"/>
  <c r="M22" i="17" s="1"/>
  <c r="N15" i="19"/>
  <c r="N26" i="20"/>
  <c r="O24" i="10"/>
  <c r="O12" i="19"/>
  <c r="O22" i="20"/>
  <c r="Q20" i="10"/>
  <c r="Q28" i="20"/>
  <c r="Q29" i="20"/>
  <c r="P20" i="10"/>
  <c r="P29" i="20"/>
  <c r="P28" i="20"/>
  <c r="I30" i="19"/>
  <c r="L44" i="4"/>
  <c r="L46" i="4" s="1"/>
  <c r="P12" i="20"/>
  <c r="Q15" i="20"/>
  <c r="Q24" i="20"/>
  <c r="Q18" i="20"/>
  <c r="Q13" i="20"/>
  <c r="Q14" i="20"/>
  <c r="Q42" i="19"/>
  <c r="Q19" i="20"/>
  <c r="Q20" i="20"/>
  <c r="M24" i="19"/>
  <c r="M40" i="10"/>
  <c r="M41" i="10" s="1"/>
  <c r="I27" i="19"/>
  <c r="I54" i="9"/>
  <c r="Q12" i="20"/>
  <c r="P15" i="20"/>
  <c r="P24" i="20"/>
  <c r="P13" i="20"/>
  <c r="P14" i="20"/>
  <c r="P18" i="20"/>
  <c r="P42" i="19"/>
  <c r="P19" i="20"/>
  <c r="P20" i="20"/>
  <c r="I75" i="20"/>
  <c r="I44" i="20"/>
  <c r="I69" i="20"/>
  <c r="I39" i="19"/>
  <c r="I72" i="20"/>
  <c r="I36" i="19"/>
  <c r="I70" i="20"/>
  <c r="I40" i="20"/>
  <c r="I76" i="20"/>
  <c r="I48" i="20"/>
  <c r="L48" i="4" l="1"/>
  <c r="I39" i="20"/>
  <c r="I46" i="20"/>
  <c r="I43" i="20"/>
  <c r="I52" i="20"/>
  <c r="I51" i="20"/>
  <c r="M28" i="4"/>
  <c r="M30" i="4" s="1"/>
  <c r="M48" i="4" s="1"/>
  <c r="M35" i="10"/>
  <c r="I78" i="20"/>
  <c r="I53" i="20"/>
  <c r="I65" i="20"/>
  <c r="I58" i="20"/>
  <c r="I56" i="20"/>
  <c r="M32" i="20"/>
  <c r="M34" i="20"/>
  <c r="I33" i="19"/>
  <c r="I63" i="20"/>
  <c r="I54" i="20"/>
  <c r="I45" i="20"/>
  <c r="I42" i="20"/>
  <c r="I68" i="20"/>
  <c r="J54" i="9"/>
  <c r="I57" i="9"/>
  <c r="O26" i="20"/>
  <c r="O13" i="17"/>
  <c r="K50" i="9"/>
  <c r="K52" i="9" s="1"/>
  <c r="K27" i="19" s="1"/>
  <c r="J13" i="9"/>
  <c r="J22" i="9" s="1"/>
  <c r="N32" i="10"/>
  <c r="N28" i="4" s="1"/>
  <c r="N10" i="4"/>
  <c r="N20" i="4" s="1"/>
  <c r="N27" i="4" s="1"/>
  <c r="N18" i="19"/>
  <c r="N30" i="20"/>
  <c r="O45" i="19"/>
  <c r="N20" i="17"/>
  <c r="N22" i="17" s="1"/>
  <c r="Q24" i="10"/>
  <c r="Q13" i="17" s="1"/>
  <c r="Q12" i="19"/>
  <c r="O15" i="19"/>
  <c r="O14" i="17"/>
  <c r="O15" i="17" s="1"/>
  <c r="P24" i="10"/>
  <c r="P12" i="19"/>
  <c r="O30" i="10"/>
  <c r="O18" i="6" s="1"/>
  <c r="P22" i="20"/>
  <c r="Q30" i="10"/>
  <c r="Q18" i="6" s="1"/>
  <c r="L49" i="4"/>
  <c r="L50" i="4" s="1"/>
  <c r="K13" i="9"/>
  <c r="K22" i="9" s="1"/>
  <c r="Q22" i="20"/>
  <c r="I80" i="20"/>
  <c r="P30" i="10" l="1"/>
  <c r="P18" i="6" s="1"/>
  <c r="P13" i="17"/>
  <c r="K32" i="9"/>
  <c r="K70" i="20" s="1"/>
  <c r="J30" i="19"/>
  <c r="K54" i="9"/>
  <c r="N34" i="10"/>
  <c r="N34" i="20" s="1"/>
  <c r="L50" i="9"/>
  <c r="M50" i="9" s="1"/>
  <c r="M52" i="9" s="1"/>
  <c r="J32" i="9"/>
  <c r="N32" i="20"/>
  <c r="N30" i="4"/>
  <c r="O18" i="19"/>
  <c r="P26" i="20"/>
  <c r="O10" i="4"/>
  <c r="O20" i="4" s="1"/>
  <c r="O27" i="4" s="1"/>
  <c r="O30" i="20"/>
  <c r="O32" i="10"/>
  <c r="O28" i="4" s="1"/>
  <c r="O20" i="17"/>
  <c r="O22" i="17" s="1"/>
  <c r="P15" i="19"/>
  <c r="P14" i="17"/>
  <c r="P15" i="17" s="1"/>
  <c r="Q15" i="19"/>
  <c r="P45" i="19"/>
  <c r="M49" i="4"/>
  <c r="M50" i="4" s="1"/>
  <c r="M13" i="9" s="1"/>
  <c r="M22" i="9" s="1"/>
  <c r="L13" i="9"/>
  <c r="L22" i="9" s="1"/>
  <c r="L32" i="9" s="1"/>
  <c r="L48" i="20" s="1"/>
  <c r="K30" i="19"/>
  <c r="P10" i="4"/>
  <c r="P20" i="4" s="1"/>
  <c r="P27" i="4" s="1"/>
  <c r="Q26" i="20"/>
  <c r="Q45" i="19"/>
  <c r="N24" i="19"/>
  <c r="K42" i="20"/>
  <c r="K53" i="20"/>
  <c r="K40" i="20"/>
  <c r="K72" i="20"/>
  <c r="K65" i="20"/>
  <c r="K39" i="19"/>
  <c r="K69" i="20"/>
  <c r="K58" i="20"/>
  <c r="K75" i="20"/>
  <c r="K68" i="20"/>
  <c r="K51" i="20"/>
  <c r="K33" i="19"/>
  <c r="K78" i="20"/>
  <c r="K39" i="20"/>
  <c r="K57" i="9" l="1"/>
  <c r="K44" i="20"/>
  <c r="K45" i="20"/>
  <c r="K54" i="20"/>
  <c r="K46" i="20"/>
  <c r="P18" i="19"/>
  <c r="P30" i="20"/>
  <c r="P32" i="10"/>
  <c r="P34" i="10" s="1"/>
  <c r="P35" i="10" s="1"/>
  <c r="K76" i="20"/>
  <c r="K56" i="20"/>
  <c r="K52" i="20"/>
  <c r="K43" i="20"/>
  <c r="K36" i="19"/>
  <c r="K63" i="20"/>
  <c r="K80" i="20"/>
  <c r="J52" i="20"/>
  <c r="J33" i="9"/>
  <c r="K48" i="20"/>
  <c r="K33" i="9"/>
  <c r="J40" i="20"/>
  <c r="J43" i="20"/>
  <c r="J65" i="20"/>
  <c r="J51" i="20"/>
  <c r="J39" i="20"/>
  <c r="J33" i="19"/>
  <c r="J48" i="20"/>
  <c r="J70" i="20"/>
  <c r="J75" i="20"/>
  <c r="J42" i="20"/>
  <c r="J45" i="20"/>
  <c r="J72" i="20"/>
  <c r="J46" i="20"/>
  <c r="N37" i="10"/>
  <c r="N40" i="10" s="1"/>
  <c r="N41" i="10" s="1"/>
  <c r="L52" i="9"/>
  <c r="L54" i="9" s="1"/>
  <c r="L57" i="9" s="1"/>
  <c r="N35" i="10"/>
  <c r="J53" i="20"/>
  <c r="J76" i="20"/>
  <c r="J54" i="20"/>
  <c r="J58" i="20"/>
  <c r="J69" i="20"/>
  <c r="J44" i="20"/>
  <c r="J56" i="20"/>
  <c r="J63" i="20"/>
  <c r="J36" i="19"/>
  <c r="J68" i="20"/>
  <c r="J80" i="20"/>
  <c r="J78" i="20"/>
  <c r="J39" i="19"/>
  <c r="J57" i="9"/>
  <c r="O30" i="4"/>
  <c r="O32" i="20"/>
  <c r="O34" i="10"/>
  <c r="O34" i="20" s="1"/>
  <c r="P20" i="17"/>
  <c r="P22" i="17" s="1"/>
  <c r="N49" i="4"/>
  <c r="L30" i="19"/>
  <c r="Q30" i="20"/>
  <c r="Q18" i="19"/>
  <c r="Q32" i="10"/>
  <c r="Q10" i="4"/>
  <c r="Q20" i="4" s="1"/>
  <c r="Q27" i="4" s="1"/>
  <c r="M27" i="19"/>
  <c r="M54" i="9"/>
  <c r="L72" i="20"/>
  <c r="L65" i="20"/>
  <c r="L54" i="20"/>
  <c r="L43" i="20"/>
  <c r="L39" i="19"/>
  <c r="L42" i="20"/>
  <c r="L75" i="20"/>
  <c r="L68" i="20"/>
  <c r="L56" i="20"/>
  <c r="L51" i="20"/>
  <c r="L44" i="20"/>
  <c r="L69" i="20"/>
  <c r="L58" i="20"/>
  <c r="L52" i="20"/>
  <c r="L45" i="20"/>
  <c r="L70" i="20"/>
  <c r="L63" i="20"/>
  <c r="L53" i="20"/>
  <c r="L46" i="20"/>
  <c r="L40" i="20"/>
  <c r="L33" i="19"/>
  <c r="L76" i="20"/>
  <c r="L39" i="20"/>
  <c r="M32" i="9"/>
  <c r="M48" i="20" s="1"/>
  <c r="M30" i="19"/>
  <c r="N44" i="4" l="1"/>
  <c r="N46" i="4" s="1"/>
  <c r="N48" i="4" s="1"/>
  <c r="P32" i="20"/>
  <c r="N50" i="9"/>
  <c r="N52" i="9" s="1"/>
  <c r="N54" i="9" s="1"/>
  <c r="P24" i="19"/>
  <c r="P34" i="20"/>
  <c r="P28" i="4"/>
  <c r="P30" i="4" s="1"/>
  <c r="P37" i="10"/>
  <c r="P40" i="10" s="1"/>
  <c r="P41" i="10" s="1"/>
  <c r="L80" i="20"/>
  <c r="L27" i="19"/>
  <c r="L78" i="20"/>
  <c r="L36" i="19"/>
  <c r="O24" i="19"/>
  <c r="O37" i="10"/>
  <c r="O35" i="10"/>
  <c r="N50" i="4"/>
  <c r="N13" i="9" s="1"/>
  <c r="N22" i="9" s="1"/>
  <c r="Q32" i="20"/>
  <c r="Q28" i="4"/>
  <c r="Q30" i="4" s="1"/>
  <c r="Q34" i="10"/>
  <c r="F32" i="17"/>
  <c r="Q14" i="17"/>
  <c r="Q15" i="17" s="1"/>
  <c r="M57" i="9"/>
  <c r="M75" i="20"/>
  <c r="M68" i="20"/>
  <c r="M56" i="20"/>
  <c r="M51" i="20"/>
  <c r="M44" i="20"/>
  <c r="M42" i="20"/>
  <c r="M69" i="20"/>
  <c r="M58" i="20"/>
  <c r="M52" i="20"/>
  <c r="M45" i="20"/>
  <c r="M36" i="19"/>
  <c r="M70" i="20"/>
  <c r="M63" i="20"/>
  <c r="M53" i="20"/>
  <c r="M46" i="20"/>
  <c r="M40" i="20"/>
  <c r="M39" i="19"/>
  <c r="M72" i="20"/>
  <c r="M65" i="20"/>
  <c r="M54" i="20"/>
  <c r="M43" i="20"/>
  <c r="M33" i="19"/>
  <c r="M76" i="20"/>
  <c r="M78" i="20"/>
  <c r="M80" i="20"/>
  <c r="M39" i="20"/>
  <c r="P44" i="4" l="1"/>
  <c r="P46" i="4" s="1"/>
  <c r="N27" i="19"/>
  <c r="O50" i="9"/>
  <c r="O52" i="9" s="1"/>
  <c r="P48" i="4"/>
  <c r="O44" i="4"/>
  <c r="O46" i="4" s="1"/>
  <c r="O48" i="4" s="1"/>
  <c r="O40" i="10"/>
  <c r="O41" i="10" s="1"/>
  <c r="Q20" i="17"/>
  <c r="Q22" i="17" s="1"/>
  <c r="F33" i="17" s="1"/>
  <c r="F34" i="17" s="1"/>
  <c r="R20" i="17" s="1"/>
  <c r="O49" i="4"/>
  <c r="N30" i="19"/>
  <c r="N32" i="9"/>
  <c r="N48" i="20" s="1"/>
  <c r="Q37" i="10"/>
  <c r="Q34" i="20"/>
  <c r="Q24" i="19"/>
  <c r="Q35" i="10"/>
  <c r="O54" i="9"/>
  <c r="O27" i="19"/>
  <c r="P50" i="9"/>
  <c r="O50" i="4" l="1"/>
  <c r="O13" i="9" s="1"/>
  <c r="O22" i="9" s="1"/>
  <c r="O32" i="9" s="1"/>
  <c r="O48" i="20" s="1"/>
  <c r="R22" i="17"/>
  <c r="F37" i="17" s="1"/>
  <c r="F41" i="17" s="1"/>
  <c r="F43" i="17" s="1"/>
  <c r="N36" i="19"/>
  <c r="N54" i="20"/>
  <c r="N72" i="20"/>
  <c r="N46" i="20"/>
  <c r="N80" i="20"/>
  <c r="N44" i="20"/>
  <c r="N58" i="20"/>
  <c r="N78" i="20"/>
  <c r="N75" i="20"/>
  <c r="N33" i="19"/>
  <c r="N56" i="20"/>
  <c r="N63" i="20"/>
  <c r="N45" i="20"/>
  <c r="N57" i="9"/>
  <c r="N76" i="20"/>
  <c r="N65" i="20"/>
  <c r="N51" i="20"/>
  <c r="N42" i="20"/>
  <c r="N53" i="20"/>
  <c r="N52" i="20"/>
  <c r="N39" i="20"/>
  <c r="N43" i="20"/>
  <c r="N39" i="19"/>
  <c r="N68" i="20"/>
  <c r="N40" i="20"/>
  <c r="N70" i="20"/>
  <c r="N69" i="20"/>
  <c r="P52" i="9"/>
  <c r="Q50" i="9"/>
  <c r="Q52" i="9" s="1"/>
  <c r="Q40" i="10"/>
  <c r="Q41" i="10" s="1"/>
  <c r="Q44" i="4"/>
  <c r="Q46" i="4" s="1"/>
  <c r="Q48" i="4" s="1"/>
  <c r="P49" i="4" l="1"/>
  <c r="P50" i="4" s="1"/>
  <c r="P13" i="9" s="1"/>
  <c r="P22" i="9" s="1"/>
  <c r="P32" i="9" s="1"/>
  <c r="P48" i="20" s="1"/>
  <c r="J27" i="17"/>
  <c r="J37" i="17"/>
  <c r="O72" i="20"/>
  <c r="O78" i="20"/>
  <c r="O39" i="19"/>
  <c r="O52" i="20"/>
  <c r="O53" i="20"/>
  <c r="O51" i="20"/>
  <c r="O57" i="9"/>
  <c r="O76" i="20"/>
  <c r="O58" i="20"/>
  <c r="O56" i="20"/>
  <c r="O43" i="20"/>
  <c r="O36" i="19"/>
  <c r="O63" i="20"/>
  <c r="O80" i="20"/>
  <c r="O33" i="19"/>
  <c r="O69" i="20"/>
  <c r="O68" i="20"/>
  <c r="O54" i="20"/>
  <c r="O40" i="20"/>
  <c r="O70" i="20"/>
  <c r="O39" i="20"/>
  <c r="O45" i="20"/>
  <c r="O44" i="20"/>
  <c r="O75" i="20"/>
  <c r="O65" i="20"/>
  <c r="O46" i="20"/>
  <c r="O42" i="20"/>
  <c r="O30" i="19"/>
  <c r="Q54" i="9"/>
  <c r="Q27" i="19"/>
  <c r="P54" i="9"/>
  <c r="P27" i="19"/>
  <c r="P40" i="20" l="1"/>
  <c r="P42" i="20"/>
  <c r="P72" i="20"/>
  <c r="P36" i="19"/>
  <c r="P63" i="20"/>
  <c r="P30" i="19"/>
  <c r="P33" i="19"/>
  <c r="P68" i="20"/>
  <c r="P58" i="20"/>
  <c r="P70" i="20"/>
  <c r="P39" i="19"/>
  <c r="P78" i="20"/>
  <c r="P69" i="20"/>
  <c r="P51" i="20"/>
  <c r="P65" i="20"/>
  <c r="Q49" i="4"/>
  <c r="Q50" i="4" s="1"/>
  <c r="Q13" i="9" s="1"/>
  <c r="Q22" i="9" s="1"/>
  <c r="P39" i="20"/>
  <c r="P45" i="20"/>
  <c r="P53" i="20"/>
  <c r="P56" i="20"/>
  <c r="P43" i="20"/>
  <c r="P76" i="20"/>
  <c r="P52" i="20"/>
  <c r="P46" i="20"/>
  <c r="P44" i="20"/>
  <c r="P75" i="20"/>
  <c r="P54" i="20"/>
  <c r="P57" i="9"/>
  <c r="P80" i="20"/>
  <c r="Q30" i="19" l="1"/>
  <c r="Q32" i="9"/>
  <c r="Q53" i="20" s="1"/>
  <c r="Q70" i="20" l="1"/>
  <c r="Q63" i="20"/>
  <c r="Q45" i="20"/>
  <c r="Q44" i="20"/>
  <c r="Q43" i="20"/>
  <c r="Q33" i="19"/>
  <c r="Q46" i="20"/>
  <c r="Q39" i="19"/>
  <c r="Q58" i="20"/>
  <c r="Q78" i="20"/>
  <c r="Q39" i="20"/>
  <c r="Q40" i="20"/>
  <c r="Q68" i="20"/>
  <c r="Q57" i="9"/>
  <c r="C7" i="9" s="1"/>
  <c r="Q42" i="20"/>
  <c r="Q75" i="20"/>
  <c r="Q54" i="20"/>
  <c r="Q72" i="20"/>
  <c r="Q56" i="20"/>
  <c r="Q48" i="20"/>
  <c r="Q69" i="20"/>
  <c r="Q76" i="20"/>
  <c r="Q36" i="19"/>
  <c r="Q80" i="20"/>
  <c r="Q52" i="20"/>
  <c r="Q65" i="20"/>
  <c r="Q51" i="20"/>
</calcChain>
</file>

<file path=xl/comments1.xml><?xml version="1.0" encoding="utf-8"?>
<comments xmlns="http://schemas.openxmlformats.org/spreadsheetml/2006/main">
  <authors>
    <author>Dhiraj Kumar</author>
  </authors>
  <commentList>
    <comment ref="B11" authorId="0" shapeId="0">
      <text>
        <r>
          <rPr>
            <b/>
            <sz val="9"/>
            <color indexed="81"/>
            <rFont val="Tahoma"/>
            <family val="2"/>
          </rPr>
          <t>Dhiraj Kumar:</t>
        </r>
        <r>
          <rPr>
            <sz val="9"/>
            <color indexed="81"/>
            <rFont val="Tahoma"/>
            <family val="2"/>
          </rPr>
          <t xml:space="preserve">
consider as Current Assets as their maturity are within 12 Months 
(Annual Report 2025, Notes- 34 , pg no- 139)</t>
        </r>
      </text>
    </comment>
    <comment ref="B12" authorId="0" shapeId="0">
      <text>
        <r>
          <rPr>
            <b/>
            <sz val="9"/>
            <color indexed="81"/>
            <rFont val="Tahoma"/>
            <family val="2"/>
          </rPr>
          <t>Dhiraj Kumar:</t>
        </r>
        <r>
          <rPr>
            <sz val="9"/>
            <color indexed="81"/>
            <rFont val="Tahoma"/>
            <family val="2"/>
          </rPr>
          <t xml:space="preserve">
consider as Current Assets as their maturity are within 12 Months 
(Annual Report 2025, Notes- 34 , pg no- 139)</t>
        </r>
      </text>
    </comment>
    <comment ref="B13" authorId="0" shapeId="0">
      <text>
        <r>
          <rPr>
            <b/>
            <sz val="9"/>
            <color indexed="81"/>
            <rFont val="Tahoma"/>
            <family val="2"/>
          </rPr>
          <t>Dhiraj Kumar:</t>
        </r>
        <r>
          <rPr>
            <sz val="9"/>
            <color indexed="81"/>
            <rFont val="Tahoma"/>
            <family val="2"/>
          </rPr>
          <t xml:space="preserve">
consider as Current Assets as their maturity are within 12 Months 
(Annual Report 2025, Notes- 34 , pg no- 139)</t>
        </r>
      </text>
    </comment>
    <comment ref="B28" authorId="0" shapeId="0">
      <text>
        <r>
          <rPr>
            <b/>
            <sz val="9"/>
            <color indexed="81"/>
            <rFont val="Tahoma"/>
            <family val="2"/>
          </rPr>
          <t>Dhiraj Kumar:</t>
        </r>
        <r>
          <rPr>
            <sz val="9"/>
            <color indexed="81"/>
            <rFont val="Tahoma"/>
            <family val="2"/>
          </rPr>
          <t xml:space="preserve">
consider as Current Liabilities as their maturity are within 12 Months 
(Annual Report 2025, Notes- 34 , pg no- 140)</t>
        </r>
      </text>
    </comment>
    <comment ref="B33" authorId="0" shapeId="0">
      <text>
        <r>
          <rPr>
            <b/>
            <sz val="9"/>
            <color indexed="81"/>
            <rFont val="Tahoma"/>
            <family val="2"/>
          </rPr>
          <t>Dhiraj Kumar:</t>
        </r>
        <r>
          <rPr>
            <sz val="9"/>
            <color indexed="81"/>
            <rFont val="Tahoma"/>
            <family val="2"/>
          </rPr>
          <t xml:space="preserve">
consider as Current Liabilities as their maturity are within 12 Months 
(Annual Report 2025, Notes- 34 , pg no- 140)</t>
        </r>
      </text>
    </comment>
    <comment ref="B34" authorId="0" shapeId="0">
      <text>
        <r>
          <rPr>
            <b/>
            <sz val="9"/>
            <color indexed="81"/>
            <rFont val="Tahoma"/>
            <family val="2"/>
          </rPr>
          <t>Dhiraj Kumar:</t>
        </r>
        <r>
          <rPr>
            <sz val="9"/>
            <color indexed="81"/>
            <rFont val="Tahoma"/>
            <family val="2"/>
          </rPr>
          <t xml:space="preserve">
consider as Current Liabilities as their maturity are within 12 Months 
(Annual Report 2025, Notes- 34 , pg no- 140)</t>
        </r>
      </text>
    </comment>
    <comment ref="B35" authorId="0" shapeId="0">
      <text>
        <r>
          <rPr>
            <b/>
            <sz val="9"/>
            <color indexed="81"/>
            <rFont val="Tahoma"/>
            <family val="2"/>
          </rPr>
          <t>Dhiraj Kumar:</t>
        </r>
        <r>
          <rPr>
            <sz val="9"/>
            <color indexed="81"/>
            <rFont val="Tahoma"/>
            <family val="2"/>
          </rPr>
          <t xml:space="preserve">
consider as Current Liabilities as their maturity are within 12 Months 
(Annual Report 2025, Notes- 34 , pg no- 140)</t>
        </r>
      </text>
    </comment>
  </commentList>
</comments>
</file>

<file path=xl/comments2.xml><?xml version="1.0" encoding="utf-8"?>
<comments xmlns="http://schemas.openxmlformats.org/spreadsheetml/2006/main">
  <authors>
    <author>Dhiraj Kumar</author>
  </authors>
  <commentList>
    <comment ref="B17" authorId="0" shapeId="0">
      <text>
        <r>
          <rPr>
            <b/>
            <sz val="9"/>
            <color indexed="81"/>
            <rFont val="Tahoma"/>
            <family val="2"/>
          </rPr>
          <t>Dhiraj Kumar:</t>
        </r>
        <r>
          <rPr>
            <sz val="9"/>
            <color indexed="81"/>
            <rFont val="Tahoma"/>
            <family val="2"/>
          </rPr>
          <t xml:space="preserve">
consider as Current Assets as their maturity are within 12 Months 
(Annual Report 2025, Notes- 34 , pg no- 139)</t>
        </r>
      </text>
    </comment>
    <comment ref="B20" authorId="0" shapeId="0">
      <text>
        <r>
          <rPr>
            <b/>
            <sz val="9"/>
            <color indexed="81"/>
            <rFont val="Tahoma"/>
            <family val="2"/>
          </rPr>
          <t>Dhiraj Kumar:</t>
        </r>
        <r>
          <rPr>
            <sz val="9"/>
            <color indexed="81"/>
            <rFont val="Tahoma"/>
            <family val="2"/>
          </rPr>
          <t xml:space="preserve">
consider as Current Assets as their maturity are within 12 Months 
(Annual Report 2025, Notes- 34 , pg no- 139)</t>
        </r>
      </text>
    </comment>
    <comment ref="B25" authorId="0" shapeId="0">
      <text>
        <r>
          <rPr>
            <b/>
            <sz val="9"/>
            <color indexed="81"/>
            <rFont val="Tahoma"/>
            <family val="2"/>
          </rPr>
          <t>Dhiraj Kumar:</t>
        </r>
        <r>
          <rPr>
            <sz val="9"/>
            <color indexed="81"/>
            <rFont val="Tahoma"/>
            <family val="2"/>
          </rPr>
          <t xml:space="preserve">
consider as Current Assets as their maturity are within 12 Months 
(Annual Report 2025, Notes- 34 , pg no- 139)</t>
        </r>
      </text>
    </comment>
    <comment ref="B28" authorId="0" shapeId="0">
      <text>
        <r>
          <rPr>
            <b/>
            <sz val="9"/>
            <color indexed="81"/>
            <rFont val="Tahoma"/>
            <family val="2"/>
          </rPr>
          <t>Dhiraj Kumar:</t>
        </r>
        <r>
          <rPr>
            <sz val="9"/>
            <color indexed="81"/>
            <rFont val="Tahoma"/>
            <family val="2"/>
          </rPr>
          <t xml:space="preserve">
consider as Current Assets as their maturity are within 12 Months 
(Annual Report 2025, Notes- 34 , pg no- 139)</t>
        </r>
      </text>
    </comment>
    <comment ref="B37" authorId="0" shapeId="0">
      <text>
        <r>
          <rPr>
            <b/>
            <sz val="9"/>
            <color indexed="81"/>
            <rFont val="Tahoma"/>
            <family val="2"/>
          </rPr>
          <t>Dhiraj Kumar:</t>
        </r>
        <r>
          <rPr>
            <sz val="9"/>
            <color indexed="81"/>
            <rFont val="Tahoma"/>
            <family val="2"/>
          </rPr>
          <t xml:space="preserve">
consider as Current Liabilities as their maturity are within 12 Months 
(Annual Report 2025, Notes- 34 , pg no- 140)</t>
        </r>
      </text>
    </comment>
    <comment ref="B42" authorId="0" shapeId="0">
      <text>
        <r>
          <rPr>
            <b/>
            <sz val="9"/>
            <color indexed="81"/>
            <rFont val="Tahoma"/>
            <family val="2"/>
          </rPr>
          <t>Dhiraj Kumar:</t>
        </r>
        <r>
          <rPr>
            <sz val="9"/>
            <color indexed="81"/>
            <rFont val="Tahoma"/>
            <family val="2"/>
          </rPr>
          <t xml:space="preserve">
consider as Current Liabilities as their maturity are within 12 Months 
(Annual Report 2025, Notes- 34 , pg no- 140)</t>
        </r>
      </text>
    </comment>
    <comment ref="B43" authorId="0" shapeId="0">
      <text>
        <r>
          <rPr>
            <b/>
            <sz val="9"/>
            <color indexed="81"/>
            <rFont val="Tahoma"/>
            <family val="2"/>
          </rPr>
          <t>Dhiraj Kumar:</t>
        </r>
        <r>
          <rPr>
            <sz val="9"/>
            <color indexed="81"/>
            <rFont val="Tahoma"/>
            <family val="2"/>
          </rPr>
          <t xml:space="preserve">
consider as Current Liabilities as their maturity are within 12 Months 
(Annual Report 2025, Notes- 34 , pg no- 140)</t>
        </r>
      </text>
    </comment>
    <comment ref="B44" authorId="0" shapeId="0">
      <text>
        <r>
          <rPr>
            <b/>
            <sz val="9"/>
            <color indexed="81"/>
            <rFont val="Tahoma"/>
            <family val="2"/>
          </rPr>
          <t>Dhiraj Kumar:</t>
        </r>
        <r>
          <rPr>
            <sz val="9"/>
            <color indexed="81"/>
            <rFont val="Tahoma"/>
            <family val="2"/>
          </rPr>
          <t xml:space="preserve">
consider as Current Liabilities as their maturity are within 12 Months 
(Annual Report 2025, Notes- 34 , pg no- 140)</t>
        </r>
      </text>
    </comment>
  </commentList>
</comments>
</file>

<file path=xl/sharedStrings.xml><?xml version="1.0" encoding="utf-8"?>
<sst xmlns="http://schemas.openxmlformats.org/spreadsheetml/2006/main" count="703" uniqueCount="429">
  <si>
    <t>Particulars</t>
  </si>
  <si>
    <t>Revenue from operations</t>
  </si>
  <si>
    <t>Interest Income</t>
  </si>
  <si>
    <t>Dividend Income</t>
  </si>
  <si>
    <t>Net gain on fair value changes</t>
  </si>
  <si>
    <t>Total Revenue from operations</t>
  </si>
  <si>
    <t>Other income</t>
  </si>
  <si>
    <t>Total Income</t>
  </si>
  <si>
    <t>Expenses</t>
  </si>
  <si>
    <t>Depreciation and amortization expense</t>
  </si>
  <si>
    <t>Other expenses</t>
  </si>
  <si>
    <t>Total Expenses</t>
  </si>
  <si>
    <t>Profit before Share of profit of Associates, Exeptional Items and tax</t>
  </si>
  <si>
    <t>Share of Profit of Associates</t>
  </si>
  <si>
    <t>Profit before exceptional Items and Tax</t>
  </si>
  <si>
    <t>Exeptional Items</t>
  </si>
  <si>
    <t>Profit before tax</t>
  </si>
  <si>
    <t>Tax expense :</t>
  </si>
  <si>
    <t>Current Tax</t>
  </si>
  <si>
    <t>Deferred tax</t>
  </si>
  <si>
    <t>Profit for the year</t>
  </si>
  <si>
    <t>Total Tax</t>
  </si>
  <si>
    <t>Assets</t>
  </si>
  <si>
    <t>Financial Assets</t>
  </si>
  <si>
    <t>Cash and bank balances</t>
  </si>
  <si>
    <t>Bank Balances</t>
  </si>
  <si>
    <t>Receivables</t>
  </si>
  <si>
    <t>Trade Receivables</t>
  </si>
  <si>
    <t>Other Receivables</t>
  </si>
  <si>
    <t>Investments</t>
  </si>
  <si>
    <t>Other Financial assets</t>
  </si>
  <si>
    <t>Total Financial Assets</t>
  </si>
  <si>
    <t>Non Financial Assets</t>
  </si>
  <si>
    <t>Current Tax assets (Net)</t>
  </si>
  <si>
    <t>Deferred Tax Asset (Net)</t>
  </si>
  <si>
    <t>Property, Plant and Equipment</t>
  </si>
  <si>
    <t>Other non-financial assets</t>
  </si>
  <si>
    <t>Total Non Financial Assets</t>
  </si>
  <si>
    <t>TOTAL ASSETS</t>
  </si>
  <si>
    <t>LIABILITIES AND EQUITY</t>
  </si>
  <si>
    <t>Liabilities</t>
  </si>
  <si>
    <t>Financial Liabilities</t>
  </si>
  <si>
    <t>Payables</t>
  </si>
  <si>
    <t>Trade Payables</t>
  </si>
  <si>
    <t>total outstanding dues of micro enterprises and small enterprises</t>
  </si>
  <si>
    <t>total outstanding dues of creditors other than micro enterprises and small enterprises</t>
  </si>
  <si>
    <t>Other financial liabilities</t>
  </si>
  <si>
    <t>Total Financial Liabilities</t>
  </si>
  <si>
    <t>Non Financial Liabilities</t>
  </si>
  <si>
    <t>Current tax liabilities (Net)</t>
  </si>
  <si>
    <t>Provisions</t>
  </si>
  <si>
    <t>Other non-financial liabilities</t>
  </si>
  <si>
    <t>Total Non Financial Liabilities</t>
  </si>
  <si>
    <t>Equity</t>
  </si>
  <si>
    <t>Equity Share Capital</t>
  </si>
  <si>
    <t>Other Equity</t>
  </si>
  <si>
    <t>Total Equity</t>
  </si>
  <si>
    <t>TOTAL LIABILITIES AND EQUITY</t>
  </si>
  <si>
    <t>Investments in associates accounted for using the equity method</t>
  </si>
  <si>
    <t>CHECK</t>
  </si>
  <si>
    <t>CASH FLOW FROM OPERATING ACTIVITIES</t>
  </si>
  <si>
    <t>Net Profit before tax and extraordinary items</t>
  </si>
  <si>
    <t>Adjustments for :</t>
  </si>
  <si>
    <t>Depreciation and amortization</t>
  </si>
  <si>
    <t>Income from associates</t>
  </si>
  <si>
    <t>Net (Profit)/Loss on sale of Current Investments</t>
  </si>
  <si>
    <t>Fair Valuation (Gain)/Loss on Current Investments</t>
  </si>
  <si>
    <t>Operating profit before working capital changes</t>
  </si>
  <si>
    <t>Cash Generation from Operations</t>
  </si>
  <si>
    <t>Taxes Paid</t>
  </si>
  <si>
    <t>Net Cash flow from / (used in) Operating activities</t>
  </si>
  <si>
    <t>CASH FLOW FROM INVESTING ACTIVITIES</t>
  </si>
  <si>
    <t>Sale of Investments</t>
  </si>
  <si>
    <t>Net Cash flow from / (used in) investing activities</t>
  </si>
  <si>
    <t>CASH FLOW FROM FINANCING ACTIVITIES</t>
  </si>
  <si>
    <t>Dividend Paid (including tax thereon)</t>
  </si>
  <si>
    <t>Net Cash flow from / (used in) Financing Activities</t>
  </si>
  <si>
    <t>Net Increase in cash &amp; cash equivalents</t>
  </si>
  <si>
    <t>Cash &amp; cash equivalents as at the beginning</t>
  </si>
  <si>
    <t>Cash &amp; cash equivalents as at the end</t>
  </si>
  <si>
    <t>(Increase)/Decrease in financial assets</t>
  </si>
  <si>
    <t>(Increase)/Decrease in non financial assets</t>
  </si>
  <si>
    <t>Increase/(Decrease) in financial liabilities</t>
  </si>
  <si>
    <t>Increase/(Decrease) in non financial liabilities</t>
  </si>
  <si>
    <t>Purchase of Investments in Associates</t>
  </si>
  <si>
    <t>Purchase of Investments (other than associate)</t>
  </si>
  <si>
    <t>Advance received against sale of land</t>
  </si>
  <si>
    <t>(Increase)/Decrease in Bank Balances not considered as cash and cash equivalents</t>
  </si>
  <si>
    <t>Excess Income Written Off</t>
  </si>
  <si>
    <t>Provisions no longer required written Back</t>
  </si>
  <si>
    <t>Dividend received during the year from associate</t>
  </si>
  <si>
    <t>Provision for Expected Credit Losses (ECL)</t>
  </si>
  <si>
    <t>Revenue</t>
  </si>
  <si>
    <t>Total Operational Revenue</t>
  </si>
  <si>
    <t>Revenue Break</t>
  </si>
  <si>
    <t>Scenario</t>
  </si>
  <si>
    <t>Best Case</t>
  </si>
  <si>
    <t>Base Case</t>
  </si>
  <si>
    <t>Worst Case</t>
  </si>
  <si>
    <t>Annual Growth Tapering</t>
  </si>
  <si>
    <t>Y-o-Y Growth</t>
  </si>
  <si>
    <t>% of Revenue</t>
  </si>
  <si>
    <t>Employee benefits expenses</t>
  </si>
  <si>
    <t>(x) of Revenue</t>
  </si>
  <si>
    <t>Taxes</t>
  </si>
  <si>
    <t>% of PBT</t>
  </si>
  <si>
    <t>Assumptions</t>
  </si>
  <si>
    <t>Transaction Date</t>
  </si>
  <si>
    <t>Fiscal Year End</t>
  </si>
  <si>
    <t>Annual growth Tapering</t>
  </si>
  <si>
    <t>Risk Free Rate</t>
  </si>
  <si>
    <t>Addition In CAPEX</t>
  </si>
  <si>
    <t>Addition In Dep / 3 years</t>
  </si>
  <si>
    <t>Tax Rate</t>
  </si>
  <si>
    <t>EV/EBITDA Multiple</t>
  </si>
  <si>
    <t>Perpetual Growth Rate</t>
  </si>
  <si>
    <t>Discount Rate</t>
  </si>
  <si>
    <t>Current Market Price</t>
  </si>
  <si>
    <t>Market Cap (Cr.)</t>
  </si>
  <si>
    <t>Colour Code</t>
  </si>
  <si>
    <t>Blue colour</t>
  </si>
  <si>
    <t>Hardcoded Figures</t>
  </si>
  <si>
    <t>Black colour</t>
  </si>
  <si>
    <t>Calculated Figures</t>
  </si>
  <si>
    <t>Green Colour</t>
  </si>
  <si>
    <t>Link Data figures</t>
  </si>
  <si>
    <t>Deperciation schedules</t>
  </si>
  <si>
    <t>PPE Opening</t>
  </si>
  <si>
    <t>Plus -Capex</t>
  </si>
  <si>
    <t>Less-Dep</t>
  </si>
  <si>
    <t>PPE Closing</t>
  </si>
  <si>
    <t>Deperciation &amp; Amotisartion Exp. (%of Opening PPE)</t>
  </si>
  <si>
    <t>Check</t>
  </si>
  <si>
    <t>EBITDA</t>
  </si>
  <si>
    <t>D&amp;A</t>
  </si>
  <si>
    <t>EBIT</t>
  </si>
  <si>
    <t>EBT</t>
  </si>
  <si>
    <t>Tax</t>
  </si>
  <si>
    <t>Net Profit</t>
  </si>
  <si>
    <t>Other Income</t>
  </si>
  <si>
    <t>Dividend</t>
  </si>
  <si>
    <t>Dividened PayOut Ratio</t>
  </si>
  <si>
    <t>Retained Earning</t>
  </si>
  <si>
    <t>Retained Earning %</t>
  </si>
  <si>
    <t>Net Profit Margin</t>
  </si>
  <si>
    <t>Total</t>
  </si>
  <si>
    <t>Investment</t>
  </si>
  <si>
    <t>Opening Balance</t>
  </si>
  <si>
    <t>Purchase/sales of Investment</t>
  </si>
  <si>
    <t>Closing Balance</t>
  </si>
  <si>
    <t>Investment Growth rate</t>
  </si>
  <si>
    <t>#</t>
  </si>
  <si>
    <t>Name</t>
  </si>
  <si>
    <t>CMP Rs.</t>
  </si>
  <si>
    <t>EV / EBITDA</t>
  </si>
  <si>
    <t>P/E</t>
  </si>
  <si>
    <t>TVS Holdings</t>
  </si>
  <si>
    <t>Religare Enterp.</t>
  </si>
  <si>
    <t>Elcid Investment</t>
  </si>
  <si>
    <t>Summit Securitie</t>
  </si>
  <si>
    <t>Kalyani Invest.</t>
  </si>
  <si>
    <t>PNB Gilts</t>
  </si>
  <si>
    <t>Vardhman Hold.</t>
  </si>
  <si>
    <t>Comparable Valuation</t>
  </si>
  <si>
    <t>Companies</t>
  </si>
  <si>
    <t>Market Data</t>
  </si>
  <si>
    <t>Financial data</t>
  </si>
  <si>
    <t>Valution</t>
  </si>
  <si>
    <t>Price</t>
  </si>
  <si>
    <t>Share</t>
  </si>
  <si>
    <t>Market Cap</t>
  </si>
  <si>
    <t>Debt</t>
  </si>
  <si>
    <t xml:space="preserve">Cash </t>
  </si>
  <si>
    <t>EV</t>
  </si>
  <si>
    <t>Sales</t>
  </si>
  <si>
    <t>Earnings</t>
  </si>
  <si>
    <t>EV/Sales</t>
  </si>
  <si>
    <t>EV/EBITDA</t>
  </si>
  <si>
    <t>Company Name</t>
  </si>
  <si>
    <t>(/share)</t>
  </si>
  <si>
    <t>x</t>
  </si>
  <si>
    <t>(Lakhs)</t>
  </si>
  <si>
    <t>High</t>
  </si>
  <si>
    <t>75th Percentile</t>
  </si>
  <si>
    <t>Average</t>
  </si>
  <si>
    <t>Median</t>
  </si>
  <si>
    <t>25th Percentile</t>
  </si>
  <si>
    <t>Low</t>
  </si>
  <si>
    <t>Metric</t>
  </si>
  <si>
    <t>Comps</t>
  </si>
  <si>
    <t xml:space="preserve">Share Price </t>
  </si>
  <si>
    <t>Stock Value</t>
  </si>
  <si>
    <t>EV/REVENUE</t>
  </si>
  <si>
    <t>EV (₹ Lakhs.)</t>
  </si>
  <si>
    <t>Net Debt (₹ Lakhs.)</t>
  </si>
  <si>
    <t>Equity Value (₹ Lakhs.)</t>
  </si>
  <si>
    <t xml:space="preserve">Shares (Lakhs) </t>
  </si>
  <si>
    <t>BSE Sensex</t>
  </si>
  <si>
    <t>Date</t>
  </si>
  <si>
    <t>Close Price</t>
  </si>
  <si>
    <t>Month</t>
  </si>
  <si>
    <t>Closing price of Sensex</t>
  </si>
  <si>
    <t>% Change Of Return</t>
  </si>
  <si>
    <t>Closing Price Of Stocks</t>
  </si>
  <si>
    <t>Year</t>
  </si>
  <si>
    <t>Beta</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</si>
  <si>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</si>
  <si>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</si>
  <si>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</si>
  <si>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</si>
  <si>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</si>
  <si>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</si>
  <si>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</si>
  <si>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</si>
  <si>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</si>
  <si>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</si>
  <si>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</si>
  <si>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</si>
  <si>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</si>
  <si>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</si>
  <si>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</si>
  <si>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</si>
  <si>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</si>
  <si>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</si>
  <si>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</si>
  <si>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</si>
  <si>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</si>
  <si>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</si>
  <si>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</si>
  <si>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</si>
  <si>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Return</t>
  </si>
  <si>
    <t>Current Capital structure</t>
  </si>
  <si>
    <t>Market cap</t>
  </si>
  <si>
    <t>Total Debt</t>
  </si>
  <si>
    <t>Cost of debt</t>
  </si>
  <si>
    <t>Pre-tax cost of debt</t>
  </si>
  <si>
    <t>tax rate</t>
  </si>
  <si>
    <t>After -Tax cost of debt</t>
  </si>
  <si>
    <t>Cost of equity</t>
  </si>
  <si>
    <t>Risk free Rate</t>
  </si>
  <si>
    <t>Equity Market Return</t>
  </si>
  <si>
    <t>Equity risk premium</t>
  </si>
  <si>
    <t>WACC</t>
  </si>
  <si>
    <t>Audited</t>
  </si>
  <si>
    <t>Forecasted</t>
  </si>
  <si>
    <t>Entry</t>
  </si>
  <si>
    <t>Exit</t>
  </si>
  <si>
    <t>DATE</t>
  </si>
  <si>
    <t>Time Periods</t>
  </si>
  <si>
    <t>Year Frac</t>
  </si>
  <si>
    <t>EBIT/ Operating Income</t>
  </si>
  <si>
    <t>Tax rate</t>
  </si>
  <si>
    <t>NOPAT</t>
  </si>
  <si>
    <t>Add: Depreciation &amp; Amortization</t>
  </si>
  <si>
    <t>Less: CapEx</t>
  </si>
  <si>
    <t>Less: Change in Working Capital</t>
  </si>
  <si>
    <t>Unlevered FCFF</t>
  </si>
  <si>
    <t>Transaction FCFF</t>
  </si>
  <si>
    <t>Terminal Value</t>
  </si>
  <si>
    <t>Prep.Growth</t>
  </si>
  <si>
    <t>Intrinsic Value</t>
  </si>
  <si>
    <t>Enterpreise Value</t>
  </si>
  <si>
    <t>Plus: Cash &amp; Cash equivalent</t>
  </si>
  <si>
    <t>Less- Debt</t>
  </si>
  <si>
    <t>Less-non- controlling interest</t>
  </si>
  <si>
    <t>Equity Value</t>
  </si>
  <si>
    <t>Equity value/share</t>
  </si>
  <si>
    <t>Shares Outstanding(Lakhs)</t>
  </si>
  <si>
    <t>Master Check</t>
  </si>
  <si>
    <t>No. Eq. Shares lakhs</t>
  </si>
  <si>
    <t xml:space="preserve">Debt </t>
  </si>
  <si>
    <t xml:space="preserve">NP Ann </t>
  </si>
  <si>
    <t xml:space="preserve">Sales Ann </t>
  </si>
  <si>
    <t xml:space="preserve">Dep Ann </t>
  </si>
  <si>
    <t xml:space="preserve">EBIT Ann </t>
  </si>
  <si>
    <t xml:space="preserve">EV </t>
  </si>
  <si>
    <t xml:space="preserve">Mar Cap </t>
  </si>
  <si>
    <t xml:space="preserve">Tax 12M </t>
  </si>
  <si>
    <t>Sensitivity - Intrinsic Value (Rs/share)</t>
  </si>
  <si>
    <t>(All amounts in INR  Lakhs, unless otherwise stated)</t>
  </si>
  <si>
    <t>Source -</t>
  </si>
  <si>
    <t>Historical - Indices</t>
  </si>
  <si>
    <t xml:space="preserve">Source - </t>
  </si>
  <si>
    <t>Investment Company Companies - Screener</t>
  </si>
  <si>
    <t>ISIN Code</t>
  </si>
  <si>
    <t>Sector Name</t>
  </si>
  <si>
    <t>Industry</t>
  </si>
  <si>
    <t>Exchange Name</t>
  </si>
  <si>
    <t>Website</t>
  </si>
  <si>
    <t>Company Description</t>
  </si>
  <si>
    <t xml:space="preserve">Vardhman Holdings Ltd
</t>
  </si>
  <si>
    <t>INE701A01023</t>
  </si>
  <si>
    <t xml:space="preserve"> Investment Company</t>
  </si>
  <si>
    <t xml:space="preserve"> Finance</t>
  </si>
  <si>
    <t xml:space="preserve"> BSE: 500439 | NSE: VHL</t>
  </si>
  <si>
    <t>vardhman.in</t>
  </si>
  <si>
    <t>Associate Company</t>
  </si>
  <si>
    <r>
      <rPr>
        <b/>
        <sz val="10"/>
        <color theme="1"/>
        <rFont val="Calibri"/>
        <family val="2"/>
        <scheme val="minor"/>
      </rPr>
      <t>a) Vardhman Textiles Limited (VTXL)</t>
    </r>
    <r>
      <rPr>
        <sz val="10"/>
        <color theme="1"/>
        <rFont val="Calibri"/>
        <family val="2"/>
        <scheme val="minor"/>
      </rPr>
      <t xml:space="preserve">- Company holds ~28.48% shares of VTXL.
It is engaged in manufacturing of texiles.
</t>
    </r>
    <r>
      <rPr>
        <b/>
        <sz val="10"/>
        <color theme="1"/>
        <rFont val="Calibri"/>
        <family val="2"/>
        <scheme val="minor"/>
      </rPr>
      <t>b) Vardhman Spinning and General Mills Limited (VSGM)</t>
    </r>
    <r>
      <rPr>
        <sz val="10"/>
        <color theme="1"/>
        <rFont val="Calibri"/>
        <family val="2"/>
        <scheme val="minor"/>
      </rPr>
      <t>- Company holds ~50% shares of VSGM. It deals in trading of Cotton and Fibre. In FY23, VSGM has not traded any goods</t>
    </r>
  </si>
  <si>
    <t>Items</t>
  </si>
  <si>
    <t>Sheet</t>
  </si>
  <si>
    <t>Reference</t>
  </si>
  <si>
    <t>Football Field Analysis</t>
  </si>
  <si>
    <t>Football Field Data</t>
  </si>
  <si>
    <t>Comps Median</t>
  </si>
  <si>
    <t>Comps Average</t>
  </si>
  <si>
    <t>DCF (Average)</t>
  </si>
  <si>
    <t>52-Week Hi/LO</t>
  </si>
  <si>
    <t>Market Consenses</t>
  </si>
  <si>
    <t>Revenue from operation</t>
  </si>
  <si>
    <t>Revenue Buildup</t>
  </si>
  <si>
    <t>Revenue has been forecasted using the historic average YoY growth of the last 5 years and tapered down to match the perpetual growth rate. Moreover, a Bull and a Bear Case has been calculated as +/-5% of Base Case respectively</t>
  </si>
  <si>
    <t>Cost Build_up</t>
  </si>
  <si>
    <t>B19:Q23</t>
  </si>
  <si>
    <t>B30:Q34</t>
  </si>
  <si>
    <t>C21</t>
  </si>
  <si>
    <t>For calculating the Terminal Value in the DCF model, a perpetual growth rate of 6% has been assumed. This is aligned with India’s long-term GDP growth outlook, which is forecasted at approximately 6.4%</t>
  </si>
  <si>
    <t>Effective Tax Rate</t>
  </si>
  <si>
    <t>B39:Q39</t>
  </si>
  <si>
    <t>B17:Q17</t>
  </si>
  <si>
    <t>Riskfree Rate</t>
  </si>
  <si>
    <t>C19</t>
  </si>
  <si>
    <t>The risk-free rate is based on the 10-year Indian government bond yield, reflecting long-term returns with minimal default risk.</t>
  </si>
  <si>
    <t>C18</t>
  </si>
  <si>
    <t>CAPEX</t>
  </si>
  <si>
    <t>B18:Q18</t>
  </si>
  <si>
    <t>CAPEX is estimated as the average  of revenue over the last five years. For forecasting, it is assumed to gradually increase by 0.5% each year, reflecting ongoing capital investment needs and supporting future business expansion and asset growth.</t>
  </si>
  <si>
    <t xml:space="preserve">Deperciation &amp; Amotisartion Exp. </t>
  </si>
  <si>
    <t>The EV/EBITDA multiple is derived using the median value of peer companies within the same industry. This approach ensures a fair, industry-aligned valuation benchmark by eliminating outliers and reflecting realistic market expectations for enterprise value assessment.</t>
  </si>
  <si>
    <t>Dividend payout Ratio</t>
  </si>
  <si>
    <t>Income statement</t>
  </si>
  <si>
    <t>The Dividend Payout Ratio is calculated as the percentage of net income distributed as dividends. For forecasting, the average of the last 5 years’ payout ratios is used and applied consistently for the next 10 years to maintain realistic projections.</t>
  </si>
  <si>
    <t>Retained Earning is taken as the remaining profit after payment of the Dividend to the shareholder ( Net profit- Dividend Paid).</t>
  </si>
  <si>
    <t>Balancesheet statement</t>
  </si>
  <si>
    <t>B41:Q41</t>
  </si>
  <si>
    <t>Equity Share Capital represents the funds raised by issuing shares to shareholders. For the forecasted year, it is assumed to remain the same as the previous year (2025) without any changes.</t>
  </si>
  <si>
    <t>B42:Q42</t>
  </si>
  <si>
    <t>Other Equity for the forecasted year is calculated as the previous year’s equity plus the current year’s net profit, minus the dividend paid during the current year</t>
  </si>
  <si>
    <t>J15</t>
  </si>
  <si>
    <t>The beta of the company is calculated by using the monthly return of the equity and stocks closing price of the last 10 years.</t>
  </si>
  <si>
    <t>Comparable valuation</t>
  </si>
  <si>
    <t>B37:L47</t>
  </si>
  <si>
    <t>Equity market Retrun</t>
  </si>
  <si>
    <t>equity market</t>
  </si>
  <si>
    <t>F14</t>
  </si>
  <si>
    <t>The equity market return is taken as the 10 year historical market data of the BSE sensex for the Equity Return.</t>
  </si>
  <si>
    <t>Ratio Analysis &amp; Interpretation</t>
  </si>
  <si>
    <t>EBITDA Margin</t>
  </si>
  <si>
    <t>Pretax Margin</t>
  </si>
  <si>
    <t>Return on Equity</t>
  </si>
  <si>
    <t>Return on Capital Employed</t>
  </si>
  <si>
    <t>Return on Assets</t>
  </si>
  <si>
    <t>Asset/ Equity</t>
  </si>
  <si>
    <t>Efficiency Ratio</t>
  </si>
  <si>
    <t>Total Asset Turnover Ratio</t>
  </si>
  <si>
    <t>Net Margin</t>
  </si>
  <si>
    <t>Operating Leverage</t>
  </si>
  <si>
    <t>N/A</t>
  </si>
  <si>
    <t>The EBITDA Margin shows strong profitability historically, with 88.53% (2021) rising to 90.71% (2022), then sharply declining to 25.75% (2023). Recovery follows at 70.88% (2024) and 72.86% (2025). For the forecasted period (2026–2035), margins stabilize at 69.74%. The trend indicates an initial upside, then a downside dip, followed by partial recovery and long-term stability. This suggests improved efficiency post-2023 challenges, but moderate margins ahead, reflecting controlled operations without major upside growth potential.</t>
  </si>
  <si>
    <t>Ratio Interpretation</t>
  </si>
  <si>
    <t>Common Size Statement</t>
  </si>
  <si>
    <t>Income  Statement</t>
  </si>
  <si>
    <t>Balance Sheet</t>
  </si>
  <si>
    <t>B28:Q33</t>
  </si>
  <si>
    <t>Other Income: Taken as a percentage of revenue. For forecasted years (2026–2035), assumed at 14% of revenue, derived from the historical average of 2021–2025.</t>
  </si>
  <si>
    <t>B22:Q23</t>
  </si>
  <si>
    <t>B25:Q26</t>
  </si>
  <si>
    <t>From 2026 to 2035, the employee benefits expenses are forecasted using the average percentage of revenue from the historical five years (2021–2025), stabilizing at around 6% and reflecting growth in line with business expansion.</t>
  </si>
  <si>
    <t>Employee benefits expense,</t>
  </si>
  <si>
    <t xml:space="preserve"> Other Expenses </t>
  </si>
  <si>
    <t>The first five years show actual historical percentages of revenue. For the forecasted period (2026–2035), other expenses are assumed based on the average percentage of revenue from 2021–2025, stabilizing around 24% and increasing proportionally with revenue growth.</t>
  </si>
  <si>
    <t>Annual growth tapering is assumed at 20%, gradually aligning revenue growth with the perpetual growth rate in the projected year.</t>
  </si>
  <si>
    <t>B36:Q36</t>
  </si>
  <si>
    <t>B38:Q38</t>
  </si>
  <si>
    <t>The Comparable valuation is calculated by taking the peers company which same industry and taken Average and median data of EV/EBITDA, EV/sales and P/E ratio for company Valuation.</t>
  </si>
  <si>
    <t>B16:Q21</t>
  </si>
  <si>
    <t>B9:Q12</t>
  </si>
  <si>
    <t>Other Receivables , Other Financial assets</t>
  </si>
  <si>
    <t>Other non-financial liabilities, Provision</t>
  </si>
  <si>
    <t>Balance_Sheet_Forecast</t>
  </si>
  <si>
    <t>B11:Q37</t>
  </si>
  <si>
    <t>The balances for Other Receivables and Other Financial Assets are forecasted based on their historical relationship to revenue. The specific percentage used for each forecast year is calculated as the average of their historical percentages of revenue.</t>
  </si>
  <si>
    <t>The balance for Other Financial Liabilities is forecasted based on its historical relationship to total revenue. The specific amount for each forecast year is calculated as the average of its historical percentage of revenue.</t>
  </si>
  <si>
    <t>The balances for Other Non-Financial Liabilities and Provisions are forecasted based on their historical relationship to total revenue. The specific amount for each forecast year is calculated as the average of their historical percentages of revenue.</t>
  </si>
  <si>
    <t>FSA</t>
  </si>
  <si>
    <t>DCF</t>
  </si>
  <si>
    <t>Comps Valuation</t>
  </si>
  <si>
    <t>VHL is a Non Deposit Taking Systemically Important Non Banking Finance Corporation which is mainly into investment activities. It primarily earns its income from investments. Company’s strategy is to adopt a systematic approach of investment into different asset classes and to keep the portfolio dynamic as per the changing market conditions. Company’s current portfolio consists of investments into debt, equity and real estate. Interest Income from investments ~43%, Dividend Income from investments ~25%, Net gain on trading portfolio ~8%, Receipt against License agreement ~24%,  (Company has no debt, it is debt free).</t>
  </si>
  <si>
    <t>other income</t>
  </si>
  <si>
    <t>Share of Profit of Associates: Taken as a multiple of revenue. For forecasted years (2026–2035), assumed at 8x revenue, based on the historical average of 2021–2025. (except 2023)</t>
  </si>
  <si>
    <t>Current Tax assets (Net), , Other non-financial assets</t>
  </si>
  <si>
    <t>The balances for Current Tax Assets (Net), and Other Non-Financial Assets are forecasted based on their historical relationship to revenue. The specific amount for each forecast year is calculated as the average of their historical percentages of revenue.</t>
  </si>
  <si>
    <t>Deferred tax assets have declined over the past five years, reflecting reduced benefits. For forecasts, the latest year’s share of revenue is assumed to remain constant.</t>
  </si>
  <si>
    <t>Addition In Tax rate / 2 years</t>
  </si>
  <si>
    <t>Taxes for the historical years are based on actual PBT percentages. For the forecasted years (2026–2035), taxes for projected year taken as the latest year of the tax ( which is 2025 tax rate ), and aslo adding the growing tax rate of 0.5 % every 2 year.</t>
  </si>
  <si>
    <t>EBIT Margin</t>
  </si>
  <si>
    <t>The Effective Tax Rate shows fluctuations over the period, starting low at 2.78% (2021) and rising to 6.61% (2022), followed by an unusual negative rate of -1.56% (2023), likely due to tax credits or adjustments. It then normalizes to 4.82% (2024) and gradually increases to 5.48% (2025). For the forecasted period (2026–2035), the tax rate trends upward, stabilizing in the range of 5.98%–7.98%. This indicates a gradual normalization of tax liabilities, reflecting regulatory compliance and improved earnings quality, though the rates remain relatively low compared to standard corporate tax levels.</t>
  </si>
  <si>
    <t>The Return on Equity (ROE) shows fluctuations over the years, beginning at 5.62% (2021) and rising strongly to 15.45% (2022). It then declines to 7.37% (2023) and further moderates to 5.61% (2024), before improving again to 7.29% (2025). For the forecasted period (2026–2035), ROE gradually increases from 7.29% to a peak of 12.39% (2031), before slightly tapering to 10.73% (2035). The trend highlights initial volatility, followed by a steady improvement in shareholder returns, reflecting better earnings generation and efficient capital utilization over the long term, though not at exceptionally high levels.</t>
  </si>
  <si>
    <t>The Asset/Equity ratio remains constant at 1.00 throughout the period (2021–2035), indicating that the company operates entirely on equity without relying on debt financing. This reflects a zero-leverage structure, suggesting financial stability and no external borrowings. While this eliminates financial risk from debt obligations, it also limits the potential benefits of leverage in enhancing returns, making profitability fully dependent on equity-funded operations and associate income contributions.</t>
  </si>
  <si>
    <t xml:space="preserve">Financial Liabilities </t>
  </si>
  <si>
    <t xml:space="preserve">Non Financial Liabilities </t>
  </si>
  <si>
    <t xml:space="preserve">Financial Assets </t>
  </si>
  <si>
    <t xml:space="preserve">Non Financial Assets </t>
  </si>
  <si>
    <t>Investment Growth rate / year</t>
  </si>
  <si>
    <t>Investments in associates Growth Rate / year</t>
  </si>
  <si>
    <t>Standard Deviation</t>
  </si>
  <si>
    <t>Current tax assets</t>
  </si>
  <si>
    <t>Other non- Financial assets</t>
  </si>
  <si>
    <t>Current Portion of Other Investment</t>
  </si>
  <si>
    <t>% of Total Other Investment</t>
  </si>
  <si>
    <t xml:space="preserve">Total </t>
  </si>
  <si>
    <t>Net Working Capital</t>
  </si>
  <si>
    <t>Calculation of Net Working Capital</t>
  </si>
  <si>
    <t>Total Current Assets</t>
  </si>
  <si>
    <t>Total Current Liabilities</t>
  </si>
  <si>
    <t>Change in Current Assets</t>
  </si>
  <si>
    <t>Change in Current Laibilities</t>
  </si>
  <si>
    <t>The EBIT Margin shows strong profitability historically, with 88.48% (2021) rising to 90.69% (2022), before sharply declining to 25.62% (2023). A recovery is observed at 70.83% (2024) and 72.82% (2025). For the forecasted period (2026–2035), margins stabilize around 69.71%–69.73%. The trend highlights an early peak, a sharp downturn, followed by recovery and long-term stabilization. This reflects improved cost control and operational efficiency post-2023 challenges, but indicates steady rather than high-growth profitability going forward.</t>
  </si>
  <si>
    <t>The Pretax Margin shows exceptionally high profitability historically, starting at 673.31% (2021) and surging to 1388.57% (2022) before peaking at 3822.26% (2023). It then declines to 1303.51% (2024) and 1198.51% (2025). For the forecasted period (2026–2035), margins stabilize around 879.86%–879.88%. The trend reflects an unusual spike in early years, followed by normalization at consistently high levels. Importantly, nearly 90% of the pretax profit is derived from the share of profit from associates, which significantly inflates margins. This indicates extraordinary gains from associate contributions rather than core operating performance, with sustained but more controlled profitability expected in the long term.</t>
  </si>
  <si>
    <t>The Net Margin shows extremely high profitability historically, starting at 654.59% (2021) and rising sharply to 1296.72% (2022), before peaking at 3881.94% (2023). It then declines to 1240.70% (2024) and further to 1132.78% (2025). For the forecasted period (2026–2035), margins stabilize in the range of 827.21%–809.63%. The trend reflects extraordinary margins driven largely by non-operational income, with around 90% of profits contributed by the share of profit from associates, rather than core operations. While margins remain exceptionally high, the stabilization phase suggests limited incremental upside, with future profitability heavily reliant on sustained associate performance rather than operational expansion.</t>
  </si>
  <si>
    <t>The Return on Capital Employed (ROCE) shows very low efficiency levels, starting at 0.77% (2021) and improving slightly to 1.09% (2022). It then drops sharply to 0.05% (2023), indicating weak capital utilization during that year. A gradual recovery follows, reaching 0.32% (2024) and 0.47% (2025). For the forecasted period (2026–2035), ROCE shows steady but modest improvement, peaking at 0.97% (2031) before tapering down to 0.85% (2035). The trend reflects minimal returns from the capital base, highlighting limited operational efficiency and suggesting that profitability is not strongly driven by core capital-employed activities, but rather by external factors such as associate income.</t>
  </si>
  <si>
    <t>The Return on Assets (ROA) shows fluctuations over the period, beginning at 5.61% (2021) and rising sharply to 15.45% (2022). It then declines to 7.37% (2023) and further moderates to 5.61% (2024), before improving again to 7.29% (2025). For the forecasted period (2026–2035), ROA gradually increases from 7.29% to a peak of 11.31% (2031), followed by a slight tapering to 9.86% (2035). The trend highlights early volatility, but steady improvement in asset utilization over the long term, suggesting better efficiency in generating profits from the asset base, though largely supported by associate income rather than core operational strength.</t>
  </si>
  <si>
    <t>The Total Asset Turnover Ratio remains very low across the period, starting at 0.009x (2021) and improving slightly to 0.012x (2022), before dropping sharply to 0.002x (2023). A gradual recovery follows, reaching 0.005x (2024) and 0.006x (2025). For the forecasted period (2026–2035), efficiency improves modestly, peaking at 0.014x (2030–2032) before tapering to 0.012x (2035). The consistently low ratios indicate that the company generates minimal revenue relative to its asset base, reflecting weak operational efficiency. This further highlights that profitability is largely driven by associate income, rather than strong core revenue-generating capacity.</t>
  </si>
  <si>
    <t>The Efficiency Ratio shows significant volatility in the initial years, starting at 0.11 (2021) and improving to 0.09 (2022), before worsening sharply to 0.74 (2023), indicating a spike in costs relative to income. It then recovers to 0.29 (2024) and stabilizes to 0.30 during 2025–2035. The trend highlights weak cost efficiency in 2023, followed by normalization and stability in the long term. However, the ratio levels suggest that while efficiency improves, operations remain only moderately cost-effective, with profitability still heavily dependent on income from associates rather than pure operational strength.</t>
  </si>
  <si>
    <t>The Operating Leverage shows variability over the years, beginning at 0.94 (2022) and rising slightly to 1.05 (2023), indicating higher sensitivity of operating profit to revenue changes during that period. It then normalizes to 1.00 (2024) before declining to 0.77 (2025) and further to 0.62 (2026). For the forecasted period (2027–2035), leverage stabilizes to 0.70. The trend suggests that the company initially experienced stronger operating leverage, but over time its cost structure became more flexible, reducing earnings volatility. This reflects controlled fixed costs and greater stability, though it also implies limited upside from revenue growth.</t>
  </si>
  <si>
    <t>Investment forecast is based on the historical average growth rate of Investment. For the forecasted period, we assumes a steady and conservative annual investment growth rate of 3% ( every  3 year). This simplified projection supports long-term financial planning by assuming stable, moderate expansion.</t>
  </si>
  <si>
    <t xml:space="preserve">Investment in associates accounted for using the equity method forecast is based on the historical average growth rate of the investment. For the forecasted period, we assumes a steady and conservative annual investment growth rate of 4% ( every 3 year). This simplified projection supports long-term financial planning by assuming stable, moderate expansion.
</t>
  </si>
  <si>
    <t>The assumption for Depreciation &amp; Amortisation is based on the percentage of Opening PPE. For forecasted years, the average historical percentage is taken and increased by 0.15% every 3 years for projection.</t>
  </si>
  <si>
    <t>B43:Q43</t>
  </si>
  <si>
    <t>Net Working Capital Consist Change of  the Current portion of Current Assets and Current portion of Current Liabilities , The Current Assets &amp; Current Liabilities are Taken from the annual Report based on their Maturity Paatern ( With in 12 Months) and some portion of  Investment of Current Assets Taken as % of the total Investment and for forecasted year taken as the average of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</si>
</sst>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0.0%"/>
    <numFmt numFmtId="165" formatCode="0&quot; A&quot;"/>
    <numFmt numFmtId="166" formatCode="0&quot; F&quot;"/>
    <numFmt numFmtId="167" formatCode="0.0"/>
    <numFmt numFmtId="168" formatCode="#,##0&quot;x&quot;"/>
    <numFmt numFmtId="169" formatCode="0.0&quot;x&quot;"/>
    <numFmt numFmtId="170" formatCode="&quot;₹&quot;\ #,##0"/>
    <numFmt numFmtId="171" formatCode="0.00&quot;x&quot;"/>
    <numFmt numFmtId="172" formatCode="&quot;₹&quot;\ #,##0;\(&quot;₹&quot;\ #,##0\);\-"/>
    <numFmt numFmtId="173" formatCode="#,##0.00;\(#,##0.00\);&quot;-&quot;"/>
    <numFmt numFmtId="174" formatCode="0.000%"/>
    <numFmt numFmtId="175" formatCode="0.000&quot;x&quot;"/>
  </numFmts>
  <fonts count="31" x14ac:knownFonts="1">
    <font>
      <sz val="11"/>
      <color theme="1"/>
      <name val="Calibri"/>
      <family val="2"/>
      <scheme val="minor"/>
    </font>
    <font>
      <b/>
      <sz val="11"/>
      <color theme="1"/>
      <name val="Calibri"/>
      <family val="2"/>
      <scheme val="minor"/>
    </font>
    <font>
      <b/>
      <sz val="11"/>
      <color rgb="FFFF0000"/>
      <name val="Calibri"/>
      <family val="2"/>
      <scheme val="minor"/>
    </font>
    <font>
      <sz val="11"/>
      <color theme="1"/>
      <name val="Calibri"/>
      <family val="2"/>
      <scheme val="minor"/>
    </font>
    <font>
      <i/>
      <sz val="11"/>
      <color theme="1"/>
      <name val="Calibri"/>
      <family val="2"/>
      <scheme val="minor"/>
    </font>
    <font>
      <b/>
      <i/>
      <sz val="11"/>
      <color theme="1"/>
      <name val="Calibri"/>
      <family val="2"/>
      <scheme val="minor"/>
    </font>
    <font>
      <sz val="11"/>
      <color rgb="FF0070C0"/>
      <name val="Calibri"/>
      <family val="2"/>
      <scheme val="minor"/>
    </font>
    <font>
      <sz val="11"/>
      <color rgb="FF00B050"/>
      <name val="Calibri"/>
      <family val="2"/>
      <scheme val="minor"/>
    </font>
    <font>
      <b/>
      <sz val="11"/>
      <color rgb="FF0070C0"/>
      <name val="Calibri"/>
      <family val="2"/>
      <scheme val="minor"/>
    </font>
    <font>
      <b/>
      <sz val="11"/>
      <color rgb="FF00B050"/>
      <name val="Calibri"/>
      <family val="2"/>
      <scheme val="minor"/>
    </font>
    <font>
      <i/>
      <sz val="11"/>
      <color theme="0" tint="-0.499984740745262"/>
      <name val="Calibri"/>
      <family val="2"/>
      <scheme val="minor"/>
    </font>
    <font>
      <b/>
      <sz val="11"/>
      <color theme="0"/>
      <name val="Calibri"/>
      <family val="2"/>
      <scheme val="minor"/>
    </font>
    <font>
      <sz val="11"/>
      <color theme="0"/>
      <name val="Calibri"/>
      <family val="2"/>
      <scheme val="minor"/>
    </font>
    <font>
      <b/>
      <sz val="11"/>
      <color theme="1"/>
      <name val="Times New Roman"/>
      <family val="1"/>
    </font>
    <font>
      <sz val="11"/>
      <color theme="1"/>
      <name val="Times New Roman"/>
      <family val="1"/>
    </font>
    <font>
      <i/>
      <sz val="10"/>
      <color theme="1"/>
      <name val="Calibri"/>
      <family val="2"/>
      <scheme val="minor"/>
    </font>
    <font>
      <i/>
      <sz val="10"/>
      <color rgb="FF00B050"/>
      <name val="Calibri"/>
      <family val="2"/>
      <scheme val="minor"/>
    </font>
    <font>
      <b/>
      <sz val="12"/>
      <color theme="1"/>
      <name val="Calibri"/>
      <family val="2"/>
      <scheme val="minor"/>
    </font>
    <font>
      <u/>
      <sz val="11"/>
      <color theme="10"/>
      <name val="Calibri"/>
      <family val="2"/>
      <scheme val="minor"/>
    </font>
    <font>
      <b/>
      <i/>
      <sz val="10"/>
      <color theme="1"/>
      <name val="Calibri"/>
      <family val="2"/>
      <scheme val="minor"/>
    </font>
    <font>
      <b/>
      <i/>
      <u/>
      <sz val="10"/>
      <color theme="10"/>
      <name val="Calibri"/>
      <family val="2"/>
      <scheme val="minor"/>
    </font>
    <font>
      <b/>
      <sz val="10"/>
      <color theme="1"/>
      <name val="Times New Roman"/>
      <family val="1"/>
    </font>
    <font>
      <b/>
      <sz val="10"/>
      <color theme="1"/>
      <name val="Calibri"/>
      <family val="2"/>
      <scheme val="minor"/>
    </font>
    <font>
      <b/>
      <u/>
      <sz val="10"/>
      <color theme="1"/>
      <name val="Times New Roman"/>
      <family val="1"/>
    </font>
    <font>
      <sz val="10"/>
      <color theme="1"/>
      <name val="Calibri"/>
      <family val="2"/>
      <scheme val="minor"/>
    </font>
    <font>
      <b/>
      <i/>
      <sz val="10"/>
      <color theme="1"/>
      <name val="Times New Roman"/>
      <family val="1"/>
    </font>
    <font>
      <sz val="11"/>
      <color theme="1"/>
      <name val="Century"/>
      <family val="1"/>
    </font>
    <font>
      <i/>
      <sz val="11"/>
      <color theme="0"/>
      <name val="Calibri"/>
      <family val="2"/>
      <scheme val="minor"/>
    </font>
    <font>
      <sz val="9"/>
      <color indexed="81"/>
      <name val="Tahoma"/>
      <family val="2"/>
    </font>
    <font>
      <b/>
      <sz val="9"/>
      <color indexed="81"/>
      <name val="Tahoma"/>
      <family val="2"/>
    </font>
    <font>
      <i/>
      <sz val="11"/>
      <color theme="2" tint="-0.499984740745262"/>
      <name val="Calibri"/>
      <family val="2"/>
      <scheme val="minor"/>
    </font>
  </fonts>
  <fills count="12">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lightGray">
        <bgColor theme="9" tint="0.79998168889431442"/>
      </patternFill>
    </fill>
    <fill>
      <patternFill patternType="solid">
        <fgColor theme="0" tint="-4.9989318521683403E-2"/>
        <bgColor indexed="64"/>
      </patternFill>
    </fill>
    <fill>
      <patternFill patternType="solid">
        <fgColor theme="7" tint="0.59999389629810485"/>
        <bgColor indexed="64"/>
      </patternFill>
    </fill>
    <fill>
      <patternFill patternType="mediumGray">
        <bgColor theme="9" tint="0.79998168889431442"/>
      </patternFill>
    </fill>
    <fill>
      <patternFill patternType="solid">
        <fgColor theme="7" tint="0.79998168889431442"/>
        <bgColor indexed="64"/>
      </patternFill>
    </fill>
  </fills>
  <borders count="83">
    <border>
      <left/>
      <right/>
      <top/>
      <bottom/>
      <diagonal/>
    </border>
    <border>
      <left/>
      <right/>
      <top/>
      <bottom style="thin">
        <color indexed="64"/>
      </bottom>
      <diagonal/>
    </border>
    <border>
      <left/>
      <right/>
      <top style="thin">
        <color indexed="64"/>
      </top>
      <bottom/>
      <diagonal/>
    </border>
    <border>
      <left/>
      <right/>
      <top style="thin">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top style="hair">
        <color auto="1"/>
      </top>
      <bottom style="dotted">
        <color auto="1"/>
      </bottom>
      <diagonal/>
    </border>
    <border>
      <left/>
      <right/>
      <top style="hair">
        <color auto="1"/>
      </top>
      <bottom style="hair">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hair">
        <color auto="1"/>
      </top>
      <bottom style="medium">
        <color indexed="64"/>
      </bottom>
      <diagonal/>
    </border>
    <border>
      <left/>
      <right style="medium">
        <color indexed="64"/>
      </right>
      <top style="hair">
        <color auto="1"/>
      </top>
      <bottom style="medium">
        <color indexed="64"/>
      </bottom>
      <diagonal/>
    </border>
    <border>
      <left style="medium">
        <color indexed="64"/>
      </left>
      <right/>
      <top/>
      <bottom style="hair">
        <color auto="1"/>
      </bottom>
      <diagonal/>
    </border>
    <border>
      <left/>
      <right style="medium">
        <color indexed="64"/>
      </right>
      <top/>
      <bottom style="hair">
        <color auto="1"/>
      </bottom>
      <diagonal/>
    </border>
    <border>
      <left/>
      <right/>
      <top style="medium">
        <color indexed="64"/>
      </top>
      <bottom style="medium">
        <color indexed="64"/>
      </bottom>
      <diagonal/>
    </border>
    <border>
      <left/>
      <right/>
      <top/>
      <bottom style="hair">
        <color auto="1"/>
      </bottom>
      <diagonal/>
    </border>
    <border>
      <left/>
      <right/>
      <top style="thin">
        <color indexed="64"/>
      </top>
      <bottom style="hair">
        <color indexed="64"/>
      </bottom>
      <diagonal/>
    </border>
    <border>
      <left style="hair">
        <color indexed="64"/>
      </left>
      <right style="hair">
        <color indexed="64"/>
      </right>
      <top/>
      <bottom/>
      <diagonal/>
    </border>
    <border>
      <left style="hair">
        <color indexed="64"/>
      </left>
      <right style="hair">
        <color indexed="64"/>
      </right>
      <top style="thin">
        <color indexed="64"/>
      </top>
      <bottom/>
      <diagonal/>
    </border>
    <border>
      <left style="hair">
        <color indexed="64"/>
      </left>
      <right style="hair">
        <color indexed="64"/>
      </right>
      <top/>
      <bottom style="medium">
        <color indexed="64"/>
      </bottom>
      <diagonal/>
    </border>
    <border>
      <left style="hair">
        <color indexed="64"/>
      </left>
      <right style="hair">
        <color indexed="64"/>
      </right>
      <top style="medium">
        <color indexed="64"/>
      </top>
      <bottom/>
      <diagonal/>
    </border>
    <border>
      <left/>
      <right/>
      <top style="medium">
        <color indexed="64"/>
      </top>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medium">
        <color indexed="64"/>
      </bottom>
      <diagonal/>
    </border>
    <border>
      <left/>
      <right/>
      <top style="hair">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hair">
        <color indexed="64"/>
      </top>
      <bottom style="medium">
        <color indexed="64"/>
      </bottom>
      <diagonal/>
    </border>
    <border>
      <left/>
      <right style="medium">
        <color indexed="64"/>
      </right>
      <top style="hair">
        <color auto="1"/>
      </top>
      <bottom/>
      <diagonal/>
    </border>
    <border>
      <left/>
      <right style="hair">
        <color auto="1"/>
      </right>
      <top/>
      <bottom/>
      <diagonal/>
    </border>
    <border>
      <left style="hair">
        <color auto="1"/>
      </left>
      <right/>
      <top/>
      <bottom/>
      <diagonal/>
    </border>
    <border>
      <left style="hair">
        <color indexed="64"/>
      </left>
      <right style="hair">
        <color indexed="64"/>
      </right>
      <top style="thin">
        <color indexed="64"/>
      </top>
      <bottom style="medium">
        <color indexed="64"/>
      </bottom>
      <diagonal/>
    </border>
    <border>
      <left style="double">
        <color indexed="64"/>
      </left>
      <right style="double">
        <color indexed="64"/>
      </right>
      <top style="double">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diagonal/>
    </border>
    <border>
      <left style="hair">
        <color auto="1"/>
      </left>
      <right/>
      <top style="hair">
        <color auto="1"/>
      </top>
      <bottom/>
      <diagonal/>
    </border>
    <border>
      <left/>
      <right/>
      <top style="hair">
        <color auto="1"/>
      </top>
      <bottom/>
      <diagonal/>
    </border>
    <border>
      <left style="medium">
        <color indexed="64"/>
      </left>
      <right style="hair">
        <color indexed="64"/>
      </right>
      <top/>
      <bottom/>
      <diagonal/>
    </border>
    <border>
      <left style="medium">
        <color indexed="64"/>
      </left>
      <right style="hair">
        <color indexed="64"/>
      </right>
      <top/>
      <bottom style="medium">
        <color indexed="64"/>
      </bottom>
      <diagonal/>
    </border>
    <border>
      <left style="hair">
        <color auto="1"/>
      </left>
      <right/>
      <top/>
      <bottom style="medium">
        <color indexed="64"/>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hair">
        <color indexed="64"/>
      </left>
      <right style="medium">
        <color indexed="64"/>
      </right>
      <top/>
      <bottom/>
      <diagonal/>
    </border>
    <border>
      <left style="hair">
        <color indexed="64"/>
      </left>
      <right style="medium">
        <color indexed="64"/>
      </right>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hair">
        <color auto="1"/>
      </right>
      <top style="medium">
        <color indexed="64"/>
      </top>
      <bottom/>
      <diagonal/>
    </border>
    <border>
      <left style="hair">
        <color auto="1"/>
      </left>
      <right/>
      <top style="medium">
        <color indexed="64"/>
      </top>
      <bottom/>
      <diagonal/>
    </border>
    <border>
      <left/>
      <right style="hair">
        <color auto="1"/>
      </right>
      <top style="medium">
        <color indexed="64"/>
      </top>
      <bottom/>
      <diagonal/>
    </border>
    <border>
      <left/>
      <right style="hair">
        <color auto="1"/>
      </right>
      <top/>
      <bottom style="medium">
        <color indexed="64"/>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
      <left style="hair">
        <color auto="1"/>
      </left>
      <right/>
      <top style="medium">
        <color indexed="64"/>
      </top>
      <bottom style="medium">
        <color indexed="64"/>
      </bottom>
      <diagonal/>
    </border>
    <border>
      <left/>
      <right style="hair">
        <color auto="1"/>
      </right>
      <top style="medium">
        <color indexed="64"/>
      </top>
      <bottom style="medium">
        <color indexed="64"/>
      </bottom>
      <diagonal/>
    </border>
    <border>
      <left/>
      <right style="hair">
        <color auto="1"/>
      </right>
      <top style="hair">
        <color auto="1"/>
      </top>
      <bottom style="hair">
        <color auto="1"/>
      </bottom>
      <diagonal/>
    </border>
  </borders>
  <cellStyleXfs count="3">
    <xf numFmtId="0" fontId="0" fillId="0" borderId="0"/>
    <xf numFmtId="9" fontId="3" fillId="0" borderId="0" applyFont="0" applyFill="0" applyBorder="0" applyAlignment="0" applyProtection="0"/>
    <xf numFmtId="0" fontId="18" fillId="0" borderId="0" applyNumberFormat="0" applyFill="0" applyBorder="0" applyAlignment="0" applyProtection="0"/>
  </cellStyleXfs>
  <cellXfs count="428">
    <xf numFmtId="0" fontId="0" fillId="0" borderId="0" xfId="0"/>
    <xf numFmtId="0" fontId="1" fillId="0" borderId="0" xfId="0" applyFont="1"/>
    <xf numFmtId="0" fontId="1" fillId="0" borderId="1" xfId="0" applyFont="1" applyBorder="1"/>
    <xf numFmtId="4" fontId="0" fillId="0" borderId="0" xfId="0" applyNumberFormat="1"/>
    <xf numFmtId="0" fontId="1" fillId="0" borderId="2" xfId="0" applyFont="1" applyBorder="1"/>
    <xf numFmtId="0" fontId="0" fillId="0" borderId="0" xfId="0" applyFont="1"/>
    <xf numFmtId="0" fontId="1" fillId="0" borderId="3" xfId="0" applyFont="1" applyBorder="1"/>
    <xf numFmtId="0" fontId="0" fillId="0" borderId="0" xfId="0" applyAlignment="1">
      <alignment horizontal="left" indent="1"/>
    </xf>
    <xf numFmtId="0" fontId="0" fillId="0" borderId="0" xfId="0" applyAlignment="1">
      <alignment horizontal="left" indent="2"/>
    </xf>
    <xf numFmtId="0" fontId="1" fillId="0" borderId="4" xfId="0" applyFont="1" applyBorder="1"/>
    <xf numFmtId="4" fontId="1" fillId="0" borderId="4" xfId="0" applyNumberFormat="1" applyFont="1" applyBorder="1"/>
    <xf numFmtId="0" fontId="1" fillId="2" borderId="1" xfId="0" applyFont="1" applyFill="1" applyBorder="1"/>
    <xf numFmtId="9" fontId="0" fillId="0" borderId="0" xfId="1" applyFont="1"/>
    <xf numFmtId="165" fontId="1" fillId="2" borderId="1" xfId="0" applyNumberFormat="1" applyFont="1" applyFill="1" applyBorder="1"/>
    <xf numFmtId="166" fontId="1" fillId="6" borderId="1" xfId="0" applyNumberFormat="1" applyFont="1" applyFill="1" applyBorder="1"/>
    <xf numFmtId="1" fontId="1" fillId="0" borderId="0" xfId="0" applyNumberFormat="1" applyFont="1"/>
    <xf numFmtId="1" fontId="0" fillId="0" borderId="0" xfId="0" applyNumberFormat="1"/>
    <xf numFmtId="0" fontId="4" fillId="0" borderId="0" xfId="0" applyFont="1"/>
    <xf numFmtId="0" fontId="4" fillId="0" borderId="2" xfId="0" applyFont="1" applyBorder="1"/>
    <xf numFmtId="9" fontId="4" fillId="0" borderId="2" xfId="1" applyFont="1" applyBorder="1"/>
    <xf numFmtId="9" fontId="4" fillId="4" borderId="2" xfId="1" applyFont="1" applyFill="1" applyBorder="1"/>
    <xf numFmtId="3" fontId="0" fillId="0" borderId="0" xfId="0" applyNumberFormat="1"/>
    <xf numFmtId="0" fontId="4" fillId="0" borderId="0" xfId="0" applyFont="1" applyBorder="1"/>
    <xf numFmtId="9" fontId="4" fillId="0" borderId="0" xfId="1" applyFont="1" applyBorder="1"/>
    <xf numFmtId="9" fontId="4" fillId="0" borderId="2" xfId="1" applyNumberFormat="1" applyFont="1" applyBorder="1"/>
    <xf numFmtId="9" fontId="4" fillId="4" borderId="2" xfId="0" applyNumberFormat="1" applyFont="1" applyFill="1" applyBorder="1"/>
    <xf numFmtId="9" fontId="4" fillId="3" borderId="0" xfId="1" applyFont="1" applyFill="1" applyBorder="1"/>
    <xf numFmtId="0" fontId="0" fillId="3" borderId="0" xfId="0" applyFill="1"/>
    <xf numFmtId="0" fontId="5" fillId="5" borderId="6" xfId="0" applyFont="1" applyFill="1" applyBorder="1"/>
    <xf numFmtId="9" fontId="5" fillId="5" borderId="7" xfId="0" applyNumberFormat="1" applyFont="1" applyFill="1" applyBorder="1"/>
    <xf numFmtId="0" fontId="0" fillId="7" borderId="0" xfId="0" applyFill="1"/>
    <xf numFmtId="0" fontId="4" fillId="0" borderId="9" xfId="0" applyFont="1" applyBorder="1"/>
    <xf numFmtId="0" fontId="4" fillId="0" borderId="8" xfId="0" applyFont="1" applyBorder="1"/>
    <xf numFmtId="9" fontId="4" fillId="0" borderId="9" xfId="1" applyFont="1" applyBorder="1"/>
    <xf numFmtId="9" fontId="4" fillId="0" borderId="9" xfId="0" applyNumberFormat="1" applyFont="1" applyBorder="1"/>
    <xf numFmtId="0" fontId="0" fillId="0" borderId="1" xfId="0" applyBorder="1"/>
    <xf numFmtId="3" fontId="1" fillId="0" borderId="1" xfId="0" applyNumberFormat="1" applyFont="1" applyBorder="1"/>
    <xf numFmtId="168" fontId="4" fillId="0" borderId="0" xfId="1" applyNumberFormat="1" applyFont="1"/>
    <xf numFmtId="168" fontId="4" fillId="4" borderId="0" xfId="1" applyNumberFormat="1" applyFont="1" applyFill="1"/>
    <xf numFmtId="0" fontId="0" fillId="3" borderId="12" xfId="0" applyFill="1" applyBorder="1"/>
    <xf numFmtId="14" fontId="6" fillId="3" borderId="13" xfId="0" applyNumberFormat="1" applyFont="1" applyFill="1" applyBorder="1"/>
    <xf numFmtId="0" fontId="0" fillId="3" borderId="14" xfId="0" applyFill="1" applyBorder="1"/>
    <xf numFmtId="14" fontId="6" fillId="3" borderId="15" xfId="0" applyNumberFormat="1" applyFont="1" applyFill="1" applyBorder="1"/>
    <xf numFmtId="10" fontId="7" fillId="3" borderId="15" xfId="1" applyNumberFormat="1" applyFont="1" applyFill="1" applyBorder="1"/>
    <xf numFmtId="10" fontId="6" fillId="3" borderId="15" xfId="1" applyNumberFormat="1" applyFont="1" applyFill="1" applyBorder="1"/>
    <xf numFmtId="164" fontId="6" fillId="3" borderId="15" xfId="1" applyNumberFormat="1" applyFont="1" applyFill="1" applyBorder="1"/>
    <xf numFmtId="164" fontId="6" fillId="3" borderId="15" xfId="1" applyNumberFormat="1" applyFont="1" applyFill="1" applyBorder="1" applyAlignment="1">
      <alignment horizontal="right"/>
    </xf>
    <xf numFmtId="9" fontId="0" fillId="3" borderId="15" xfId="0" applyNumberFormat="1" applyFill="1" applyBorder="1"/>
    <xf numFmtId="9" fontId="6" fillId="0" borderId="15" xfId="0" applyNumberFormat="1" applyFont="1" applyBorder="1"/>
    <xf numFmtId="167" fontId="6" fillId="3" borderId="15" xfId="0" applyNumberFormat="1" applyFont="1" applyFill="1" applyBorder="1"/>
    <xf numFmtId="170" fontId="6" fillId="3" borderId="15" xfId="0" applyNumberFormat="1" applyFont="1" applyFill="1" applyBorder="1"/>
    <xf numFmtId="0" fontId="0" fillId="3" borderId="16" xfId="0" applyFill="1" applyBorder="1"/>
    <xf numFmtId="170" fontId="0" fillId="3" borderId="17" xfId="0" applyNumberFormat="1" applyFill="1" applyBorder="1"/>
    <xf numFmtId="0" fontId="8" fillId="3" borderId="18" xfId="0" applyFont="1" applyFill="1" applyBorder="1"/>
    <xf numFmtId="0" fontId="8" fillId="3" borderId="19" xfId="0" applyFont="1" applyFill="1" applyBorder="1"/>
    <xf numFmtId="0" fontId="1" fillId="3" borderId="14" xfId="0" applyFont="1" applyFill="1" applyBorder="1"/>
    <xf numFmtId="0" fontId="1" fillId="3" borderId="15" xfId="0" applyFont="1" applyFill="1" applyBorder="1"/>
    <xf numFmtId="0" fontId="9" fillId="3" borderId="16" xfId="0" applyFont="1" applyFill="1" applyBorder="1"/>
    <xf numFmtId="0" fontId="9" fillId="3" borderId="17" xfId="0" applyFont="1" applyFill="1" applyBorder="1"/>
    <xf numFmtId="167" fontId="1" fillId="0" borderId="1" xfId="0" applyNumberFormat="1" applyFont="1" applyBorder="1"/>
    <xf numFmtId="2" fontId="0" fillId="0" borderId="0" xfId="0" applyNumberFormat="1"/>
    <xf numFmtId="167" fontId="1" fillId="0" borderId="3" xfId="0" applyNumberFormat="1" applyFont="1" applyBorder="1"/>
    <xf numFmtId="0" fontId="4" fillId="0" borderId="3" xfId="0" applyFont="1" applyBorder="1"/>
    <xf numFmtId="10" fontId="4" fillId="0" borderId="3" xfId="1" applyNumberFormat="1" applyFont="1" applyBorder="1"/>
    <xf numFmtId="10" fontId="4" fillId="4" borderId="3" xfId="0" applyNumberFormat="1" applyFont="1" applyFill="1" applyBorder="1"/>
    <xf numFmtId="10" fontId="4" fillId="4" borderId="3" xfId="1" applyNumberFormat="1" applyFont="1" applyFill="1" applyBorder="1"/>
    <xf numFmtId="0" fontId="0" fillId="0" borderId="0" xfId="0" applyAlignment="1">
      <alignment horizontal="left"/>
    </xf>
    <xf numFmtId="0" fontId="4" fillId="0" borderId="2" xfId="0" applyFont="1" applyBorder="1" applyAlignment="1">
      <alignment horizontal="left"/>
    </xf>
    <xf numFmtId="171" fontId="4" fillId="0" borderId="2" xfId="1" applyNumberFormat="1" applyFont="1" applyBorder="1"/>
    <xf numFmtId="171" fontId="4" fillId="4" borderId="2" xfId="0" applyNumberFormat="1" applyFont="1" applyFill="1" applyBorder="1"/>
    <xf numFmtId="1" fontId="7" fillId="0" borderId="0" xfId="0" applyNumberFormat="1" applyFont="1"/>
    <xf numFmtId="3" fontId="1" fillId="0" borderId="0" xfId="0" applyNumberFormat="1" applyFont="1"/>
    <xf numFmtId="3" fontId="1" fillId="0" borderId="2" xfId="0" applyNumberFormat="1" applyFont="1" applyBorder="1"/>
    <xf numFmtId="3" fontId="1" fillId="0" borderId="4" xfId="0" applyNumberFormat="1" applyFont="1" applyBorder="1"/>
    <xf numFmtId="1" fontId="1" fillId="0" borderId="2" xfId="0" applyNumberFormat="1" applyFont="1" applyBorder="1"/>
    <xf numFmtId="1" fontId="1" fillId="0" borderId="3" xfId="0" applyNumberFormat="1" applyFont="1" applyBorder="1"/>
    <xf numFmtId="164" fontId="4" fillId="0" borderId="2" xfId="1" applyNumberFormat="1" applyFont="1" applyBorder="1"/>
    <xf numFmtId="164" fontId="4" fillId="0" borderId="2" xfId="0" applyNumberFormat="1" applyFont="1" applyBorder="1"/>
    <xf numFmtId="0" fontId="1" fillId="0" borderId="0" xfId="0" applyFont="1" applyBorder="1"/>
    <xf numFmtId="1" fontId="1" fillId="0" borderId="0" xfId="0" applyNumberFormat="1" applyFont="1" applyBorder="1"/>
    <xf numFmtId="0" fontId="10" fillId="0" borderId="0" xfId="0" applyFont="1" applyBorder="1"/>
    <xf numFmtId="9" fontId="10" fillId="0" borderId="0" xfId="1" applyFont="1" applyBorder="1"/>
    <xf numFmtId="0" fontId="0" fillId="3" borderId="0" xfId="0" applyFill="1" applyAlignment="1">
      <alignment horizontal="left" indent="1"/>
    </xf>
    <xf numFmtId="3" fontId="7" fillId="0" borderId="0" xfId="0" applyNumberFormat="1" applyFont="1"/>
    <xf numFmtId="9" fontId="0" fillId="0" borderId="0" xfId="0" applyNumberFormat="1"/>
    <xf numFmtId="0" fontId="0" fillId="0" borderId="4" xfId="0" applyBorder="1"/>
    <xf numFmtId="0" fontId="0" fillId="0" borderId="0" xfId="0" quotePrefix="1"/>
    <xf numFmtId="1" fontId="1" fillId="0" borderId="4" xfId="0" applyNumberFormat="1" applyFont="1" applyBorder="1"/>
    <xf numFmtId="2" fontId="7" fillId="0" borderId="0" xfId="0" applyNumberFormat="1" applyFont="1"/>
    <xf numFmtId="9" fontId="4" fillId="3" borderId="0" xfId="0" applyNumberFormat="1" applyFont="1" applyFill="1" applyBorder="1"/>
    <xf numFmtId="0" fontId="7" fillId="0" borderId="0" xfId="0" applyFont="1"/>
    <xf numFmtId="3" fontId="1" fillId="0" borderId="3" xfId="0" applyNumberFormat="1" applyFont="1" applyBorder="1"/>
    <xf numFmtId="0" fontId="0" fillId="0" borderId="2" xfId="0" applyBorder="1"/>
    <xf numFmtId="171" fontId="0" fillId="0" borderId="0" xfId="0" applyNumberFormat="1"/>
    <xf numFmtId="171" fontId="0" fillId="0" borderId="9" xfId="0" applyNumberFormat="1" applyBorder="1"/>
    <xf numFmtId="0" fontId="7" fillId="0" borderId="4" xfId="0" applyFont="1" applyBorder="1"/>
    <xf numFmtId="1" fontId="0" fillId="0" borderId="4" xfId="0" applyNumberFormat="1" applyBorder="1"/>
    <xf numFmtId="1" fontId="7" fillId="0" borderId="4" xfId="0" applyNumberFormat="1" applyFont="1" applyBorder="1"/>
    <xf numFmtId="171" fontId="0" fillId="0" borderId="4" xfId="0" applyNumberFormat="1" applyBorder="1"/>
    <xf numFmtId="0" fontId="0" fillId="0" borderId="9" xfId="0" applyBorder="1"/>
    <xf numFmtId="170" fontId="0" fillId="0" borderId="9" xfId="0" applyNumberFormat="1" applyBorder="1"/>
    <xf numFmtId="167" fontId="0" fillId="0" borderId="9" xfId="0" applyNumberFormat="1" applyBorder="1"/>
    <xf numFmtId="0" fontId="0" fillId="0" borderId="0" xfId="0" applyBorder="1"/>
    <xf numFmtId="171" fontId="0" fillId="0" borderId="0" xfId="0" applyNumberFormat="1" applyBorder="1"/>
    <xf numFmtId="170" fontId="0" fillId="0" borderId="0" xfId="0" applyNumberFormat="1" applyBorder="1"/>
    <xf numFmtId="167" fontId="0" fillId="0" borderId="0" xfId="0" applyNumberFormat="1" applyBorder="1"/>
    <xf numFmtId="0" fontId="9" fillId="0" borderId="0" xfId="0" applyFont="1" applyBorder="1"/>
    <xf numFmtId="0" fontId="0" fillId="0" borderId="21" xfId="0" applyBorder="1"/>
    <xf numFmtId="171" fontId="0" fillId="0" borderId="21" xfId="0" applyNumberFormat="1" applyBorder="1"/>
    <xf numFmtId="170" fontId="0" fillId="0" borderId="21" xfId="0" applyNumberFormat="1" applyBorder="1"/>
    <xf numFmtId="167" fontId="0" fillId="0" borderId="21" xfId="0" applyNumberFormat="1" applyBorder="1"/>
    <xf numFmtId="0" fontId="0" fillId="0" borderId="22" xfId="0" applyBorder="1"/>
    <xf numFmtId="171" fontId="0" fillId="0" borderId="22" xfId="0" applyNumberFormat="1" applyBorder="1"/>
    <xf numFmtId="0" fontId="0" fillId="4" borderId="9" xfId="0" applyNumberFormat="1" applyFont="1" applyFill="1" applyBorder="1"/>
    <xf numFmtId="0" fontId="0" fillId="4" borderId="9" xfId="0" applyNumberFormat="1" applyFill="1" applyBorder="1"/>
    <xf numFmtId="171" fontId="0" fillId="4" borderId="9" xfId="0" applyNumberFormat="1" applyFill="1" applyBorder="1"/>
    <xf numFmtId="164" fontId="0" fillId="0" borderId="0" xfId="1" applyNumberFormat="1" applyFont="1"/>
    <xf numFmtId="17" fontId="6" fillId="0" borderId="26" xfId="0" applyNumberFormat="1" applyFont="1" applyBorder="1"/>
    <xf numFmtId="17" fontId="0" fillId="0" borderId="26" xfId="0" applyNumberFormat="1" applyBorder="1"/>
    <xf numFmtId="0" fontId="0" fillId="0" borderId="26" xfId="0" applyBorder="1"/>
    <xf numFmtId="17" fontId="0" fillId="0" borderId="23" xfId="0" applyNumberFormat="1" applyBorder="1"/>
    <xf numFmtId="167" fontId="6" fillId="0" borderId="26" xfId="0" applyNumberFormat="1" applyFont="1" applyBorder="1"/>
    <xf numFmtId="167" fontId="6" fillId="0" borderId="23" xfId="0" applyNumberFormat="1" applyFont="1" applyBorder="1"/>
    <xf numFmtId="164" fontId="1" fillId="0" borderId="23" xfId="1" applyNumberFormat="1" applyFont="1" applyBorder="1"/>
    <xf numFmtId="0" fontId="0" fillId="0" borderId="0" xfId="0" applyFill="1" applyBorder="1" applyAlignment="1"/>
    <xf numFmtId="0" fontId="0" fillId="0" borderId="5" xfId="0" applyFill="1" applyBorder="1" applyAlignment="1"/>
    <xf numFmtId="0" fontId="4" fillId="0" borderId="28" xfId="0" applyFont="1" applyFill="1" applyBorder="1" applyAlignment="1">
      <alignment horizontal="center"/>
    </xf>
    <xf numFmtId="0" fontId="4" fillId="0" borderId="28" xfId="0" applyFont="1" applyFill="1" applyBorder="1" applyAlignment="1">
      <alignment horizontal="centerContinuous"/>
    </xf>
    <xf numFmtId="0" fontId="1" fillId="2" borderId="6" xfId="0" applyFont="1" applyFill="1" applyBorder="1"/>
    <xf numFmtId="2" fontId="1" fillId="2" borderId="7" xfId="0" applyNumberFormat="1" applyFont="1" applyFill="1" applyBorder="1"/>
    <xf numFmtId="0" fontId="0" fillId="0" borderId="29" xfId="0" applyBorder="1"/>
    <xf numFmtId="0" fontId="0" fillId="0" borderId="27" xfId="0" applyBorder="1"/>
    <xf numFmtId="0" fontId="0" fillId="0" borderId="30" xfId="0" applyBorder="1"/>
    <xf numFmtId="0" fontId="0" fillId="0" borderId="31" xfId="0" applyBorder="1"/>
    <xf numFmtId="0" fontId="0" fillId="0" borderId="32" xfId="0" applyBorder="1"/>
    <xf numFmtId="0" fontId="4" fillId="0" borderId="33" xfId="0" applyFont="1" applyFill="1" applyBorder="1" applyAlignment="1">
      <alignment horizontal="centerContinuous"/>
    </xf>
    <xf numFmtId="0" fontId="0" fillId="0" borderId="31" xfId="0" applyFill="1" applyBorder="1" applyAlignment="1"/>
    <xf numFmtId="0" fontId="0" fillId="0" borderId="34" xfId="0" applyFill="1" applyBorder="1" applyAlignment="1"/>
    <xf numFmtId="0" fontId="4" fillId="0" borderId="33" xfId="0" applyFont="1" applyFill="1" applyBorder="1" applyAlignment="1">
      <alignment horizontal="center"/>
    </xf>
    <xf numFmtId="0" fontId="4" fillId="0" borderId="35" xfId="0" applyFont="1" applyFill="1" applyBorder="1" applyAlignment="1">
      <alignment horizontal="center"/>
    </xf>
    <xf numFmtId="0" fontId="0" fillId="0" borderId="32" xfId="0" applyFill="1" applyBorder="1" applyAlignment="1"/>
    <xf numFmtId="0" fontId="0" fillId="0" borderId="36" xfId="0" applyFill="1" applyBorder="1" applyAlignment="1"/>
    <xf numFmtId="0" fontId="1" fillId="8" borderId="6" xfId="0" applyFont="1" applyFill="1" applyBorder="1"/>
    <xf numFmtId="167" fontId="1" fillId="8" borderId="7" xfId="0" applyNumberFormat="1" applyFont="1" applyFill="1" applyBorder="1"/>
    <xf numFmtId="10" fontId="1" fillId="8" borderId="7" xfId="1" applyNumberFormat="1" applyFont="1" applyFill="1" applyBorder="1"/>
    <xf numFmtId="170" fontId="0" fillId="0" borderId="0" xfId="0" applyNumberFormat="1"/>
    <xf numFmtId="9" fontId="1" fillId="0" borderId="2" xfId="1" applyFont="1" applyBorder="1"/>
    <xf numFmtId="10" fontId="1" fillId="0" borderId="2" xfId="1" applyNumberFormat="1" applyFont="1" applyBorder="1"/>
    <xf numFmtId="0" fontId="0" fillId="8" borderId="4" xfId="0" applyFont="1" applyFill="1" applyBorder="1"/>
    <xf numFmtId="0" fontId="4" fillId="8" borderId="4" xfId="0" applyFont="1" applyFill="1" applyBorder="1"/>
    <xf numFmtId="2" fontId="0" fillId="0" borderId="4" xfId="0" applyNumberFormat="1" applyBorder="1"/>
    <xf numFmtId="0" fontId="0" fillId="0" borderId="0" xfId="0" applyFont="1" applyBorder="1"/>
    <xf numFmtId="3" fontId="0" fillId="0" borderId="0" xfId="0" applyNumberFormat="1" applyFont="1" applyBorder="1"/>
    <xf numFmtId="0" fontId="0" fillId="3" borderId="5" xfId="0" applyFont="1" applyFill="1" applyBorder="1"/>
    <xf numFmtId="164" fontId="0" fillId="3" borderId="5" xfId="1" applyNumberFormat="1" applyFont="1" applyFill="1" applyBorder="1"/>
    <xf numFmtId="0" fontId="1" fillId="0" borderId="0" xfId="0" applyFont="1" applyFill="1" applyBorder="1"/>
    <xf numFmtId="164" fontId="0" fillId="0" borderId="0" xfId="1" applyNumberFormat="1" applyFont="1" applyBorder="1"/>
    <xf numFmtId="164" fontId="7" fillId="0" borderId="0" xfId="1" applyNumberFormat="1" applyFont="1" applyBorder="1"/>
    <xf numFmtId="4" fontId="0" fillId="0" borderId="0" xfId="0" applyNumberFormat="1" applyFont="1" applyBorder="1"/>
    <xf numFmtId="0" fontId="1" fillId="0" borderId="3" xfId="0" applyFont="1" applyFill="1" applyBorder="1"/>
    <xf numFmtId="164" fontId="1" fillId="0" borderId="3" xfId="1" applyNumberFormat="1" applyFont="1" applyBorder="1"/>
    <xf numFmtId="0" fontId="0" fillId="0" borderId="0" xfId="0" applyFont="1" applyFill="1" applyBorder="1"/>
    <xf numFmtId="164" fontId="0" fillId="0" borderId="3" xfId="1" applyNumberFormat="1" applyFont="1" applyBorder="1"/>
    <xf numFmtId="172" fontId="1" fillId="0" borderId="3" xfId="0" applyNumberFormat="1" applyFont="1" applyBorder="1"/>
    <xf numFmtId="172" fontId="1" fillId="0" borderId="0" xfId="0" applyNumberFormat="1" applyFont="1" applyBorder="1"/>
    <xf numFmtId="0" fontId="1" fillId="5" borderId="3" xfId="0" applyFont="1" applyFill="1" applyBorder="1"/>
    <xf numFmtId="172" fontId="0" fillId="0" borderId="0" xfId="0" applyNumberFormat="1"/>
    <xf numFmtId="1" fontId="0" fillId="0" borderId="43" xfId="0" applyNumberFormat="1" applyBorder="1"/>
    <xf numFmtId="0" fontId="12" fillId="0" borderId="0" xfId="0" applyFont="1"/>
    <xf numFmtId="0" fontId="4" fillId="4" borderId="22" xfId="0" applyFont="1" applyFill="1" applyBorder="1"/>
    <xf numFmtId="171" fontId="4" fillId="4" borderId="22" xfId="0" applyNumberFormat="1" applyFont="1" applyFill="1" applyBorder="1"/>
    <xf numFmtId="0" fontId="4" fillId="4" borderId="9" xfId="0" applyFont="1" applyFill="1" applyBorder="1"/>
    <xf numFmtId="9" fontId="4" fillId="4" borderId="9" xfId="1" applyFont="1" applyFill="1" applyBorder="1"/>
    <xf numFmtId="0" fontId="4" fillId="4" borderId="44" xfId="0" applyFont="1" applyFill="1" applyBorder="1"/>
    <xf numFmtId="9" fontId="4" fillId="4" borderId="44" xfId="1" applyFont="1" applyFill="1" applyBorder="1"/>
    <xf numFmtId="0" fontId="0" fillId="3" borderId="0" xfId="0" applyFill="1" applyBorder="1"/>
    <xf numFmtId="0" fontId="1" fillId="8" borderId="38" xfId="0" applyFont="1" applyFill="1" applyBorder="1"/>
    <xf numFmtId="1" fontId="1" fillId="8" borderId="2" xfId="0" applyNumberFormat="1" applyFont="1" applyFill="1" applyBorder="1"/>
    <xf numFmtId="1" fontId="1" fillId="8" borderId="39" xfId="0" applyNumberFormat="1" applyFont="1" applyFill="1" applyBorder="1"/>
    <xf numFmtId="0" fontId="0" fillId="8" borderId="40" xfId="0" applyFill="1" applyBorder="1"/>
    <xf numFmtId="0" fontId="0" fillId="8" borderId="0" xfId="0" applyFill="1" applyBorder="1"/>
    <xf numFmtId="0" fontId="0" fillId="8" borderId="41" xfId="0" applyFill="1" applyBorder="1"/>
    <xf numFmtId="0" fontId="1" fillId="8" borderId="42" xfId="0" applyFont="1" applyFill="1" applyBorder="1"/>
    <xf numFmtId="1" fontId="1" fillId="8" borderId="1" xfId="0" applyNumberFormat="1" applyFont="1" applyFill="1" applyBorder="1"/>
    <xf numFmtId="1" fontId="1" fillId="8" borderId="43" xfId="0" applyNumberFormat="1" applyFont="1" applyFill="1" applyBorder="1"/>
    <xf numFmtId="0" fontId="15" fillId="4" borderId="0" xfId="0" applyFont="1" applyFill="1"/>
    <xf numFmtId="0" fontId="15" fillId="4" borderId="0" xfId="0" applyFont="1" applyFill="1" applyAlignment="1">
      <alignment horizontal="right"/>
    </xf>
    <xf numFmtId="0" fontId="15" fillId="4" borderId="9" xfId="0" applyFont="1" applyFill="1" applyBorder="1"/>
    <xf numFmtId="14" fontId="16" fillId="4" borderId="9" xfId="0" applyNumberFormat="1" applyFont="1" applyFill="1" applyBorder="1"/>
    <xf numFmtId="14" fontId="15" fillId="4" borderId="9" xfId="0" applyNumberFormat="1" applyFont="1" applyFill="1" applyBorder="1"/>
    <xf numFmtId="0" fontId="15" fillId="4" borderId="37" xfId="0" applyFont="1" applyFill="1" applyBorder="1"/>
    <xf numFmtId="2" fontId="15" fillId="4" borderId="37" xfId="0" applyNumberFormat="1" applyFont="1" applyFill="1" applyBorder="1"/>
    <xf numFmtId="0" fontId="0" fillId="4" borderId="0" xfId="0" applyFill="1"/>
    <xf numFmtId="164" fontId="1" fillId="5" borderId="3" xfId="1" applyNumberFormat="1" applyFont="1" applyFill="1" applyBorder="1"/>
    <xf numFmtId="0" fontId="4" fillId="3" borderId="0" xfId="0" applyFont="1" applyFill="1" applyBorder="1"/>
    <xf numFmtId="1" fontId="1" fillId="10" borderId="0" xfId="0" applyNumberFormat="1" applyFont="1" applyFill="1" applyBorder="1"/>
    <xf numFmtId="0" fontId="4" fillId="0" borderId="14" xfId="0" applyFont="1" applyBorder="1"/>
    <xf numFmtId="0" fontId="0" fillId="0" borderId="14" xfId="0" applyFont="1" applyBorder="1"/>
    <xf numFmtId="9" fontId="7" fillId="3" borderId="15" xfId="0" applyNumberFormat="1" applyFont="1" applyFill="1" applyBorder="1"/>
    <xf numFmtId="169" fontId="7" fillId="3" borderId="15" xfId="0" applyNumberFormat="1" applyFont="1" applyFill="1" applyBorder="1"/>
    <xf numFmtId="9" fontId="7" fillId="3" borderId="15" xfId="1" applyNumberFormat="1" applyFont="1" applyFill="1" applyBorder="1"/>
    <xf numFmtId="0" fontId="0" fillId="3" borderId="34" xfId="0" applyFill="1" applyBorder="1"/>
    <xf numFmtId="170" fontId="0" fillId="3" borderId="0" xfId="0" applyNumberFormat="1" applyFill="1" applyBorder="1"/>
    <xf numFmtId="0" fontId="0" fillId="3" borderId="36" xfId="0" applyFill="1" applyBorder="1"/>
    <xf numFmtId="3" fontId="6" fillId="0" borderId="0" xfId="0" applyNumberFormat="1" applyFont="1"/>
    <xf numFmtId="1" fontId="6" fillId="0" borderId="0" xfId="0" applyNumberFormat="1" applyFont="1"/>
    <xf numFmtId="1" fontId="9" fillId="0" borderId="4" xfId="0" applyNumberFormat="1" applyFont="1" applyBorder="1"/>
    <xf numFmtId="3" fontId="9" fillId="0" borderId="4" xfId="0" applyNumberFormat="1" applyFont="1" applyBorder="1"/>
    <xf numFmtId="1" fontId="7" fillId="0" borderId="0" xfId="0" applyNumberFormat="1" applyFont="1" applyBorder="1"/>
    <xf numFmtId="3" fontId="9" fillId="0" borderId="0" xfId="0" applyNumberFormat="1" applyFont="1"/>
    <xf numFmtId="1" fontId="9" fillId="0" borderId="0" xfId="0" applyNumberFormat="1" applyFont="1"/>
    <xf numFmtId="3" fontId="9" fillId="0" borderId="1" xfId="0" applyNumberFormat="1" applyFont="1" applyBorder="1"/>
    <xf numFmtId="1" fontId="9" fillId="0" borderId="1" xfId="0" applyNumberFormat="1" applyFont="1" applyBorder="1"/>
    <xf numFmtId="167" fontId="9" fillId="0" borderId="3" xfId="0" applyNumberFormat="1" applyFont="1" applyBorder="1"/>
    <xf numFmtId="0" fontId="1" fillId="5" borderId="48" xfId="0" applyFont="1" applyFill="1" applyBorder="1" applyAlignment="1">
      <alignment horizontal="center"/>
    </xf>
    <xf numFmtId="0" fontId="1" fillId="5" borderId="5" xfId="0" applyFont="1" applyFill="1" applyBorder="1" applyAlignment="1"/>
    <xf numFmtId="15" fontId="6" fillId="0" borderId="23" xfId="0" applyNumberFormat="1" applyFont="1" applyBorder="1"/>
    <xf numFmtId="0" fontId="1" fillId="8" borderId="49" xfId="0" applyFont="1" applyFill="1" applyBorder="1"/>
    <xf numFmtId="3" fontId="1" fillId="8" borderId="49" xfId="0" applyNumberFormat="1" applyFont="1" applyFill="1" applyBorder="1" applyAlignment="1">
      <alignment horizontal="center"/>
    </xf>
    <xf numFmtId="0" fontId="1" fillId="9" borderId="6" xfId="0" applyFont="1" applyFill="1" applyBorder="1"/>
    <xf numFmtId="0" fontId="1" fillId="9" borderId="7" xfId="0" applyFont="1" applyFill="1" applyBorder="1"/>
    <xf numFmtId="0" fontId="1" fillId="5" borderId="9" xfId="0" applyNumberFormat="1" applyFont="1" applyFill="1" applyBorder="1"/>
    <xf numFmtId="171" fontId="1" fillId="5" borderId="9" xfId="0" applyNumberFormat="1" applyFont="1" applyFill="1" applyBorder="1"/>
    <xf numFmtId="0" fontId="1" fillId="5" borderId="1" xfId="0" applyFont="1" applyFill="1" applyBorder="1"/>
    <xf numFmtId="170" fontId="1" fillId="5" borderId="3" xfId="0" applyNumberFormat="1" applyFont="1" applyFill="1" applyBorder="1"/>
    <xf numFmtId="1" fontId="0" fillId="0" borderId="0" xfId="0" applyNumberFormat="1" applyBorder="1"/>
    <xf numFmtId="1" fontId="0" fillId="0" borderId="1" xfId="0" applyNumberFormat="1" applyBorder="1"/>
    <xf numFmtId="170" fontId="11" fillId="0" borderId="40" xfId="0" applyNumberFormat="1" applyFont="1" applyBorder="1"/>
    <xf numFmtId="1" fontId="0" fillId="0" borderId="41" xfId="0" applyNumberFormat="1" applyBorder="1"/>
    <xf numFmtId="10" fontId="1" fillId="0" borderId="4" xfId="0" applyNumberFormat="1" applyFont="1" applyBorder="1"/>
    <xf numFmtId="10" fontId="1" fillId="0" borderId="51" xfId="0" applyNumberFormat="1" applyFont="1" applyBorder="1"/>
    <xf numFmtId="9" fontId="1" fillId="0" borderId="53" xfId="1" applyFont="1" applyBorder="1"/>
    <xf numFmtId="9" fontId="1" fillId="0" borderId="54" xfId="1" applyFont="1" applyBorder="1"/>
    <xf numFmtId="0" fontId="9" fillId="0" borderId="21" xfId="0" applyFont="1" applyBorder="1"/>
    <xf numFmtId="0" fontId="2" fillId="0" borderId="21" xfId="0" applyFont="1" applyBorder="1"/>
    <xf numFmtId="0" fontId="15" fillId="0" borderId="0" xfId="0" applyFont="1"/>
    <xf numFmtId="0" fontId="19" fillId="0" borderId="0" xfId="0" applyFont="1"/>
    <xf numFmtId="0" fontId="19" fillId="0" borderId="50" xfId="0" applyFont="1" applyBorder="1"/>
    <xf numFmtId="0" fontId="20" fillId="0" borderId="4" xfId="2" applyFont="1" applyBorder="1"/>
    <xf numFmtId="0" fontId="0" fillId="0" borderId="51" xfId="0" applyBorder="1"/>
    <xf numFmtId="0" fontId="19" fillId="0" borderId="4" xfId="0" applyFont="1" applyBorder="1"/>
    <xf numFmtId="0" fontId="19" fillId="0" borderId="51" xfId="0" applyFont="1" applyBorder="1"/>
    <xf numFmtId="0" fontId="21" fillId="5" borderId="0" xfId="0" applyFont="1" applyFill="1"/>
    <xf numFmtId="9" fontId="21" fillId="5" borderId="0" xfId="1" applyFont="1" applyFill="1"/>
    <xf numFmtId="0" fontId="22" fillId="0" borderId="0" xfId="0" applyFont="1"/>
    <xf numFmtId="9" fontId="23" fillId="5" borderId="1" xfId="1" applyFont="1" applyFill="1" applyBorder="1" applyAlignment="1">
      <alignment horizontal="center"/>
    </xf>
    <xf numFmtId="0" fontId="22" fillId="0" borderId="1" xfId="0" applyFont="1" applyBorder="1"/>
    <xf numFmtId="3" fontId="25" fillId="5" borderId="0" xfId="0" applyNumberFormat="1" applyFont="1" applyFill="1" applyAlignment="1">
      <alignment horizontal="center"/>
    </xf>
    <xf numFmtId="9" fontId="25" fillId="5" borderId="0" xfId="0" applyNumberFormat="1" applyFont="1" applyFill="1" applyAlignment="1">
      <alignment horizontal="center"/>
    </xf>
    <xf numFmtId="164" fontId="25" fillId="5" borderId="0" xfId="1" applyNumberFormat="1" applyFont="1" applyFill="1" applyAlignment="1">
      <alignment horizontal="center"/>
    </xf>
    <xf numFmtId="0" fontId="23" fillId="5" borderId="1" xfId="0" applyFont="1" applyFill="1" applyBorder="1" applyAlignment="1">
      <alignment horizontal="center"/>
    </xf>
    <xf numFmtId="3" fontId="25" fillId="5" borderId="1" xfId="0" applyNumberFormat="1" applyFont="1" applyFill="1" applyBorder="1" applyAlignment="1">
      <alignment horizontal="center"/>
    </xf>
    <xf numFmtId="9" fontId="25" fillId="5" borderId="1" xfId="0" applyNumberFormat="1" applyFont="1" applyFill="1" applyBorder="1" applyAlignment="1">
      <alignment horizontal="center"/>
    </xf>
    <xf numFmtId="0" fontId="19" fillId="0" borderId="1" xfId="0" applyFont="1" applyBorder="1"/>
    <xf numFmtId="164" fontId="25" fillId="5" borderId="1" xfId="1" applyNumberFormat="1" applyFont="1" applyFill="1" applyBorder="1" applyAlignment="1">
      <alignment horizontal="center"/>
    </xf>
    <xf numFmtId="0" fontId="1" fillId="3" borderId="12" xfId="0" applyFont="1" applyFill="1" applyBorder="1"/>
    <xf numFmtId="0" fontId="1" fillId="3" borderId="58" xfId="0" applyFont="1" applyFill="1" applyBorder="1"/>
    <xf numFmtId="0" fontId="1" fillId="0" borderId="71" xfId="0" applyFont="1" applyBorder="1"/>
    <xf numFmtId="0" fontId="1" fillId="0" borderId="72" xfId="0" applyFont="1" applyBorder="1" applyAlignment="1">
      <alignment horizontal="center"/>
    </xf>
    <xf numFmtId="0" fontId="1" fillId="0" borderId="73" xfId="0" applyFont="1" applyBorder="1" applyAlignment="1">
      <alignment horizontal="center"/>
    </xf>
    <xf numFmtId="0" fontId="0" fillId="0" borderId="18" xfId="0" applyBorder="1"/>
    <xf numFmtId="170" fontId="0" fillId="0" borderId="19" xfId="0" applyNumberFormat="1" applyBorder="1"/>
    <xf numFmtId="0" fontId="0" fillId="0" borderId="14" xfId="0" applyBorder="1"/>
    <xf numFmtId="170" fontId="0" fillId="0" borderId="15" xfId="0" applyNumberFormat="1" applyBorder="1"/>
    <xf numFmtId="170" fontId="0" fillId="0" borderId="9" xfId="0" applyNumberFormat="1" applyFont="1" applyBorder="1"/>
    <xf numFmtId="0" fontId="0" fillId="0" borderId="16" xfId="0" applyBorder="1"/>
    <xf numFmtId="0" fontId="0" fillId="0" borderId="44" xfId="0" applyBorder="1"/>
    <xf numFmtId="170" fontId="0" fillId="0" borderId="44" xfId="0" applyNumberFormat="1" applyBorder="1"/>
    <xf numFmtId="170" fontId="0" fillId="0" borderId="17" xfId="0" applyNumberFormat="1" applyBorder="1"/>
    <xf numFmtId="0" fontId="11" fillId="5" borderId="29" xfId="0" applyFont="1" applyFill="1" applyBorder="1"/>
    <xf numFmtId="0" fontId="0" fillId="5" borderId="27" xfId="0" applyFill="1" applyBorder="1"/>
    <xf numFmtId="0" fontId="0" fillId="5" borderId="30" xfId="0" applyFill="1" applyBorder="1"/>
    <xf numFmtId="0" fontId="0" fillId="3" borderId="78" xfId="0" applyFont="1" applyFill="1" applyBorder="1" applyAlignment="1">
      <alignment horizontal="center" vertical="center" wrapText="1"/>
    </xf>
    <xf numFmtId="0" fontId="0" fillId="3" borderId="79" xfId="0" applyFont="1" applyFill="1" applyBorder="1" applyAlignment="1">
      <alignment horizontal="center" vertical="center"/>
    </xf>
    <xf numFmtId="0" fontId="0" fillId="3" borderId="78" xfId="0" applyFont="1" applyFill="1" applyBorder="1" applyAlignment="1">
      <alignment horizontal="center"/>
    </xf>
    <xf numFmtId="0" fontId="0" fillId="3" borderId="10" xfId="0" applyFill="1" applyBorder="1" applyAlignment="1">
      <alignment horizontal="center"/>
    </xf>
    <xf numFmtId="0" fontId="26" fillId="0" borderId="0" xfId="0" applyFont="1" applyAlignment="1">
      <alignment wrapText="1"/>
    </xf>
    <xf numFmtId="2" fontId="0" fillId="0" borderId="0" xfId="1" applyNumberFormat="1" applyFont="1"/>
    <xf numFmtId="0" fontId="14" fillId="0" borderId="0" xfId="0" applyFont="1" applyAlignment="1">
      <alignment wrapText="1"/>
    </xf>
    <xf numFmtId="0" fontId="14" fillId="0" borderId="0" xfId="0" applyFont="1"/>
    <xf numFmtId="10" fontId="0" fillId="0" borderId="0" xfId="1" applyNumberFormat="1" applyFont="1"/>
    <xf numFmtId="0" fontId="14" fillId="0" borderId="4" xfId="0" applyFont="1" applyBorder="1" applyAlignment="1">
      <alignment wrapText="1"/>
    </xf>
    <xf numFmtId="10" fontId="0" fillId="0" borderId="4" xfId="1" applyNumberFormat="1" applyFont="1" applyBorder="1"/>
    <xf numFmtId="10" fontId="0" fillId="0" borderId="4" xfId="0" applyNumberFormat="1" applyBorder="1"/>
    <xf numFmtId="0" fontId="14" fillId="0" borderId="4" xfId="0" applyFont="1" applyBorder="1"/>
    <xf numFmtId="2" fontId="0" fillId="0" borderId="4" xfId="1" applyNumberFormat="1" applyFont="1" applyBorder="1"/>
    <xf numFmtId="174" fontId="0" fillId="0" borderId="0" xfId="1" applyNumberFormat="1" applyFont="1"/>
    <xf numFmtId="9" fontId="1" fillId="0" borderId="3" xfId="1" applyFont="1" applyBorder="1"/>
    <xf numFmtId="9" fontId="1" fillId="0" borderId="4" xfId="1" applyFont="1" applyBorder="1"/>
    <xf numFmtId="174" fontId="1" fillId="0" borderId="2" xfId="1" applyNumberFormat="1" applyFont="1" applyBorder="1"/>
    <xf numFmtId="10" fontId="1" fillId="0" borderId="4" xfId="1" applyNumberFormat="1" applyFont="1" applyBorder="1"/>
    <xf numFmtId="0" fontId="0" fillId="3" borderId="25" xfId="0" applyFont="1" applyFill="1" applyBorder="1" applyAlignment="1">
      <alignment horizontal="center" vertical="center"/>
    </xf>
    <xf numFmtId="0" fontId="0" fillId="3" borderId="65" xfId="0" applyFont="1" applyFill="1" applyBorder="1" applyAlignment="1">
      <alignment horizontal="center" vertical="center" wrapText="1"/>
    </xf>
    <xf numFmtId="9" fontId="1" fillId="0" borderId="0" xfId="1" applyFont="1" applyBorder="1"/>
    <xf numFmtId="9" fontId="3" fillId="0" borderId="0" xfId="1" applyFont="1" applyBorder="1"/>
    <xf numFmtId="9" fontId="27" fillId="0" borderId="2" xfId="1" applyFont="1" applyBorder="1"/>
    <xf numFmtId="0" fontId="0" fillId="3" borderId="0" xfId="0" applyFill="1" applyAlignment="1">
      <alignment horizontal="left"/>
    </xf>
    <xf numFmtId="1" fontId="7" fillId="3" borderId="0" xfId="0" applyNumberFormat="1" applyFont="1" applyFill="1"/>
    <xf numFmtId="0" fontId="4" fillId="3" borderId="2" xfId="0" applyFont="1" applyFill="1" applyBorder="1" applyAlignment="1">
      <alignment horizontal="left"/>
    </xf>
    <xf numFmtId="171" fontId="4" fillId="3" borderId="2" xfId="1" applyNumberFormat="1" applyFont="1" applyFill="1" applyBorder="1"/>
    <xf numFmtId="1" fontId="0" fillId="3" borderId="0" xfId="0" applyNumberFormat="1" applyFont="1" applyFill="1"/>
    <xf numFmtId="175" fontId="0" fillId="0" borderId="4" xfId="0" applyNumberFormat="1" applyBorder="1"/>
    <xf numFmtId="171" fontId="1" fillId="0" borderId="53" xfId="1" applyNumberFormat="1" applyFont="1" applyBorder="1"/>
    <xf numFmtId="171" fontId="1" fillId="0" borderId="54" xfId="1" applyNumberFormat="1" applyFont="1" applyBorder="1"/>
    <xf numFmtId="1" fontId="0" fillId="0" borderId="38" xfId="0" applyNumberFormat="1" applyBorder="1"/>
    <xf numFmtId="1" fontId="0" fillId="0" borderId="2" xfId="0" applyNumberFormat="1" applyBorder="1"/>
    <xf numFmtId="1" fontId="0" fillId="0" borderId="39" xfId="0" applyNumberFormat="1" applyBorder="1"/>
    <xf numFmtId="1" fontId="0" fillId="0" borderId="40" xfId="0" applyNumberFormat="1" applyBorder="1"/>
    <xf numFmtId="1" fontId="0" fillId="0" borderId="42" xfId="0" applyNumberFormat="1" applyBorder="1"/>
    <xf numFmtId="9" fontId="4" fillId="11" borderId="6" xfId="1" applyFont="1" applyFill="1" applyBorder="1"/>
    <xf numFmtId="9" fontId="4" fillId="11" borderId="7" xfId="1" applyFont="1" applyFill="1" applyBorder="1"/>
    <xf numFmtId="3" fontId="0" fillId="0" borderId="0" xfId="0" applyNumberFormat="1" applyFont="1"/>
    <xf numFmtId="0" fontId="30" fillId="0" borderId="0" xfId="0" applyFont="1"/>
    <xf numFmtId="9" fontId="30" fillId="0" borderId="0" xfId="1" applyFont="1"/>
    <xf numFmtId="9" fontId="30" fillId="0" borderId="0" xfId="0" applyNumberFormat="1" applyFont="1"/>
    <xf numFmtId="4" fontId="1" fillId="0" borderId="3" xfId="0" applyNumberFormat="1" applyFont="1" applyBorder="1"/>
    <xf numFmtId="3" fontId="1" fillId="0" borderId="0" xfId="0" applyNumberFormat="1" applyFont="1" applyBorder="1"/>
    <xf numFmtId="1" fontId="0" fillId="0" borderId="0" xfId="0" applyNumberFormat="1" applyFont="1" applyBorder="1"/>
    <xf numFmtId="0" fontId="1" fillId="0" borderId="2" xfId="0" applyFont="1" applyFill="1" applyBorder="1"/>
    <xf numFmtId="3" fontId="0" fillId="0" borderId="0" xfId="0" applyNumberFormat="1" applyFont="1" applyFill="1" applyBorder="1"/>
    <xf numFmtId="9" fontId="4" fillId="0" borderId="9" xfId="1" applyNumberFormat="1" applyFont="1" applyBorder="1"/>
    <xf numFmtId="0" fontId="0" fillId="3" borderId="74" xfId="0" applyFont="1" applyFill="1" applyBorder="1" applyAlignment="1">
      <alignment horizontal="center" vertical="center"/>
    </xf>
    <xf numFmtId="0" fontId="0" fillId="3" borderId="65" xfId="0" applyFont="1" applyFill="1" applyBorder="1" applyAlignment="1">
      <alignment horizontal="center" vertical="center"/>
    </xf>
    <xf numFmtId="0" fontId="0" fillId="3" borderId="26" xfId="0" applyFont="1" applyFill="1" applyBorder="1" applyAlignment="1">
      <alignment horizontal="center" vertical="center"/>
    </xf>
    <xf numFmtId="0" fontId="0" fillId="3" borderId="25" xfId="0" applyFont="1" applyFill="1" applyBorder="1" applyAlignment="1">
      <alignment horizontal="center" vertical="center"/>
    </xf>
    <xf numFmtId="0" fontId="0" fillId="3" borderId="27" xfId="0" applyFont="1" applyFill="1" applyBorder="1" applyAlignment="1">
      <alignment horizontal="left" vertical="center" wrapText="1"/>
    </xf>
    <xf numFmtId="0" fontId="0" fillId="3" borderId="30" xfId="0" applyFont="1" applyFill="1" applyBorder="1" applyAlignment="1">
      <alignment horizontal="left" vertical="center" wrapText="1"/>
    </xf>
    <xf numFmtId="0" fontId="0" fillId="3" borderId="5" xfId="0" applyFont="1" applyFill="1" applyBorder="1" applyAlignment="1">
      <alignment horizontal="left" vertical="center" wrapText="1"/>
    </xf>
    <xf numFmtId="0" fontId="0" fillId="3" borderId="36" xfId="0" applyFont="1" applyFill="1" applyBorder="1" applyAlignment="1">
      <alignment horizontal="left" vertical="center" wrapText="1"/>
    </xf>
    <xf numFmtId="0" fontId="1" fillId="3" borderId="61" xfId="0" applyFont="1" applyFill="1" applyBorder="1" applyAlignment="1">
      <alignment horizontal="center" vertical="center"/>
    </xf>
    <xf numFmtId="0" fontId="1" fillId="3" borderId="64" xfId="0" applyFont="1" applyFill="1" applyBorder="1" applyAlignment="1">
      <alignment horizontal="center" vertical="center"/>
    </xf>
    <xf numFmtId="0" fontId="1" fillId="3" borderId="65" xfId="0" applyFont="1" applyFill="1" applyBorder="1" applyAlignment="1">
      <alignment horizontal="center" vertical="center"/>
    </xf>
    <xf numFmtId="0" fontId="24" fillId="3" borderId="67" xfId="0" applyFont="1" applyFill="1" applyBorder="1" applyAlignment="1">
      <alignment horizontal="center" vertical="center" wrapText="1"/>
    </xf>
    <xf numFmtId="0" fontId="24" fillId="3" borderId="68" xfId="0" applyFont="1" applyFill="1" applyBorder="1" applyAlignment="1">
      <alignment horizontal="center" vertical="center" wrapText="1"/>
    </xf>
    <xf numFmtId="0" fontId="24" fillId="3" borderId="23" xfId="0" applyFont="1" applyFill="1" applyBorder="1" applyAlignment="1">
      <alignment horizontal="center" vertical="center" wrapText="1"/>
    </xf>
    <xf numFmtId="0" fontId="24" fillId="3" borderId="69" xfId="0" applyFont="1" applyFill="1" applyBorder="1" applyAlignment="1">
      <alignment horizontal="center" vertical="center" wrapText="1"/>
    </xf>
    <xf numFmtId="0" fontId="24" fillId="3" borderId="25" xfId="0" applyFont="1" applyFill="1" applyBorder="1" applyAlignment="1">
      <alignment horizontal="center" vertical="center" wrapText="1"/>
    </xf>
    <xf numFmtId="0" fontId="24" fillId="3" borderId="70" xfId="0" applyFont="1" applyFill="1" applyBorder="1" applyAlignment="1">
      <alignment horizontal="center" vertical="center" wrapText="1"/>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8" borderId="10" xfId="0" applyFont="1" applyFill="1" applyBorder="1" applyAlignment="1">
      <alignment horizontal="center"/>
    </xf>
    <xf numFmtId="0" fontId="1" fillId="8" borderId="11" xfId="0" applyFont="1" applyFill="1" applyBorder="1" applyAlignment="1">
      <alignment horizontal="center"/>
    </xf>
    <xf numFmtId="0" fontId="0" fillId="3" borderId="55" xfId="0" applyFont="1" applyFill="1" applyBorder="1" applyAlignment="1">
      <alignment horizontal="center" vertical="top" wrapText="1"/>
    </xf>
    <xf numFmtId="0" fontId="0" fillId="3" borderId="56" xfId="0" applyFont="1" applyFill="1" applyBorder="1" applyAlignment="1">
      <alignment horizontal="center" vertical="top"/>
    </xf>
    <xf numFmtId="0" fontId="0" fillId="3" borderId="13" xfId="0" applyFont="1" applyFill="1" applyBorder="1" applyAlignment="1">
      <alignment horizontal="center" vertical="top"/>
    </xf>
    <xf numFmtId="0" fontId="0" fillId="3" borderId="57" xfId="0" applyFill="1" applyBorder="1" applyAlignment="1">
      <alignment horizontal="center"/>
    </xf>
    <xf numFmtId="0" fontId="0" fillId="3" borderId="9" xfId="0" applyFill="1" applyBorder="1" applyAlignment="1">
      <alignment horizontal="center"/>
    </xf>
    <xf numFmtId="0" fontId="0" fillId="3" borderId="15" xfId="0" applyFill="1" applyBorder="1" applyAlignment="1">
      <alignment horizontal="center"/>
    </xf>
    <xf numFmtId="0" fontId="18" fillId="3" borderId="59" xfId="2" applyFill="1" applyBorder="1" applyAlignment="1">
      <alignment horizontal="center"/>
    </xf>
    <xf numFmtId="0" fontId="0" fillId="3" borderId="59" xfId="0" applyFill="1" applyBorder="1" applyAlignment="1">
      <alignment horizontal="center"/>
    </xf>
    <xf numFmtId="0" fontId="0" fillId="3" borderId="60" xfId="0" applyFill="1" applyBorder="1" applyAlignment="1">
      <alignment horizontal="center"/>
    </xf>
    <xf numFmtId="0" fontId="1" fillId="3" borderId="61" xfId="0" applyFont="1" applyFill="1" applyBorder="1" applyAlignment="1">
      <alignment horizontal="center" vertical="center" wrapText="1"/>
    </xf>
    <xf numFmtId="0" fontId="1" fillId="3" borderId="64" xfId="0" applyFont="1" applyFill="1" applyBorder="1" applyAlignment="1">
      <alignment horizontal="center" vertical="center" wrapText="1"/>
    </xf>
    <xf numFmtId="0" fontId="24" fillId="3" borderId="62" xfId="0" applyFont="1" applyFill="1" applyBorder="1" applyAlignment="1">
      <alignment horizontal="center" vertical="center" wrapText="1"/>
    </xf>
    <xf numFmtId="0" fontId="24" fillId="3" borderId="63" xfId="0" applyFont="1" applyFill="1" applyBorder="1" applyAlignment="1">
      <alignment horizontal="center" vertical="center" wrapText="1"/>
    </xf>
    <xf numFmtId="0" fontId="24" fillId="3" borderId="45" xfId="0" applyFont="1" applyFill="1" applyBorder="1" applyAlignment="1">
      <alignment horizontal="center" vertical="center" wrapText="1"/>
    </xf>
    <xf numFmtId="0" fontId="24" fillId="3" borderId="47" xfId="0" applyFont="1" applyFill="1" applyBorder="1" applyAlignment="1">
      <alignment horizontal="center" vertical="center" wrapText="1"/>
    </xf>
    <xf numFmtId="0" fontId="24" fillId="3" borderId="0" xfId="0" applyFont="1" applyFill="1" applyBorder="1" applyAlignment="1">
      <alignment horizontal="center" vertical="center" wrapText="1"/>
    </xf>
    <xf numFmtId="0" fontId="24" fillId="3" borderId="32" xfId="0" applyFont="1" applyFill="1" applyBorder="1" applyAlignment="1">
      <alignment horizontal="center" vertical="center" wrapText="1"/>
    </xf>
    <xf numFmtId="173" fontId="0" fillId="3" borderId="74" xfId="0" applyNumberFormat="1" applyFont="1" applyFill="1" applyBorder="1" applyAlignment="1">
      <alignment horizontal="center" vertical="center" wrapText="1"/>
    </xf>
    <xf numFmtId="173" fontId="0" fillId="3" borderId="64" xfId="0" applyNumberFormat="1" applyFont="1" applyFill="1" applyBorder="1" applyAlignment="1">
      <alignment horizontal="center" vertical="center" wrapText="1"/>
    </xf>
    <xf numFmtId="173" fontId="0" fillId="3" borderId="65" xfId="0" applyNumberFormat="1" applyFont="1" applyFill="1" applyBorder="1" applyAlignment="1">
      <alignment horizontal="center" vertical="center" wrapText="1"/>
    </xf>
    <xf numFmtId="0" fontId="0" fillId="3" borderId="23" xfId="0" applyFont="1" applyFill="1" applyBorder="1" applyAlignment="1">
      <alignment horizontal="center" vertical="center"/>
    </xf>
    <xf numFmtId="0" fontId="0" fillId="3" borderId="75" xfId="0" applyFont="1" applyFill="1" applyBorder="1" applyAlignment="1">
      <alignment horizontal="center" vertical="center"/>
    </xf>
    <xf numFmtId="0" fontId="0" fillId="3" borderId="76" xfId="0" applyFont="1" applyFill="1" applyBorder="1" applyAlignment="1">
      <alignment horizontal="center" vertical="center"/>
    </xf>
    <xf numFmtId="0" fontId="0" fillId="3" borderId="47" xfId="0" applyFont="1" applyFill="1" applyBorder="1" applyAlignment="1">
      <alignment horizontal="center" vertical="center"/>
    </xf>
    <xf numFmtId="0" fontId="0" fillId="3" borderId="46" xfId="0" applyFont="1" applyFill="1" applyBorder="1" applyAlignment="1">
      <alignment horizontal="center" vertical="center"/>
    </xf>
    <xf numFmtId="0" fontId="0" fillId="3" borderId="66" xfId="0" applyFont="1" applyFill="1" applyBorder="1" applyAlignment="1">
      <alignment horizontal="center" vertical="center"/>
    </xf>
    <xf numFmtId="0" fontId="0" fillId="3" borderId="77" xfId="0" applyFont="1" applyFill="1" applyBorder="1" applyAlignment="1">
      <alignment horizontal="center" vertical="center"/>
    </xf>
    <xf numFmtId="0" fontId="0" fillId="3" borderId="75" xfId="0" applyFont="1" applyFill="1" applyBorder="1" applyAlignment="1">
      <alignment horizontal="left" vertical="center" wrapText="1"/>
    </xf>
    <xf numFmtId="0" fontId="0" fillId="3" borderId="47" xfId="0" applyFont="1" applyFill="1" applyBorder="1" applyAlignment="1">
      <alignment horizontal="left" vertical="center" wrapText="1"/>
    </xf>
    <xf numFmtId="0" fontId="0" fillId="3" borderId="0" xfId="0" applyFont="1" applyFill="1" applyBorder="1" applyAlignment="1">
      <alignment horizontal="left" vertical="center" wrapText="1"/>
    </xf>
    <xf numFmtId="0" fontId="0" fillId="3" borderId="32" xfId="0" applyFont="1" applyFill="1" applyBorder="1" applyAlignment="1">
      <alignment horizontal="left" vertical="center" wrapText="1"/>
    </xf>
    <xf numFmtId="0" fontId="0" fillId="3" borderId="66" xfId="0" applyFont="1" applyFill="1" applyBorder="1" applyAlignment="1">
      <alignment horizontal="left" vertical="center" wrapText="1"/>
    </xf>
    <xf numFmtId="0" fontId="0" fillId="3" borderId="75" xfId="0" applyFill="1" applyBorder="1" applyAlignment="1">
      <alignment horizontal="left" vertical="center" wrapText="1"/>
    </xf>
    <xf numFmtId="0" fontId="0" fillId="3" borderId="27" xfId="0" applyFill="1" applyBorder="1" applyAlignment="1">
      <alignment horizontal="left" vertical="center" wrapText="1"/>
    </xf>
    <xf numFmtId="0" fontId="0" fillId="3" borderId="30" xfId="0" applyFill="1" applyBorder="1" applyAlignment="1">
      <alignment horizontal="left" vertical="center" wrapText="1"/>
    </xf>
    <xf numFmtId="0" fontId="0" fillId="3" borderId="47" xfId="0" applyFill="1" applyBorder="1" applyAlignment="1">
      <alignment horizontal="left" vertical="center" wrapText="1"/>
    </xf>
    <xf numFmtId="0" fontId="0" fillId="3" borderId="0" xfId="0" applyFill="1" applyBorder="1" applyAlignment="1">
      <alignment horizontal="left" vertical="center" wrapText="1"/>
    </xf>
    <xf numFmtId="0" fontId="0" fillId="3" borderId="32" xfId="0" applyFill="1" applyBorder="1" applyAlignment="1">
      <alignment horizontal="left" vertical="center" wrapText="1"/>
    </xf>
    <xf numFmtId="0" fontId="0" fillId="3" borderId="66" xfId="0" applyFill="1" applyBorder="1" applyAlignment="1">
      <alignment horizontal="left" vertical="center" wrapText="1"/>
    </xf>
    <xf numFmtId="0" fontId="0" fillId="3" borderId="5" xfId="0" applyFill="1" applyBorder="1" applyAlignment="1">
      <alignment horizontal="left" vertical="center" wrapText="1"/>
    </xf>
    <xf numFmtId="0" fontId="0" fillId="3" borderId="36" xfId="0" applyFill="1" applyBorder="1" applyAlignment="1">
      <alignment horizontal="left" vertical="center" wrapText="1"/>
    </xf>
    <xf numFmtId="0" fontId="0" fillId="3" borderId="27" xfId="0" applyFill="1" applyBorder="1" applyAlignment="1">
      <alignment horizontal="left" wrapText="1"/>
    </xf>
    <xf numFmtId="0" fontId="0" fillId="3" borderId="30" xfId="0" applyFill="1" applyBorder="1" applyAlignment="1">
      <alignment horizontal="left" wrapText="1"/>
    </xf>
    <xf numFmtId="0" fontId="0" fillId="3" borderId="5" xfId="0" applyFill="1" applyBorder="1" applyAlignment="1">
      <alignment horizontal="left" wrapText="1"/>
    </xf>
    <xf numFmtId="0" fontId="0" fillId="3" borderId="36" xfId="0" applyFill="1" applyBorder="1" applyAlignment="1">
      <alignment horizontal="left" wrapText="1"/>
    </xf>
    <xf numFmtId="0" fontId="0" fillId="3" borderId="75" xfId="0" applyFont="1" applyFill="1" applyBorder="1" applyAlignment="1">
      <alignment horizontal="left" vertical="top" wrapText="1"/>
    </xf>
    <xf numFmtId="0" fontId="0" fillId="3" borderId="27" xfId="0" applyFont="1" applyFill="1" applyBorder="1" applyAlignment="1">
      <alignment horizontal="left" vertical="top" wrapText="1"/>
    </xf>
    <xf numFmtId="0" fontId="0" fillId="3" borderId="30" xfId="0" applyFont="1" applyFill="1" applyBorder="1" applyAlignment="1">
      <alignment horizontal="left" vertical="top" wrapText="1"/>
    </xf>
    <xf numFmtId="0" fontId="0" fillId="3" borderId="47" xfId="0" applyFont="1" applyFill="1" applyBorder="1" applyAlignment="1">
      <alignment horizontal="left" vertical="top" wrapText="1"/>
    </xf>
    <xf numFmtId="0" fontId="0" fillId="3" borderId="0" xfId="0" applyFont="1" applyFill="1" applyBorder="1" applyAlignment="1">
      <alignment horizontal="left" vertical="top" wrapText="1"/>
    </xf>
    <xf numFmtId="0" fontId="0" fillId="3" borderId="32" xfId="0" applyFont="1" applyFill="1" applyBorder="1" applyAlignment="1">
      <alignment horizontal="left" vertical="top" wrapText="1"/>
    </xf>
    <xf numFmtId="0" fontId="0" fillId="3" borderId="66" xfId="0" applyFont="1" applyFill="1" applyBorder="1" applyAlignment="1">
      <alignment horizontal="left" vertical="top" wrapText="1"/>
    </xf>
    <xf numFmtId="0" fontId="0" fillId="3" borderId="5" xfId="0" applyFont="1" applyFill="1" applyBorder="1" applyAlignment="1">
      <alignment horizontal="left" vertical="top" wrapText="1"/>
    </xf>
    <xf numFmtId="0" fontId="0" fillId="3" borderId="36" xfId="0" applyFont="1" applyFill="1" applyBorder="1" applyAlignment="1">
      <alignment horizontal="left" vertical="top" wrapText="1"/>
    </xf>
    <xf numFmtId="0" fontId="0" fillId="3" borderId="74" xfId="0" applyFont="1" applyFill="1" applyBorder="1" applyAlignment="1">
      <alignment horizontal="center" vertical="center" wrapText="1"/>
    </xf>
    <xf numFmtId="0" fontId="0" fillId="3" borderId="65" xfId="0" applyFont="1" applyFill="1" applyBorder="1" applyAlignment="1">
      <alignment horizontal="center" vertical="center" wrapText="1"/>
    </xf>
    <xf numFmtId="0" fontId="0" fillId="3" borderId="80" xfId="0" applyFont="1" applyFill="1" applyBorder="1" applyAlignment="1">
      <alignment horizontal="center"/>
    </xf>
    <xf numFmtId="0" fontId="0" fillId="3" borderId="81" xfId="0" applyFont="1" applyFill="1" applyBorder="1" applyAlignment="1">
      <alignment horizontal="center"/>
    </xf>
    <xf numFmtId="0" fontId="0" fillId="3" borderId="80" xfId="0" applyFont="1" applyFill="1" applyBorder="1" applyAlignment="1">
      <alignment horizontal="left" vertical="center" wrapText="1"/>
    </xf>
    <xf numFmtId="0" fontId="0" fillId="3" borderId="20" xfId="0" applyFont="1" applyFill="1" applyBorder="1" applyAlignment="1">
      <alignment horizontal="left" vertical="center" wrapText="1"/>
    </xf>
    <xf numFmtId="0" fontId="0" fillId="3" borderId="11" xfId="0" applyFont="1" applyFill="1" applyBorder="1" applyAlignment="1">
      <alignment horizontal="left" vertical="center" wrapText="1"/>
    </xf>
    <xf numFmtId="0" fontId="0" fillId="3" borderId="80" xfId="0" applyFont="1" applyFill="1" applyBorder="1" applyAlignment="1">
      <alignment horizontal="center" vertical="center"/>
    </xf>
    <xf numFmtId="0" fontId="0" fillId="3" borderId="81" xfId="0" applyFont="1" applyFill="1" applyBorder="1" applyAlignment="1">
      <alignment horizontal="center" vertical="center"/>
    </xf>
    <xf numFmtId="0" fontId="1" fillId="4" borderId="3" xfId="0" applyFont="1" applyFill="1" applyBorder="1" applyAlignment="1">
      <alignment horizontal="center"/>
    </xf>
    <xf numFmtId="0" fontId="1" fillId="5" borderId="1" xfId="0" applyFont="1" applyFill="1" applyBorder="1" applyAlignment="1">
      <alignment horizontal="center"/>
    </xf>
    <xf numFmtId="0" fontId="1" fillId="5" borderId="0" xfId="0" applyFont="1" applyFill="1" applyAlignment="1">
      <alignment horizontal="center"/>
    </xf>
    <xf numFmtId="0" fontId="1" fillId="5" borderId="2" xfId="0" applyFont="1" applyFill="1" applyBorder="1" applyAlignment="1">
      <alignment horizontal="center"/>
    </xf>
    <xf numFmtId="0" fontId="1" fillId="5" borderId="4" xfId="0" applyFont="1" applyFill="1" applyBorder="1" applyAlignment="1">
      <alignment horizontal="center"/>
    </xf>
    <xf numFmtId="0" fontId="1" fillId="5" borderId="24" xfId="0" applyNumberFormat="1" applyFont="1" applyFill="1" applyBorder="1" applyAlignment="1">
      <alignment horizontal="center"/>
    </xf>
    <xf numFmtId="0" fontId="1" fillId="5" borderId="25" xfId="0" applyNumberFormat="1" applyFont="1" applyFill="1" applyBorder="1" applyAlignment="1">
      <alignment horizontal="center"/>
    </xf>
    <xf numFmtId="0" fontId="1" fillId="5" borderId="24" xfId="0" applyNumberFormat="1" applyFont="1" applyFill="1" applyBorder="1" applyAlignment="1">
      <alignment horizontal="left" wrapText="1"/>
    </xf>
    <xf numFmtId="0" fontId="1" fillId="5" borderId="25" xfId="0" applyNumberFormat="1" applyFont="1" applyFill="1" applyBorder="1" applyAlignment="1">
      <alignment horizontal="left" wrapText="1"/>
    </xf>
    <xf numFmtId="0" fontId="13" fillId="5" borderId="10" xfId="0" applyFont="1" applyFill="1" applyBorder="1" applyAlignment="1">
      <alignment horizontal="center"/>
    </xf>
    <xf numFmtId="0" fontId="13" fillId="5" borderId="11" xfId="0" applyFont="1" applyFill="1" applyBorder="1" applyAlignment="1">
      <alignment horizontal="center"/>
    </xf>
    <xf numFmtId="0" fontId="13" fillId="5" borderId="20" xfId="0" applyFont="1" applyFill="1" applyBorder="1" applyAlignment="1">
      <alignment horizontal="center"/>
    </xf>
    <xf numFmtId="0" fontId="17" fillId="5" borderId="52" xfId="0" applyFont="1" applyFill="1" applyBorder="1" applyAlignment="1">
      <alignment horizontal="center" textRotation="90"/>
    </xf>
    <xf numFmtId="0" fontId="17" fillId="5" borderId="53" xfId="0" applyFont="1" applyFill="1" applyBorder="1" applyAlignment="1">
      <alignment horizontal="center" textRotation="90"/>
    </xf>
    <xf numFmtId="0" fontId="17" fillId="5" borderId="54" xfId="0" applyFont="1" applyFill="1" applyBorder="1" applyAlignment="1">
      <alignment horizontal="center" textRotation="90"/>
    </xf>
    <xf numFmtId="0" fontId="1" fillId="5" borderId="50" xfId="0" applyFont="1" applyFill="1" applyBorder="1" applyAlignment="1">
      <alignment horizontal="center"/>
    </xf>
    <xf numFmtId="0" fontId="1" fillId="5" borderId="51" xfId="0" applyFont="1" applyFill="1" applyBorder="1" applyAlignment="1">
      <alignment horizontal="center"/>
    </xf>
    <xf numFmtId="0" fontId="1" fillId="8" borderId="3" xfId="0" applyFont="1" applyFill="1" applyBorder="1" applyAlignment="1">
      <alignment horizontal="center"/>
    </xf>
    <xf numFmtId="0" fontId="1" fillId="4" borderId="4" xfId="0" applyFont="1" applyFill="1" applyBorder="1" applyAlignment="1">
      <alignment horizontal="center"/>
    </xf>
    <xf numFmtId="0" fontId="1" fillId="5" borderId="0" xfId="0" applyFont="1" applyFill="1" applyBorder="1" applyAlignment="1">
      <alignment horizontal="center"/>
    </xf>
    <xf numFmtId="0" fontId="0" fillId="0" borderId="57" xfId="0" applyBorder="1" applyAlignment="1">
      <alignment horizontal="left" vertical="top" wrapText="1"/>
    </xf>
    <xf numFmtId="0" fontId="0" fillId="0" borderId="9" xfId="0" applyBorder="1" applyAlignment="1">
      <alignment horizontal="left" vertical="top" wrapText="1"/>
    </xf>
    <xf numFmtId="0" fontId="0" fillId="0" borderId="82" xfId="0" applyBorder="1" applyAlignment="1">
      <alignment horizontal="left" vertical="top"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tockChart>
        <c:ser>
          <c:idx val="0"/>
          <c:order val="0"/>
          <c:tx>
            <c:strRef>
              <c:f>'Football Field Analysis'!$B$11:$D$11</c:f>
              <c:strCache>
                <c:ptCount val="3"/>
                <c:pt idx="0">
                  <c:v>High</c:v>
                </c:pt>
              </c:strCache>
            </c:strRef>
          </c:tx>
          <c:spPr>
            <a:ln w="19050" cap="rnd">
              <a:noFill/>
              <a:round/>
            </a:ln>
            <a:effectLst/>
          </c:spPr>
          <c:marker>
            <c:symbol val="none"/>
          </c:marker>
          <c:dLbls>
            <c:delete val="1"/>
          </c:dLbls>
          <c:cat>
            <c:strRef>
              <c:f>'Football Field Analysis'!$E$10:$I$10</c:f>
              <c:strCache>
                <c:ptCount val="5"/>
                <c:pt idx="0">
                  <c:v>Comps Median</c:v>
                </c:pt>
                <c:pt idx="1">
                  <c:v>Comps Average</c:v>
                </c:pt>
                <c:pt idx="2">
                  <c:v>DCF (Average)</c:v>
                </c:pt>
                <c:pt idx="3">
                  <c:v>52-Week Hi/LO</c:v>
                </c:pt>
                <c:pt idx="4">
                  <c:v>Market Consenses</c:v>
                </c:pt>
              </c:strCache>
            </c:strRef>
          </c:cat>
          <c:val>
            <c:numRef>
              <c:f>'Football Field Analysis'!$E$11:$I$11</c:f>
              <c:numCache>
                <c:formatCode>"₹"\ #,##0</c:formatCode>
                <c:ptCount val="5"/>
                <c:pt idx="0">
                  <c:v>19474</c:v>
                </c:pt>
                <c:pt idx="1">
                  <c:v>19790</c:v>
                </c:pt>
                <c:pt idx="2">
                  <c:v>2229</c:v>
                </c:pt>
                <c:pt idx="3">
                  <c:v>5760</c:v>
                </c:pt>
                <c:pt idx="4">
                  <c:v>13453.5</c:v>
                </c:pt>
              </c:numCache>
            </c:numRef>
          </c:val>
          <c:smooth val="0"/>
          <c:extLst>
            <c:ext xmlns:c16="http://schemas.microsoft.com/office/drawing/2014/chart" uri="{C3380CC4-5D6E-409C-BE32-E72D297353CC}">
              <c16:uniqueId val="{00000000-259B-4C68-B7EB-25EED7884822}"/>
            </c:ext>
          </c:extLst>
        </c:ser>
        <c:ser>
          <c:idx val="1"/>
          <c:order val="1"/>
          <c:tx>
            <c:strRef>
              <c:f>'Football Field Analysis'!$B$12:$D$12</c:f>
              <c:strCache>
                <c:ptCount val="3"/>
                <c:pt idx="0">
                  <c:v>High</c:v>
                </c:pt>
              </c:strCache>
            </c:strRef>
          </c:tx>
          <c:spPr>
            <a:ln w="1905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Analysis'!$E$10:$I$10</c:f>
              <c:strCache>
                <c:ptCount val="5"/>
                <c:pt idx="0">
                  <c:v>Comps Median</c:v>
                </c:pt>
                <c:pt idx="1">
                  <c:v>Comps Average</c:v>
                </c:pt>
                <c:pt idx="2">
                  <c:v>DCF (Average)</c:v>
                </c:pt>
                <c:pt idx="3">
                  <c:v>52-Week Hi/LO</c:v>
                </c:pt>
                <c:pt idx="4">
                  <c:v>Market Consenses</c:v>
                </c:pt>
              </c:strCache>
            </c:strRef>
          </c:cat>
          <c:val>
            <c:numRef>
              <c:f>'Football Field Analysis'!$E$12:$I$12</c:f>
              <c:numCache>
                <c:formatCode>"₹"\ #,##0</c:formatCode>
                <c:ptCount val="5"/>
                <c:pt idx="0">
                  <c:v>19474</c:v>
                </c:pt>
                <c:pt idx="1">
                  <c:v>19790</c:v>
                </c:pt>
                <c:pt idx="2">
                  <c:v>2229</c:v>
                </c:pt>
                <c:pt idx="3">
                  <c:v>5760</c:v>
                </c:pt>
                <c:pt idx="4">
                  <c:v>13453.5</c:v>
                </c:pt>
              </c:numCache>
            </c:numRef>
          </c:val>
          <c:smooth val="0"/>
          <c:extLst>
            <c:ext xmlns:c16="http://schemas.microsoft.com/office/drawing/2014/chart" uri="{C3380CC4-5D6E-409C-BE32-E72D297353CC}">
              <c16:uniqueId val="{00000001-259B-4C68-B7EB-25EED7884822}"/>
            </c:ext>
          </c:extLst>
        </c:ser>
        <c:ser>
          <c:idx val="2"/>
          <c:order val="2"/>
          <c:tx>
            <c:strRef>
              <c:f>'Football Field Analysis'!$B$13:$D$13</c:f>
              <c:strCache>
                <c:ptCount val="3"/>
                <c:pt idx="0">
                  <c:v>Low</c:v>
                </c:pt>
              </c:strCache>
            </c:strRef>
          </c:tx>
          <c:spPr>
            <a:ln w="19050" cap="rnd">
              <a:noFill/>
              <a:round/>
            </a:ln>
            <a:effectLst/>
          </c:spPr>
          <c:marker>
            <c:symbol val="none"/>
          </c:marker>
          <c:dLbls>
            <c:delete val="1"/>
          </c:dLbls>
          <c:cat>
            <c:strRef>
              <c:f>'Football Field Analysis'!$E$10:$I$10</c:f>
              <c:strCache>
                <c:ptCount val="5"/>
                <c:pt idx="0">
                  <c:v>Comps Median</c:v>
                </c:pt>
                <c:pt idx="1">
                  <c:v>Comps Average</c:v>
                </c:pt>
                <c:pt idx="2">
                  <c:v>DCF (Average)</c:v>
                </c:pt>
                <c:pt idx="3">
                  <c:v>52-Week Hi/LO</c:v>
                </c:pt>
                <c:pt idx="4">
                  <c:v>Market Consenses</c:v>
                </c:pt>
              </c:strCache>
            </c:strRef>
          </c:cat>
          <c:val>
            <c:numRef>
              <c:f>'Football Field Analysis'!$E$13:$I$13</c:f>
              <c:numCache>
                <c:formatCode>"₹"\ #,##0</c:formatCode>
                <c:ptCount val="5"/>
                <c:pt idx="0">
                  <c:v>962</c:v>
                </c:pt>
                <c:pt idx="1">
                  <c:v>886</c:v>
                </c:pt>
                <c:pt idx="2">
                  <c:v>1635</c:v>
                </c:pt>
                <c:pt idx="3">
                  <c:v>2850</c:v>
                </c:pt>
                <c:pt idx="4">
                  <c:v>3000</c:v>
                </c:pt>
              </c:numCache>
            </c:numRef>
          </c:val>
          <c:smooth val="0"/>
          <c:extLst>
            <c:ext xmlns:c16="http://schemas.microsoft.com/office/drawing/2014/chart" uri="{C3380CC4-5D6E-409C-BE32-E72D297353CC}">
              <c16:uniqueId val="{00000002-259B-4C68-B7EB-25EED7884822}"/>
            </c:ext>
          </c:extLst>
        </c:ser>
        <c:ser>
          <c:idx val="3"/>
          <c:order val="3"/>
          <c:tx>
            <c:strRef>
              <c:f>'Football Field Analysis'!$B$14:$D$14</c:f>
              <c:strCache>
                <c:ptCount val="3"/>
                <c:pt idx="0">
                  <c:v>Low</c:v>
                </c:pt>
              </c:strCache>
            </c:strRef>
          </c:tx>
          <c:spPr>
            <a:ln w="1905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Analysis'!$E$10:$I$10</c:f>
              <c:strCache>
                <c:ptCount val="5"/>
                <c:pt idx="0">
                  <c:v>Comps Median</c:v>
                </c:pt>
                <c:pt idx="1">
                  <c:v>Comps Average</c:v>
                </c:pt>
                <c:pt idx="2">
                  <c:v>DCF (Average)</c:v>
                </c:pt>
                <c:pt idx="3">
                  <c:v>52-Week Hi/LO</c:v>
                </c:pt>
                <c:pt idx="4">
                  <c:v>Market Consenses</c:v>
                </c:pt>
              </c:strCache>
            </c:strRef>
          </c:cat>
          <c:val>
            <c:numRef>
              <c:f>'Football Field Analysis'!$E$14:$I$14</c:f>
              <c:numCache>
                <c:formatCode>"₹"\ #,##0</c:formatCode>
                <c:ptCount val="5"/>
                <c:pt idx="0">
                  <c:v>962</c:v>
                </c:pt>
                <c:pt idx="1">
                  <c:v>886</c:v>
                </c:pt>
                <c:pt idx="2">
                  <c:v>1635</c:v>
                </c:pt>
                <c:pt idx="3">
                  <c:v>2850</c:v>
                </c:pt>
                <c:pt idx="4">
                  <c:v>3000</c:v>
                </c:pt>
              </c:numCache>
            </c:numRef>
          </c:val>
          <c:smooth val="0"/>
          <c:extLst>
            <c:ext xmlns:c16="http://schemas.microsoft.com/office/drawing/2014/chart" uri="{C3380CC4-5D6E-409C-BE32-E72D297353CC}">
              <c16:uniqueId val="{00000003-259B-4C68-B7EB-25EED7884822}"/>
            </c:ext>
          </c:extLst>
        </c:ser>
        <c:dLbls>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accent6">
                  <a:lumMod val="60000"/>
                  <a:lumOff val="40000"/>
                </a:schemeClr>
              </a:solidFill>
              <a:ln w="9525" cap="flat" cmpd="sng" algn="ctr">
                <a:solidFill>
                  <a:schemeClr val="tx1">
                    <a:lumMod val="65000"/>
                    <a:lumOff val="35000"/>
                  </a:schemeClr>
                </a:solidFill>
                <a:round/>
              </a:ln>
              <a:effectLst/>
            </c:spPr>
          </c:downBars>
        </c:upDownBars>
        <c:axId val="643478264"/>
        <c:axId val="643491384"/>
      </c:stockChart>
      <c:catAx>
        <c:axId val="643478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3491384"/>
        <c:crosses val="autoZero"/>
        <c:auto val="1"/>
        <c:lblAlgn val="ctr"/>
        <c:lblOffset val="100"/>
        <c:noMultiLvlLbl val="0"/>
      </c:catAx>
      <c:valAx>
        <c:axId val="643491384"/>
        <c:scaling>
          <c:orientation val="minMax"/>
          <c:max val="20000"/>
          <c:min val="800"/>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4782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15</xdr:row>
      <xdr:rowOff>0</xdr:rowOff>
    </xdr:from>
    <xdr:to>
      <xdr:col>5</xdr:col>
      <xdr:colOff>304800</xdr:colOff>
      <xdr:row>16</xdr:row>
      <xdr:rowOff>114300</xdr:rowOff>
    </xdr:to>
    <xdr:sp macro="" textlink="">
      <xdr:nvSpPr>
        <xdr:cNvPr id="4098" name="AutoShape 2" descr="Top 10 Garment Manufacturers in India 2023"/>
        <xdr:cNvSpPr>
          <a:spLocks noChangeAspect="1" noChangeArrowheads="1"/>
        </xdr:cNvSpPr>
      </xdr:nvSpPr>
      <xdr:spPr bwMode="auto">
        <a:xfrm>
          <a:off x="4924425" y="290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57150</xdr:colOff>
      <xdr:row>0</xdr:row>
      <xdr:rowOff>104775</xdr:rowOff>
    </xdr:from>
    <xdr:to>
      <xdr:col>2</xdr:col>
      <xdr:colOff>1104900</xdr:colOff>
      <xdr:row>5</xdr:row>
      <xdr:rowOff>38099</xdr:rowOff>
    </xdr:to>
    <xdr:pic>
      <xdr:nvPicPr>
        <xdr:cNvPr id="6" name="Picture 5"/>
        <xdr:cNvPicPr>
          <a:picLocks noChangeAspect="1"/>
        </xdr:cNvPicPr>
      </xdr:nvPicPr>
      <xdr:blipFill>
        <a:blip xmlns:r="http://schemas.openxmlformats.org/officeDocument/2006/relationships" r:embed="rId1"/>
        <a:stretch>
          <a:fillRect/>
        </a:stretch>
      </xdr:blipFill>
      <xdr:spPr>
        <a:xfrm>
          <a:off x="180975" y="104775"/>
          <a:ext cx="3448050" cy="885824"/>
        </a:xfrm>
        <a:prstGeom prst="rect">
          <a:avLst/>
        </a:prstGeom>
      </xdr:spPr>
    </xdr:pic>
    <xdr:clientData/>
  </xdr:twoCellAnchor>
  <xdr:twoCellAnchor editAs="oneCell">
    <xdr:from>
      <xdr:col>10</xdr:col>
      <xdr:colOff>190500</xdr:colOff>
      <xdr:row>6</xdr:row>
      <xdr:rowOff>0</xdr:rowOff>
    </xdr:from>
    <xdr:to>
      <xdr:col>20</xdr:col>
      <xdr:colOff>57150</xdr:colOff>
      <xdr:row>30</xdr:row>
      <xdr:rowOff>171450</xdr:rowOff>
    </xdr:to>
    <xdr:pic>
      <xdr:nvPicPr>
        <xdr:cNvPr id="2" name="Picture 1"/>
        <xdr:cNvPicPr>
          <a:picLocks noChangeAspect="1"/>
        </xdr:cNvPicPr>
      </xdr:nvPicPr>
      <xdr:blipFill>
        <a:blip xmlns:r="http://schemas.openxmlformats.org/officeDocument/2006/relationships" r:embed="rId2"/>
        <a:stretch>
          <a:fillRect/>
        </a:stretch>
      </xdr:blipFill>
      <xdr:spPr>
        <a:xfrm>
          <a:off x="8905875" y="1152525"/>
          <a:ext cx="5962650" cy="4781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8</xdr:row>
      <xdr:rowOff>0</xdr:rowOff>
    </xdr:from>
    <xdr:to>
      <xdr:col>10</xdr:col>
      <xdr:colOff>304800</xdr:colOff>
      <xdr:row>9</xdr:row>
      <xdr:rowOff>114300</xdr:rowOff>
    </xdr:to>
    <xdr:sp macro="" textlink="">
      <xdr:nvSpPr>
        <xdr:cNvPr id="5121" name="AutoShape 1" descr="https://tse3.mm.bing.net/th/id/OIP.Mgh4epl7f7aQ2bALxr9OkQAAAA?r=0&amp;rs=1&amp;pid=ImgDetMain&amp;o=7&amp;rm=3"/>
        <xdr:cNvSpPr>
          <a:spLocks noChangeAspect="1" noChangeArrowheads="1"/>
        </xdr:cNvSpPr>
      </xdr:nvSpPr>
      <xdr:spPr bwMode="auto">
        <a:xfrm>
          <a:off x="9134475" y="139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104775</xdr:colOff>
      <xdr:row>0</xdr:row>
      <xdr:rowOff>57150</xdr:rowOff>
    </xdr:from>
    <xdr:to>
      <xdr:col>1</xdr:col>
      <xdr:colOff>3095625</xdr:colOff>
      <xdr:row>4</xdr:row>
      <xdr:rowOff>180974</xdr:rowOff>
    </xdr:to>
    <xdr:pic>
      <xdr:nvPicPr>
        <xdr:cNvPr id="5" name="Picture 4"/>
        <xdr:cNvPicPr>
          <a:picLocks noChangeAspect="1"/>
        </xdr:cNvPicPr>
      </xdr:nvPicPr>
      <xdr:blipFill>
        <a:blip xmlns:r="http://schemas.openxmlformats.org/officeDocument/2006/relationships" r:embed="rId1"/>
        <a:stretch>
          <a:fillRect/>
        </a:stretch>
      </xdr:blipFill>
      <xdr:spPr>
        <a:xfrm>
          <a:off x="104775" y="57150"/>
          <a:ext cx="3114675" cy="8858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9525</xdr:rowOff>
    </xdr:from>
    <xdr:to>
      <xdr:col>1</xdr:col>
      <xdr:colOff>3114675</xdr:colOff>
      <xdr:row>4</xdr:row>
      <xdr:rowOff>133349</xdr:rowOff>
    </xdr:to>
    <xdr:pic>
      <xdr:nvPicPr>
        <xdr:cNvPr id="2" name="Picture 1"/>
        <xdr:cNvPicPr>
          <a:picLocks noChangeAspect="1"/>
        </xdr:cNvPicPr>
      </xdr:nvPicPr>
      <xdr:blipFill>
        <a:blip xmlns:r="http://schemas.openxmlformats.org/officeDocument/2006/relationships" r:embed="rId1"/>
        <a:stretch>
          <a:fillRect/>
        </a:stretch>
      </xdr:blipFill>
      <xdr:spPr>
        <a:xfrm>
          <a:off x="123825" y="9525"/>
          <a:ext cx="3114675" cy="8858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76200</xdr:rowOff>
    </xdr:from>
    <xdr:to>
      <xdr:col>4</xdr:col>
      <xdr:colOff>38100</xdr:colOff>
      <xdr:row>5</xdr:row>
      <xdr:rowOff>9524</xdr:rowOff>
    </xdr:to>
    <xdr:pic>
      <xdr:nvPicPr>
        <xdr:cNvPr id="2" name="Picture 1"/>
        <xdr:cNvPicPr>
          <a:picLocks noChangeAspect="1"/>
        </xdr:cNvPicPr>
      </xdr:nvPicPr>
      <xdr:blipFill>
        <a:blip xmlns:r="http://schemas.openxmlformats.org/officeDocument/2006/relationships" r:embed="rId1"/>
        <a:stretch>
          <a:fillRect/>
        </a:stretch>
      </xdr:blipFill>
      <xdr:spPr>
        <a:xfrm>
          <a:off x="133350" y="76200"/>
          <a:ext cx="3114675" cy="8858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66675</xdr:rowOff>
    </xdr:from>
    <xdr:to>
      <xdr:col>4</xdr:col>
      <xdr:colOff>409575</xdr:colOff>
      <xdr:row>4</xdr:row>
      <xdr:rowOff>190499</xdr:rowOff>
    </xdr:to>
    <xdr:pic>
      <xdr:nvPicPr>
        <xdr:cNvPr id="2" name="Picture 1"/>
        <xdr:cNvPicPr>
          <a:picLocks noChangeAspect="1"/>
        </xdr:cNvPicPr>
      </xdr:nvPicPr>
      <xdr:blipFill>
        <a:blip xmlns:r="http://schemas.openxmlformats.org/officeDocument/2006/relationships" r:embed="rId1"/>
        <a:stretch>
          <a:fillRect/>
        </a:stretch>
      </xdr:blipFill>
      <xdr:spPr>
        <a:xfrm>
          <a:off x="123825" y="66675"/>
          <a:ext cx="3114675" cy="8858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57150</xdr:rowOff>
    </xdr:from>
    <xdr:to>
      <xdr:col>1</xdr:col>
      <xdr:colOff>3114675</xdr:colOff>
      <xdr:row>4</xdr:row>
      <xdr:rowOff>180974</xdr:rowOff>
    </xdr:to>
    <xdr:pic>
      <xdr:nvPicPr>
        <xdr:cNvPr id="2" name="Picture 1"/>
        <xdr:cNvPicPr>
          <a:picLocks noChangeAspect="1"/>
        </xdr:cNvPicPr>
      </xdr:nvPicPr>
      <xdr:blipFill>
        <a:blip xmlns:r="http://schemas.openxmlformats.org/officeDocument/2006/relationships" r:embed="rId1"/>
        <a:stretch>
          <a:fillRect/>
        </a:stretch>
      </xdr:blipFill>
      <xdr:spPr>
        <a:xfrm>
          <a:off x="123825" y="57150"/>
          <a:ext cx="3114675" cy="8858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85725</xdr:rowOff>
    </xdr:from>
    <xdr:to>
      <xdr:col>1</xdr:col>
      <xdr:colOff>3114675</xdr:colOff>
      <xdr:row>5</xdr:row>
      <xdr:rowOff>19049</xdr:rowOff>
    </xdr:to>
    <xdr:pic>
      <xdr:nvPicPr>
        <xdr:cNvPr id="2" name="Picture 1"/>
        <xdr:cNvPicPr>
          <a:picLocks noChangeAspect="1"/>
        </xdr:cNvPicPr>
      </xdr:nvPicPr>
      <xdr:blipFill>
        <a:blip xmlns:r="http://schemas.openxmlformats.org/officeDocument/2006/relationships" r:embed="rId1"/>
        <a:stretch>
          <a:fillRect/>
        </a:stretch>
      </xdr:blipFill>
      <xdr:spPr>
        <a:xfrm>
          <a:off x="123825" y="85725"/>
          <a:ext cx="3114675" cy="8858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0</xdr:row>
      <xdr:rowOff>38100</xdr:rowOff>
    </xdr:from>
    <xdr:to>
      <xdr:col>3</xdr:col>
      <xdr:colOff>571500</xdr:colOff>
      <xdr:row>4</xdr:row>
      <xdr:rowOff>161924</xdr:rowOff>
    </xdr:to>
    <xdr:pic>
      <xdr:nvPicPr>
        <xdr:cNvPr id="2" name="Picture 1"/>
        <xdr:cNvPicPr>
          <a:picLocks noChangeAspect="1"/>
        </xdr:cNvPicPr>
      </xdr:nvPicPr>
      <xdr:blipFill>
        <a:blip xmlns:r="http://schemas.openxmlformats.org/officeDocument/2006/relationships" r:embed="rId1"/>
        <a:stretch>
          <a:fillRect/>
        </a:stretch>
      </xdr:blipFill>
      <xdr:spPr>
        <a:xfrm>
          <a:off x="123825" y="38100"/>
          <a:ext cx="3114675" cy="8858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0</xdr:row>
      <xdr:rowOff>66675</xdr:rowOff>
    </xdr:from>
    <xdr:to>
      <xdr:col>1</xdr:col>
      <xdr:colOff>3114675</xdr:colOff>
      <xdr:row>4</xdr:row>
      <xdr:rowOff>190499</xdr:rowOff>
    </xdr:to>
    <xdr:pic>
      <xdr:nvPicPr>
        <xdr:cNvPr id="2" name="Picture 1"/>
        <xdr:cNvPicPr>
          <a:picLocks noChangeAspect="1"/>
        </xdr:cNvPicPr>
      </xdr:nvPicPr>
      <xdr:blipFill>
        <a:blip xmlns:r="http://schemas.openxmlformats.org/officeDocument/2006/relationships" r:embed="rId1"/>
        <a:stretch>
          <a:fillRect/>
        </a:stretch>
      </xdr:blipFill>
      <xdr:spPr>
        <a:xfrm>
          <a:off x="123825" y="66675"/>
          <a:ext cx="3114675" cy="88582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0</xdr:row>
      <xdr:rowOff>104775</xdr:rowOff>
    </xdr:from>
    <xdr:to>
      <xdr:col>2</xdr:col>
      <xdr:colOff>361950</xdr:colOff>
      <xdr:row>5</xdr:row>
      <xdr:rowOff>38099</xdr:rowOff>
    </xdr:to>
    <xdr:pic>
      <xdr:nvPicPr>
        <xdr:cNvPr id="2" name="Picture 1"/>
        <xdr:cNvPicPr>
          <a:picLocks noChangeAspect="1"/>
        </xdr:cNvPicPr>
      </xdr:nvPicPr>
      <xdr:blipFill>
        <a:blip xmlns:r="http://schemas.openxmlformats.org/officeDocument/2006/relationships" r:embed="rId1"/>
        <a:stretch>
          <a:fillRect/>
        </a:stretch>
      </xdr:blipFill>
      <xdr:spPr>
        <a:xfrm>
          <a:off x="123825" y="104775"/>
          <a:ext cx="3114675" cy="88582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0</xdr:row>
      <xdr:rowOff>66675</xdr:rowOff>
    </xdr:from>
    <xdr:to>
      <xdr:col>1</xdr:col>
      <xdr:colOff>3114675</xdr:colOff>
      <xdr:row>4</xdr:row>
      <xdr:rowOff>190499</xdr:rowOff>
    </xdr:to>
    <xdr:pic>
      <xdr:nvPicPr>
        <xdr:cNvPr id="2" name="Picture 1"/>
        <xdr:cNvPicPr>
          <a:picLocks noChangeAspect="1"/>
        </xdr:cNvPicPr>
      </xdr:nvPicPr>
      <xdr:blipFill>
        <a:blip xmlns:r="http://schemas.openxmlformats.org/officeDocument/2006/relationships" r:embed="rId1"/>
        <a:stretch>
          <a:fillRect/>
        </a:stretch>
      </xdr:blipFill>
      <xdr:spPr>
        <a:xfrm>
          <a:off x="123825" y="66675"/>
          <a:ext cx="3114675" cy="88582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3133725</xdr:colOff>
      <xdr:row>4</xdr:row>
      <xdr:rowOff>180974</xdr:rowOff>
    </xdr:to>
    <xdr:pic>
      <xdr:nvPicPr>
        <xdr:cNvPr id="2" name="Picture 1"/>
        <xdr:cNvPicPr>
          <a:picLocks noChangeAspect="1"/>
        </xdr:cNvPicPr>
      </xdr:nvPicPr>
      <xdr:blipFill>
        <a:blip xmlns:r="http://schemas.openxmlformats.org/officeDocument/2006/relationships" r:embed="rId1"/>
        <a:stretch>
          <a:fillRect/>
        </a:stretch>
      </xdr:blipFill>
      <xdr:spPr>
        <a:xfrm>
          <a:off x="142875" y="57150"/>
          <a:ext cx="3114675" cy="88582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47625</xdr:colOff>
      <xdr:row>0</xdr:row>
      <xdr:rowOff>161925</xdr:rowOff>
    </xdr:from>
    <xdr:to>
      <xdr:col>3</xdr:col>
      <xdr:colOff>590550</xdr:colOff>
      <xdr:row>5</xdr:row>
      <xdr:rowOff>95249</xdr:rowOff>
    </xdr:to>
    <xdr:pic>
      <xdr:nvPicPr>
        <xdr:cNvPr id="2" name="Picture 1"/>
        <xdr:cNvPicPr>
          <a:picLocks noChangeAspect="1"/>
        </xdr:cNvPicPr>
      </xdr:nvPicPr>
      <xdr:blipFill>
        <a:blip xmlns:r="http://schemas.openxmlformats.org/officeDocument/2006/relationships" r:embed="rId1"/>
        <a:stretch>
          <a:fillRect/>
        </a:stretch>
      </xdr:blipFill>
      <xdr:spPr>
        <a:xfrm>
          <a:off x="171450" y="161925"/>
          <a:ext cx="3114675" cy="88582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66675</xdr:rowOff>
    </xdr:from>
    <xdr:to>
      <xdr:col>5</xdr:col>
      <xdr:colOff>485775</xdr:colOff>
      <xdr:row>4</xdr:row>
      <xdr:rowOff>190499</xdr:rowOff>
    </xdr:to>
    <xdr:pic>
      <xdr:nvPicPr>
        <xdr:cNvPr id="2" name="Picture 1"/>
        <xdr:cNvPicPr>
          <a:picLocks noChangeAspect="1"/>
        </xdr:cNvPicPr>
      </xdr:nvPicPr>
      <xdr:blipFill>
        <a:blip xmlns:r="http://schemas.openxmlformats.org/officeDocument/2006/relationships" r:embed="rId1"/>
        <a:stretch>
          <a:fillRect/>
        </a:stretch>
      </xdr:blipFill>
      <xdr:spPr>
        <a:xfrm>
          <a:off x="123825" y="66675"/>
          <a:ext cx="3114675" cy="88582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38100</xdr:colOff>
      <xdr:row>0</xdr:row>
      <xdr:rowOff>127159</xdr:rowOff>
    </xdr:from>
    <xdr:to>
      <xdr:col>5</xdr:col>
      <xdr:colOff>320993</xdr:colOff>
      <xdr:row>5</xdr:row>
      <xdr:rowOff>149065</xdr:rowOff>
    </xdr:to>
    <xdr:pic>
      <xdr:nvPicPr>
        <xdr:cNvPr id="2" name="Picture 1"/>
        <xdr:cNvPicPr>
          <a:picLocks noChangeAspect="1"/>
        </xdr:cNvPicPr>
      </xdr:nvPicPr>
      <xdr:blipFill>
        <a:blip xmlns:r="http://schemas.openxmlformats.org/officeDocument/2006/relationships" r:embed="rId1"/>
        <a:stretch>
          <a:fillRect/>
        </a:stretch>
      </xdr:blipFill>
      <xdr:spPr>
        <a:xfrm>
          <a:off x="161925" y="127159"/>
          <a:ext cx="3426143" cy="97440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57150</xdr:rowOff>
    </xdr:from>
    <xdr:to>
      <xdr:col>4</xdr:col>
      <xdr:colOff>200025</xdr:colOff>
      <xdr:row>4</xdr:row>
      <xdr:rowOff>180974</xdr:rowOff>
    </xdr:to>
    <xdr:pic>
      <xdr:nvPicPr>
        <xdr:cNvPr id="2" name="Picture 1"/>
        <xdr:cNvPicPr>
          <a:picLocks noChangeAspect="1"/>
        </xdr:cNvPicPr>
      </xdr:nvPicPr>
      <xdr:blipFill>
        <a:blip xmlns:r="http://schemas.openxmlformats.org/officeDocument/2006/relationships" r:embed="rId1"/>
        <a:stretch>
          <a:fillRect/>
        </a:stretch>
      </xdr:blipFill>
      <xdr:spPr>
        <a:xfrm>
          <a:off x="123825" y="57150"/>
          <a:ext cx="3114675" cy="88582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38100</xdr:rowOff>
    </xdr:from>
    <xdr:to>
      <xdr:col>5</xdr:col>
      <xdr:colOff>714375</xdr:colOff>
      <xdr:row>4</xdr:row>
      <xdr:rowOff>161924</xdr:rowOff>
    </xdr:to>
    <xdr:pic>
      <xdr:nvPicPr>
        <xdr:cNvPr id="2" name="Picture 1"/>
        <xdr:cNvPicPr>
          <a:picLocks noChangeAspect="1"/>
        </xdr:cNvPicPr>
      </xdr:nvPicPr>
      <xdr:blipFill>
        <a:blip xmlns:r="http://schemas.openxmlformats.org/officeDocument/2006/relationships" r:embed="rId1"/>
        <a:stretch>
          <a:fillRect/>
        </a:stretch>
      </xdr:blipFill>
      <xdr:spPr>
        <a:xfrm>
          <a:off x="133350" y="38100"/>
          <a:ext cx="3114675" cy="88582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19050</xdr:colOff>
      <xdr:row>0</xdr:row>
      <xdr:rowOff>38100</xdr:rowOff>
    </xdr:from>
    <xdr:to>
      <xdr:col>3</xdr:col>
      <xdr:colOff>342900</xdr:colOff>
      <xdr:row>4</xdr:row>
      <xdr:rowOff>161924</xdr:rowOff>
    </xdr:to>
    <xdr:pic>
      <xdr:nvPicPr>
        <xdr:cNvPr id="2" name="Picture 1"/>
        <xdr:cNvPicPr>
          <a:picLocks noChangeAspect="1"/>
        </xdr:cNvPicPr>
      </xdr:nvPicPr>
      <xdr:blipFill>
        <a:blip xmlns:r="http://schemas.openxmlformats.org/officeDocument/2006/relationships" r:embed="rId1"/>
        <a:stretch>
          <a:fillRect/>
        </a:stretch>
      </xdr:blipFill>
      <xdr:spPr>
        <a:xfrm>
          <a:off x="142875" y="38100"/>
          <a:ext cx="3114675" cy="88582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0</xdr:colOff>
      <xdr:row>15</xdr:row>
      <xdr:rowOff>66674</xdr:rowOff>
    </xdr:from>
    <xdr:to>
      <xdr:col>9</xdr:col>
      <xdr:colOff>19050</xdr:colOff>
      <xdr:row>34</xdr:row>
      <xdr:rowOff>76199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19050</xdr:colOff>
      <xdr:row>0</xdr:row>
      <xdr:rowOff>85725</xdr:rowOff>
    </xdr:from>
    <xdr:to>
      <xdr:col>5</xdr:col>
      <xdr:colOff>342900</xdr:colOff>
      <xdr:row>5</xdr:row>
      <xdr:rowOff>19049</xdr:rowOff>
    </xdr:to>
    <xdr:pic>
      <xdr:nvPicPr>
        <xdr:cNvPr id="5" name="Picture 4"/>
        <xdr:cNvPicPr>
          <a:picLocks noChangeAspect="1"/>
        </xdr:cNvPicPr>
      </xdr:nvPicPr>
      <xdr:blipFill>
        <a:blip xmlns:r="http://schemas.openxmlformats.org/officeDocument/2006/relationships" r:embed="rId2"/>
        <a:stretch>
          <a:fillRect/>
        </a:stretch>
      </xdr:blipFill>
      <xdr:spPr>
        <a:xfrm>
          <a:off x="142875" y="85725"/>
          <a:ext cx="3114675" cy="88582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28575</xdr:colOff>
      <xdr:row>0</xdr:row>
      <xdr:rowOff>123825</xdr:rowOff>
    </xdr:from>
    <xdr:to>
      <xdr:col>4</xdr:col>
      <xdr:colOff>285750</xdr:colOff>
      <xdr:row>5</xdr:row>
      <xdr:rowOff>57149</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0" y="123825"/>
          <a:ext cx="3114675" cy="8858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aarti-industries.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https://www.bseindia.com/indices/IndexArchiveData.html"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hyperlink" Target="https://www.bseindia.com/indices/IndexArchiveData.html"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hyperlink" Target="https://www.screener.in/market/IN05/IN0501/IN050101/IN050101003/"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T87"/>
  <sheetViews>
    <sheetView showGridLines="0" topLeftCell="A7" workbookViewId="0">
      <selection activeCell="B10" sqref="B10:C26"/>
    </sheetView>
  </sheetViews>
  <sheetFormatPr defaultRowHeight="15" x14ac:dyDescent="0.25"/>
  <cols>
    <col min="1" max="1" width="1.85546875" customWidth="1"/>
    <col min="2" max="2" width="36" bestFit="1" customWidth="1"/>
    <col min="3" max="3" width="22.85546875" bestFit="1" customWidth="1"/>
    <col min="4" max="4" width="4.140625" customWidth="1"/>
    <col min="5" max="5" width="20.140625" bestFit="1" customWidth="1"/>
  </cols>
  <sheetData>
    <row r="6" spans="2:10" ht="15.75" thickBot="1" x14ac:dyDescent="0.3"/>
    <row r="7" spans="2:10" ht="15.75" thickBot="1" x14ac:dyDescent="0.3">
      <c r="B7" s="338" t="s">
        <v>95</v>
      </c>
      <c r="C7" s="339"/>
      <c r="E7" s="255" t="s">
        <v>178</v>
      </c>
      <c r="F7" s="342" t="s">
        <v>290</v>
      </c>
      <c r="G7" s="343"/>
      <c r="H7" s="343"/>
      <c r="I7" s="343"/>
      <c r="J7" s="344"/>
    </row>
    <row r="8" spans="2:10" ht="15.75" thickBot="1" x14ac:dyDescent="0.3">
      <c r="B8" s="201" t="s">
        <v>97</v>
      </c>
      <c r="C8" s="203">
        <f>IF(B8="Best Case",1,IF(B8="Base Case",2,3))</f>
        <v>2</v>
      </c>
      <c r="E8" s="55" t="s">
        <v>284</v>
      </c>
      <c r="F8" s="345" t="s">
        <v>291</v>
      </c>
      <c r="G8" s="346"/>
      <c r="H8" s="346"/>
      <c r="I8" s="346"/>
      <c r="J8" s="347"/>
    </row>
    <row r="9" spans="2:10" ht="15.75" thickBot="1" x14ac:dyDescent="0.3">
      <c r="E9" s="55" t="s">
        <v>285</v>
      </c>
      <c r="F9" s="345" t="s">
        <v>292</v>
      </c>
      <c r="G9" s="346"/>
      <c r="H9" s="346"/>
      <c r="I9" s="346"/>
      <c r="J9" s="347"/>
    </row>
    <row r="10" spans="2:10" ht="15.75" thickBot="1" x14ac:dyDescent="0.3">
      <c r="B10" s="340" t="s">
        <v>106</v>
      </c>
      <c r="C10" s="341"/>
      <c r="E10" s="55" t="s">
        <v>286</v>
      </c>
      <c r="F10" s="345" t="s">
        <v>293</v>
      </c>
      <c r="G10" s="346"/>
      <c r="H10" s="346"/>
      <c r="I10" s="346"/>
      <c r="J10" s="347"/>
    </row>
    <row r="11" spans="2:10" x14ac:dyDescent="0.25">
      <c r="B11" s="39" t="s">
        <v>107</v>
      </c>
      <c r="C11" s="40">
        <v>45922</v>
      </c>
      <c r="E11" s="55" t="s">
        <v>287</v>
      </c>
      <c r="F11" s="345" t="s">
        <v>294</v>
      </c>
      <c r="G11" s="346"/>
      <c r="H11" s="346"/>
      <c r="I11" s="346"/>
      <c r="J11" s="347"/>
    </row>
    <row r="12" spans="2:10" x14ac:dyDescent="0.25">
      <c r="B12" s="41" t="s">
        <v>108</v>
      </c>
      <c r="C12" s="42">
        <v>46112</v>
      </c>
      <c r="E12" s="256" t="s">
        <v>288</v>
      </c>
      <c r="F12" s="348" t="s">
        <v>295</v>
      </c>
      <c r="G12" s="349"/>
      <c r="H12" s="349"/>
      <c r="I12" s="349"/>
      <c r="J12" s="350"/>
    </row>
    <row r="13" spans="2:10" ht="15" customHeight="1" x14ac:dyDescent="0.25">
      <c r="B13" s="41" t="s">
        <v>109</v>
      </c>
      <c r="C13" s="43">
        <f>Revenue_BuildUp!C33</f>
        <v>0.2</v>
      </c>
      <c r="E13" s="351" t="s">
        <v>289</v>
      </c>
      <c r="F13" s="353" t="s">
        <v>386</v>
      </c>
      <c r="G13" s="354"/>
      <c r="H13" s="354"/>
      <c r="I13" s="354"/>
      <c r="J13" s="355"/>
    </row>
    <row r="14" spans="2:10" x14ac:dyDescent="0.25">
      <c r="B14" s="41" t="s">
        <v>110</v>
      </c>
      <c r="C14" s="44">
        <v>6.4810000000000006E-2</v>
      </c>
      <c r="E14" s="352"/>
      <c r="F14" s="356"/>
      <c r="G14" s="357"/>
      <c r="H14" s="357"/>
      <c r="I14" s="357"/>
      <c r="J14" s="358"/>
    </row>
    <row r="15" spans="2:10" x14ac:dyDescent="0.25">
      <c r="B15" s="41" t="s">
        <v>111</v>
      </c>
      <c r="C15" s="45">
        <v>5.0000000000000001E-3</v>
      </c>
      <c r="E15" s="352"/>
      <c r="F15" s="356"/>
      <c r="G15" s="357"/>
      <c r="H15" s="357"/>
      <c r="I15" s="357"/>
      <c r="J15" s="358"/>
    </row>
    <row r="16" spans="2:10" x14ac:dyDescent="0.25">
      <c r="B16" s="41" t="s">
        <v>392</v>
      </c>
      <c r="C16" s="46">
        <v>5.0000000000000001E-3</v>
      </c>
      <c r="E16" s="352"/>
      <c r="F16" s="356"/>
      <c r="G16" s="357"/>
      <c r="H16" s="357"/>
      <c r="I16" s="357"/>
      <c r="J16" s="358"/>
    </row>
    <row r="17" spans="2:10" x14ac:dyDescent="0.25">
      <c r="B17" s="41" t="s">
        <v>112</v>
      </c>
      <c r="C17" s="46">
        <v>1.5E-3</v>
      </c>
      <c r="E17" s="352"/>
      <c r="F17" s="356"/>
      <c r="G17" s="357"/>
      <c r="H17" s="357"/>
      <c r="I17" s="357"/>
      <c r="J17" s="358"/>
    </row>
    <row r="18" spans="2:10" x14ac:dyDescent="0.25">
      <c r="B18" s="41" t="s">
        <v>113</v>
      </c>
      <c r="C18" s="198">
        <f>Cost_BuildUp!H19</f>
        <v>5.9841140489988225E-2</v>
      </c>
      <c r="E18" s="352"/>
      <c r="F18" s="356"/>
      <c r="G18" s="357"/>
      <c r="H18" s="357"/>
      <c r="I18" s="357"/>
      <c r="J18" s="358"/>
    </row>
    <row r="19" spans="2:10" x14ac:dyDescent="0.25">
      <c r="B19" s="196" t="s">
        <v>402</v>
      </c>
      <c r="C19" s="47">
        <v>0.03</v>
      </c>
      <c r="E19" s="352"/>
      <c r="F19" s="356"/>
      <c r="G19" s="357"/>
      <c r="H19" s="357"/>
      <c r="I19" s="357"/>
      <c r="J19" s="358"/>
    </row>
    <row r="20" spans="2:10" x14ac:dyDescent="0.25">
      <c r="B20" s="197" t="s">
        <v>403</v>
      </c>
      <c r="C20" s="47">
        <v>0.04</v>
      </c>
      <c r="E20" s="352"/>
      <c r="F20" s="356"/>
      <c r="G20" s="357"/>
      <c r="H20" s="357"/>
      <c r="I20" s="357"/>
      <c r="J20" s="358"/>
    </row>
    <row r="21" spans="2:10" x14ac:dyDescent="0.25">
      <c r="B21" s="41" t="s">
        <v>114</v>
      </c>
      <c r="C21" s="199">
        <f>'Comps Valuation'!E37</f>
        <v>16.309293984088868</v>
      </c>
      <c r="E21" s="352"/>
      <c r="F21" s="356"/>
      <c r="G21" s="357"/>
      <c r="H21" s="357"/>
      <c r="I21" s="357"/>
      <c r="J21" s="358"/>
    </row>
    <row r="22" spans="2:10" x14ac:dyDescent="0.25">
      <c r="B22" s="41" t="s">
        <v>115</v>
      </c>
      <c r="C22" s="48">
        <v>0.06</v>
      </c>
      <c r="E22" s="352"/>
      <c r="F22" s="356"/>
      <c r="G22" s="357"/>
      <c r="H22" s="357"/>
      <c r="I22" s="357"/>
      <c r="J22" s="358"/>
    </row>
    <row r="23" spans="2:10" x14ac:dyDescent="0.25">
      <c r="B23" s="41" t="s">
        <v>116</v>
      </c>
      <c r="C23" s="200">
        <f>DCF!C43</f>
        <v>0.14212865499323657</v>
      </c>
      <c r="E23" s="352"/>
      <c r="F23" s="356"/>
      <c r="G23" s="357"/>
      <c r="H23" s="357"/>
      <c r="I23" s="357"/>
      <c r="J23" s="358"/>
    </row>
    <row r="24" spans="2:10" x14ac:dyDescent="0.25">
      <c r="B24" s="41" t="s">
        <v>267</v>
      </c>
      <c r="C24" s="49">
        <f>'Comps Data'!D15</f>
        <v>31.9</v>
      </c>
      <c r="E24" s="352"/>
      <c r="F24" s="356"/>
      <c r="G24" s="357"/>
      <c r="H24" s="357"/>
      <c r="I24" s="357"/>
      <c r="J24" s="358"/>
    </row>
    <row r="25" spans="2:10" ht="15" customHeight="1" x14ac:dyDescent="0.25">
      <c r="B25" s="41" t="s">
        <v>117</v>
      </c>
      <c r="C25" s="50">
        <f>'Comps Data'!C15</f>
        <v>3810</v>
      </c>
      <c r="E25" s="329" t="s">
        <v>296</v>
      </c>
      <c r="F25" s="332" t="s">
        <v>297</v>
      </c>
      <c r="G25" s="332"/>
      <c r="H25" s="332"/>
      <c r="I25" s="332"/>
      <c r="J25" s="333"/>
    </row>
    <row r="26" spans="2:10" ht="15" customHeight="1" thickBot="1" x14ac:dyDescent="0.3">
      <c r="B26" s="51" t="s">
        <v>118</v>
      </c>
      <c r="C26" s="52">
        <f>C25*C24</f>
        <v>121539</v>
      </c>
      <c r="E26" s="330"/>
      <c r="F26" s="334"/>
      <c r="G26" s="334"/>
      <c r="H26" s="334"/>
      <c r="I26" s="334"/>
      <c r="J26" s="335"/>
    </row>
    <row r="27" spans="2:10" ht="15" customHeight="1" thickBot="1" x14ac:dyDescent="0.3">
      <c r="B27" s="175"/>
      <c r="C27" s="202"/>
      <c r="E27" s="330"/>
      <c r="F27" s="334"/>
      <c r="G27" s="334"/>
      <c r="H27" s="334"/>
      <c r="I27" s="334"/>
      <c r="J27" s="335"/>
    </row>
    <row r="28" spans="2:10" ht="15" customHeight="1" thickBot="1" x14ac:dyDescent="0.3">
      <c r="B28" s="340" t="s">
        <v>119</v>
      </c>
      <c r="C28" s="341"/>
      <c r="E28" s="330"/>
      <c r="F28" s="334"/>
      <c r="G28" s="334"/>
      <c r="H28" s="334"/>
      <c r="I28" s="334"/>
      <c r="J28" s="335"/>
    </row>
    <row r="29" spans="2:10" ht="15" customHeight="1" x14ac:dyDescent="0.25">
      <c r="B29" s="53" t="s">
        <v>120</v>
      </c>
      <c r="C29" s="54" t="s">
        <v>121</v>
      </c>
      <c r="E29" s="330"/>
      <c r="F29" s="334"/>
      <c r="G29" s="334"/>
      <c r="H29" s="334"/>
      <c r="I29" s="334"/>
      <c r="J29" s="335"/>
    </row>
    <row r="30" spans="2:10" ht="15" customHeight="1" x14ac:dyDescent="0.25">
      <c r="B30" s="55" t="s">
        <v>122</v>
      </c>
      <c r="C30" s="56" t="s">
        <v>123</v>
      </c>
      <c r="E30" s="330"/>
      <c r="F30" s="334"/>
      <c r="G30" s="334"/>
      <c r="H30" s="334"/>
      <c r="I30" s="334"/>
      <c r="J30" s="335"/>
    </row>
    <row r="31" spans="2:10" ht="15" customHeight="1" thickBot="1" x14ac:dyDescent="0.3">
      <c r="B31" s="57" t="s">
        <v>124</v>
      </c>
      <c r="C31" s="58" t="s">
        <v>125</v>
      </c>
      <c r="E31" s="331"/>
      <c r="F31" s="336"/>
      <c r="G31" s="336"/>
      <c r="H31" s="336"/>
      <c r="I31" s="336"/>
      <c r="J31" s="337"/>
    </row>
    <row r="33" spans="1:20" s="1" customFormat="1" x14ac:dyDescent="0.25">
      <c r="A33"/>
      <c r="B33" s="223" t="s">
        <v>298</v>
      </c>
      <c r="C33" s="223" t="s">
        <v>299</v>
      </c>
      <c r="D33" s="223"/>
      <c r="E33" s="223" t="s">
        <v>300</v>
      </c>
      <c r="F33" s="223" t="s">
        <v>106</v>
      </c>
      <c r="G33" s="223"/>
      <c r="H33" s="223"/>
      <c r="I33" s="223"/>
      <c r="J33" s="223"/>
      <c r="K33" s="223"/>
      <c r="L33" s="223"/>
      <c r="M33" s="223"/>
      <c r="N33" s="223"/>
      <c r="O33" s="223"/>
      <c r="P33" s="223"/>
      <c r="Q33" s="223"/>
      <c r="R33" s="223"/>
      <c r="S33" s="223"/>
      <c r="T33" s="223"/>
    </row>
    <row r="34" spans="1:20" ht="15.75" thickBot="1" x14ac:dyDescent="0.3">
      <c r="E34" s="102"/>
    </row>
    <row r="35" spans="1:20" x14ac:dyDescent="0.25">
      <c r="B35" s="359" t="s">
        <v>308</v>
      </c>
      <c r="C35" s="323" t="s">
        <v>309</v>
      </c>
      <c r="D35" s="363" t="s">
        <v>362</v>
      </c>
      <c r="E35" s="364"/>
      <c r="F35" s="369" t="s">
        <v>310</v>
      </c>
      <c r="G35" s="325"/>
      <c r="H35" s="325"/>
      <c r="I35" s="325"/>
      <c r="J35" s="325"/>
      <c r="K35" s="325"/>
      <c r="L35" s="325"/>
      <c r="M35" s="325"/>
      <c r="N35" s="325"/>
      <c r="O35" s="325"/>
      <c r="P35" s="325"/>
      <c r="Q35" s="325"/>
      <c r="R35" s="325"/>
      <c r="S35" s="325"/>
      <c r="T35" s="326"/>
    </row>
    <row r="36" spans="1:20" x14ac:dyDescent="0.25">
      <c r="B36" s="360"/>
      <c r="C36" s="362"/>
      <c r="D36" s="365"/>
      <c r="E36" s="366"/>
      <c r="F36" s="370"/>
      <c r="G36" s="371"/>
      <c r="H36" s="371"/>
      <c r="I36" s="371"/>
      <c r="J36" s="371"/>
      <c r="K36" s="371"/>
      <c r="L36" s="371"/>
      <c r="M36" s="371"/>
      <c r="N36" s="371"/>
      <c r="O36" s="371"/>
      <c r="P36" s="371"/>
      <c r="Q36" s="371"/>
      <c r="R36" s="371"/>
      <c r="S36" s="371"/>
      <c r="T36" s="372"/>
    </row>
    <row r="37" spans="1:20" ht="15.75" thickBot="1" x14ac:dyDescent="0.3">
      <c r="B37" s="361"/>
      <c r="C37" s="324"/>
      <c r="D37" s="367"/>
      <c r="E37" s="368"/>
      <c r="F37" s="373"/>
      <c r="G37" s="327"/>
      <c r="H37" s="327"/>
      <c r="I37" s="327"/>
      <c r="J37" s="327"/>
      <c r="K37" s="327"/>
      <c r="L37" s="327"/>
      <c r="M37" s="327"/>
      <c r="N37" s="327"/>
      <c r="O37" s="327"/>
      <c r="P37" s="327"/>
      <c r="Q37" s="327"/>
      <c r="R37" s="327"/>
      <c r="S37" s="327"/>
      <c r="T37" s="328"/>
    </row>
    <row r="38" spans="1:20" x14ac:dyDescent="0.25">
      <c r="B38" s="359" t="s">
        <v>13</v>
      </c>
      <c r="C38" s="323" t="s">
        <v>309</v>
      </c>
      <c r="D38" s="363" t="s">
        <v>364</v>
      </c>
      <c r="E38" s="364"/>
      <c r="F38" s="374" t="s">
        <v>388</v>
      </c>
      <c r="G38" s="375"/>
      <c r="H38" s="375"/>
      <c r="I38" s="375"/>
      <c r="J38" s="375"/>
      <c r="K38" s="375"/>
      <c r="L38" s="375"/>
      <c r="M38" s="375"/>
      <c r="N38" s="375"/>
      <c r="O38" s="375"/>
      <c r="P38" s="375"/>
      <c r="Q38" s="375"/>
      <c r="R38" s="375"/>
      <c r="S38" s="375"/>
      <c r="T38" s="376"/>
    </row>
    <row r="39" spans="1:20" x14ac:dyDescent="0.25">
      <c r="B39" s="360"/>
      <c r="C39" s="362"/>
      <c r="D39" s="365"/>
      <c r="E39" s="366"/>
      <c r="F39" s="377"/>
      <c r="G39" s="378"/>
      <c r="H39" s="378"/>
      <c r="I39" s="378"/>
      <c r="J39" s="378"/>
      <c r="K39" s="378"/>
      <c r="L39" s="378"/>
      <c r="M39" s="378"/>
      <c r="N39" s="378"/>
      <c r="O39" s="378"/>
      <c r="P39" s="378"/>
      <c r="Q39" s="378"/>
      <c r="R39" s="378"/>
      <c r="S39" s="378"/>
      <c r="T39" s="379"/>
    </row>
    <row r="40" spans="1:20" ht="15.75" thickBot="1" x14ac:dyDescent="0.3">
      <c r="B40" s="361"/>
      <c r="C40" s="324"/>
      <c r="D40" s="367"/>
      <c r="E40" s="368"/>
      <c r="F40" s="380"/>
      <c r="G40" s="381"/>
      <c r="H40" s="381"/>
      <c r="I40" s="381"/>
      <c r="J40" s="381"/>
      <c r="K40" s="381"/>
      <c r="L40" s="381"/>
      <c r="M40" s="381"/>
      <c r="N40" s="381"/>
      <c r="O40" s="381"/>
      <c r="P40" s="381"/>
      <c r="Q40" s="381"/>
      <c r="R40" s="381"/>
      <c r="S40" s="381"/>
      <c r="T40" s="382"/>
    </row>
    <row r="41" spans="1:20" x14ac:dyDescent="0.25">
      <c r="B41" s="321" t="s">
        <v>139</v>
      </c>
      <c r="C41" s="323" t="s">
        <v>309</v>
      </c>
      <c r="D41" s="323" t="s">
        <v>365</v>
      </c>
      <c r="E41" s="323"/>
      <c r="F41" s="383" t="s">
        <v>363</v>
      </c>
      <c r="G41" s="383"/>
      <c r="H41" s="383"/>
      <c r="I41" s="383"/>
      <c r="J41" s="383"/>
      <c r="K41" s="383"/>
      <c r="L41" s="383"/>
      <c r="M41" s="383"/>
      <c r="N41" s="383"/>
      <c r="O41" s="383"/>
      <c r="P41" s="383"/>
      <c r="Q41" s="383"/>
      <c r="R41" s="383"/>
      <c r="S41" s="383"/>
      <c r="T41" s="384"/>
    </row>
    <row r="42" spans="1:20" ht="15.75" thickBot="1" x14ac:dyDescent="0.3">
      <c r="B42" s="322"/>
      <c r="C42" s="324"/>
      <c r="D42" s="324"/>
      <c r="E42" s="324"/>
      <c r="F42" s="385"/>
      <c r="G42" s="385"/>
      <c r="H42" s="385"/>
      <c r="I42" s="385"/>
      <c r="J42" s="385"/>
      <c r="K42" s="385"/>
      <c r="L42" s="385"/>
      <c r="M42" s="385"/>
      <c r="N42" s="385"/>
      <c r="O42" s="385"/>
      <c r="P42" s="385"/>
      <c r="Q42" s="385"/>
      <c r="R42" s="385"/>
      <c r="S42" s="385"/>
      <c r="T42" s="386"/>
    </row>
    <row r="43" spans="1:20" x14ac:dyDescent="0.25">
      <c r="B43" s="321" t="s">
        <v>29</v>
      </c>
      <c r="C43" s="323" t="s">
        <v>146</v>
      </c>
      <c r="D43" s="323" t="s">
        <v>374</v>
      </c>
      <c r="E43" s="323"/>
      <c r="F43" s="383" t="s">
        <v>424</v>
      </c>
      <c r="G43" s="383"/>
      <c r="H43" s="383"/>
      <c r="I43" s="383"/>
      <c r="J43" s="383"/>
      <c r="K43" s="383"/>
      <c r="L43" s="383"/>
      <c r="M43" s="383"/>
      <c r="N43" s="383"/>
      <c r="O43" s="383"/>
      <c r="P43" s="383"/>
      <c r="Q43" s="383"/>
      <c r="R43" s="383"/>
      <c r="S43" s="383"/>
      <c r="T43" s="384"/>
    </row>
    <row r="44" spans="1:20" ht="15.75" thickBot="1" x14ac:dyDescent="0.3">
      <c r="B44" s="322"/>
      <c r="C44" s="324"/>
      <c r="D44" s="324"/>
      <c r="E44" s="324"/>
      <c r="F44" s="385"/>
      <c r="G44" s="385"/>
      <c r="H44" s="385"/>
      <c r="I44" s="385"/>
      <c r="J44" s="385"/>
      <c r="K44" s="385"/>
      <c r="L44" s="385"/>
      <c r="M44" s="385"/>
      <c r="N44" s="385"/>
      <c r="O44" s="385"/>
      <c r="P44" s="385"/>
      <c r="Q44" s="385"/>
      <c r="R44" s="385"/>
      <c r="S44" s="385"/>
      <c r="T44" s="386"/>
    </row>
    <row r="45" spans="1:20" x14ac:dyDescent="0.25">
      <c r="B45" s="359" t="s">
        <v>58</v>
      </c>
      <c r="C45" s="323" t="s">
        <v>146</v>
      </c>
      <c r="D45" s="363" t="s">
        <v>375</v>
      </c>
      <c r="E45" s="364"/>
      <c r="F45" s="387" t="s">
        <v>425</v>
      </c>
      <c r="G45" s="388"/>
      <c r="H45" s="388"/>
      <c r="I45" s="388"/>
      <c r="J45" s="388"/>
      <c r="K45" s="388"/>
      <c r="L45" s="388"/>
      <c r="M45" s="388"/>
      <c r="N45" s="388"/>
      <c r="O45" s="388"/>
      <c r="P45" s="388"/>
      <c r="Q45" s="388"/>
      <c r="R45" s="388"/>
      <c r="S45" s="388"/>
      <c r="T45" s="389"/>
    </row>
    <row r="46" spans="1:20" x14ac:dyDescent="0.25">
      <c r="B46" s="360"/>
      <c r="C46" s="362"/>
      <c r="D46" s="365"/>
      <c r="E46" s="366"/>
      <c r="F46" s="390"/>
      <c r="G46" s="391"/>
      <c r="H46" s="391"/>
      <c r="I46" s="391"/>
      <c r="J46" s="391"/>
      <c r="K46" s="391"/>
      <c r="L46" s="391"/>
      <c r="M46" s="391"/>
      <c r="N46" s="391"/>
      <c r="O46" s="391"/>
      <c r="P46" s="391"/>
      <c r="Q46" s="391"/>
      <c r="R46" s="391"/>
      <c r="S46" s="391"/>
      <c r="T46" s="392"/>
    </row>
    <row r="47" spans="1:20" ht="15.75" thickBot="1" x14ac:dyDescent="0.3">
      <c r="B47" s="361"/>
      <c r="C47" s="324"/>
      <c r="D47" s="367"/>
      <c r="E47" s="368"/>
      <c r="F47" s="393"/>
      <c r="G47" s="394"/>
      <c r="H47" s="394"/>
      <c r="I47" s="394"/>
      <c r="J47" s="394"/>
      <c r="K47" s="394"/>
      <c r="L47" s="394"/>
      <c r="M47" s="394"/>
      <c r="N47" s="394"/>
      <c r="O47" s="394"/>
      <c r="P47" s="394"/>
      <c r="Q47" s="394"/>
      <c r="R47" s="394"/>
      <c r="S47" s="394"/>
      <c r="T47" s="395"/>
    </row>
    <row r="48" spans="1:20" x14ac:dyDescent="0.25">
      <c r="B48" s="359" t="s">
        <v>368</v>
      </c>
      <c r="C48" s="323" t="s">
        <v>311</v>
      </c>
      <c r="D48" s="363" t="s">
        <v>312</v>
      </c>
      <c r="E48" s="364"/>
      <c r="F48" s="369" t="s">
        <v>369</v>
      </c>
      <c r="G48" s="325"/>
      <c r="H48" s="325"/>
      <c r="I48" s="325"/>
      <c r="J48" s="325"/>
      <c r="K48" s="325"/>
      <c r="L48" s="325"/>
      <c r="M48" s="325"/>
      <c r="N48" s="325"/>
      <c r="O48" s="325"/>
      <c r="P48" s="325"/>
      <c r="Q48" s="325"/>
      <c r="R48" s="325"/>
      <c r="S48" s="325"/>
      <c r="T48" s="326"/>
    </row>
    <row r="49" spans="2:20" x14ac:dyDescent="0.25">
      <c r="B49" s="360"/>
      <c r="C49" s="362"/>
      <c r="D49" s="365"/>
      <c r="E49" s="366"/>
      <c r="F49" s="370"/>
      <c r="G49" s="371"/>
      <c r="H49" s="371"/>
      <c r="I49" s="371"/>
      <c r="J49" s="371"/>
      <c r="K49" s="371"/>
      <c r="L49" s="371"/>
      <c r="M49" s="371"/>
      <c r="N49" s="371"/>
      <c r="O49" s="371"/>
      <c r="P49" s="371"/>
      <c r="Q49" s="371"/>
      <c r="R49" s="371"/>
      <c r="S49" s="371"/>
      <c r="T49" s="372"/>
    </row>
    <row r="50" spans="2:20" x14ac:dyDescent="0.25">
      <c r="B50" s="360"/>
      <c r="C50" s="362"/>
      <c r="D50" s="365"/>
      <c r="E50" s="366"/>
      <c r="F50" s="370"/>
      <c r="G50" s="371"/>
      <c r="H50" s="371"/>
      <c r="I50" s="371"/>
      <c r="J50" s="371"/>
      <c r="K50" s="371"/>
      <c r="L50" s="371"/>
      <c r="M50" s="371"/>
      <c r="N50" s="371"/>
      <c r="O50" s="371"/>
      <c r="P50" s="371"/>
      <c r="Q50" s="371"/>
      <c r="R50" s="371"/>
      <c r="S50" s="371"/>
      <c r="T50" s="372"/>
    </row>
    <row r="51" spans="2:20" ht="15.75" thickBot="1" x14ac:dyDescent="0.3">
      <c r="B51" s="361"/>
      <c r="C51" s="324"/>
      <c r="D51" s="367"/>
      <c r="E51" s="368"/>
      <c r="F51" s="373"/>
      <c r="G51" s="327"/>
      <c r="H51" s="327"/>
      <c r="I51" s="327"/>
      <c r="J51" s="327"/>
      <c r="K51" s="327"/>
      <c r="L51" s="327"/>
      <c r="M51" s="327"/>
      <c r="N51" s="327"/>
      <c r="O51" s="327"/>
      <c r="P51" s="327"/>
      <c r="Q51" s="327"/>
      <c r="R51" s="327"/>
      <c r="S51" s="327"/>
      <c r="T51" s="328"/>
    </row>
    <row r="52" spans="2:20" x14ac:dyDescent="0.25">
      <c r="B52" s="359" t="s">
        <v>367</v>
      </c>
      <c r="C52" s="323" t="s">
        <v>311</v>
      </c>
      <c r="D52" s="363" t="s">
        <v>313</v>
      </c>
      <c r="E52" s="364"/>
      <c r="F52" s="369" t="s">
        <v>366</v>
      </c>
      <c r="G52" s="325"/>
      <c r="H52" s="325"/>
      <c r="I52" s="325"/>
      <c r="J52" s="325"/>
      <c r="K52" s="325"/>
      <c r="L52" s="325"/>
      <c r="M52" s="325"/>
      <c r="N52" s="325"/>
      <c r="O52" s="325"/>
      <c r="P52" s="325"/>
      <c r="Q52" s="325"/>
      <c r="R52" s="325"/>
      <c r="S52" s="325"/>
      <c r="T52" s="326"/>
    </row>
    <row r="53" spans="2:20" x14ac:dyDescent="0.25">
      <c r="B53" s="360"/>
      <c r="C53" s="362"/>
      <c r="D53" s="365"/>
      <c r="E53" s="366"/>
      <c r="F53" s="370"/>
      <c r="G53" s="371"/>
      <c r="H53" s="371"/>
      <c r="I53" s="371"/>
      <c r="J53" s="371"/>
      <c r="K53" s="371"/>
      <c r="L53" s="371"/>
      <c r="M53" s="371"/>
      <c r="N53" s="371"/>
      <c r="O53" s="371"/>
      <c r="P53" s="371"/>
      <c r="Q53" s="371"/>
      <c r="R53" s="371"/>
      <c r="S53" s="371"/>
      <c r="T53" s="372"/>
    </row>
    <row r="54" spans="2:20" ht="15.75" thickBot="1" x14ac:dyDescent="0.3">
      <c r="B54" s="361"/>
      <c r="C54" s="324"/>
      <c r="D54" s="367"/>
      <c r="E54" s="368"/>
      <c r="F54" s="373"/>
      <c r="G54" s="327"/>
      <c r="H54" s="327"/>
      <c r="I54" s="327"/>
      <c r="J54" s="327"/>
      <c r="K54" s="327"/>
      <c r="L54" s="327"/>
      <c r="M54" s="327"/>
      <c r="N54" s="327"/>
      <c r="O54" s="327"/>
      <c r="P54" s="327"/>
      <c r="Q54" s="327"/>
      <c r="R54" s="327"/>
      <c r="S54" s="327"/>
      <c r="T54" s="328"/>
    </row>
    <row r="55" spans="2:20" x14ac:dyDescent="0.25">
      <c r="B55" s="321" t="s">
        <v>115</v>
      </c>
      <c r="C55" s="323" t="s">
        <v>106</v>
      </c>
      <c r="D55" s="323" t="s">
        <v>314</v>
      </c>
      <c r="E55" s="323"/>
      <c r="F55" s="325" t="s">
        <v>315</v>
      </c>
      <c r="G55" s="325"/>
      <c r="H55" s="325"/>
      <c r="I55" s="325"/>
      <c r="J55" s="325"/>
      <c r="K55" s="325"/>
      <c r="L55" s="325"/>
      <c r="M55" s="325"/>
      <c r="N55" s="325"/>
      <c r="O55" s="325"/>
      <c r="P55" s="325"/>
      <c r="Q55" s="325"/>
      <c r="R55" s="325"/>
      <c r="S55" s="325"/>
      <c r="T55" s="326"/>
    </row>
    <row r="56" spans="2:20" ht="15.75" thickBot="1" x14ac:dyDescent="0.3">
      <c r="B56" s="322"/>
      <c r="C56" s="324"/>
      <c r="D56" s="324"/>
      <c r="E56" s="324"/>
      <c r="F56" s="327"/>
      <c r="G56" s="327"/>
      <c r="H56" s="327"/>
      <c r="I56" s="327"/>
      <c r="J56" s="327"/>
      <c r="K56" s="327"/>
      <c r="L56" s="327"/>
      <c r="M56" s="327"/>
      <c r="N56" s="327"/>
      <c r="O56" s="327"/>
      <c r="P56" s="327"/>
      <c r="Q56" s="327"/>
      <c r="R56" s="327"/>
      <c r="S56" s="327"/>
      <c r="T56" s="328"/>
    </row>
    <row r="57" spans="2:20" x14ac:dyDescent="0.25">
      <c r="B57" s="321" t="s">
        <v>316</v>
      </c>
      <c r="C57" s="323" t="s">
        <v>311</v>
      </c>
      <c r="D57" s="323" t="s">
        <v>317</v>
      </c>
      <c r="E57" s="323"/>
      <c r="F57" s="325" t="s">
        <v>393</v>
      </c>
      <c r="G57" s="325"/>
      <c r="H57" s="325"/>
      <c r="I57" s="325"/>
      <c r="J57" s="325"/>
      <c r="K57" s="325"/>
      <c r="L57" s="325"/>
      <c r="M57" s="325"/>
      <c r="N57" s="325"/>
      <c r="O57" s="325"/>
      <c r="P57" s="325"/>
      <c r="Q57" s="325"/>
      <c r="R57" s="325"/>
      <c r="S57" s="325"/>
      <c r="T57" s="326"/>
    </row>
    <row r="58" spans="2:20" ht="15.75" thickBot="1" x14ac:dyDescent="0.3">
      <c r="B58" s="322"/>
      <c r="C58" s="324"/>
      <c r="D58" s="324"/>
      <c r="E58" s="324"/>
      <c r="F58" s="327"/>
      <c r="G58" s="327"/>
      <c r="H58" s="327"/>
      <c r="I58" s="327"/>
      <c r="J58" s="327"/>
      <c r="K58" s="327"/>
      <c r="L58" s="327"/>
      <c r="M58" s="327"/>
      <c r="N58" s="327"/>
      <c r="O58" s="327"/>
      <c r="P58" s="327"/>
      <c r="Q58" s="327"/>
      <c r="R58" s="327"/>
      <c r="S58" s="327"/>
      <c r="T58" s="328"/>
    </row>
    <row r="59" spans="2:20" x14ac:dyDescent="0.25">
      <c r="B59" s="396" t="s">
        <v>376</v>
      </c>
      <c r="C59" s="323" t="s">
        <v>378</v>
      </c>
      <c r="D59" s="363" t="s">
        <v>379</v>
      </c>
      <c r="E59" s="364"/>
      <c r="F59" s="369" t="s">
        <v>380</v>
      </c>
      <c r="G59" s="325"/>
      <c r="H59" s="325"/>
      <c r="I59" s="325"/>
      <c r="J59" s="325"/>
      <c r="K59" s="325"/>
      <c r="L59" s="325"/>
      <c r="M59" s="325"/>
      <c r="N59" s="325"/>
      <c r="O59" s="325"/>
      <c r="P59" s="325"/>
      <c r="Q59" s="325"/>
      <c r="R59" s="325"/>
      <c r="S59" s="325"/>
      <c r="T59" s="326"/>
    </row>
    <row r="60" spans="2:20" ht="15.75" thickBot="1" x14ac:dyDescent="0.3">
      <c r="B60" s="397"/>
      <c r="C60" s="324"/>
      <c r="D60" s="367"/>
      <c r="E60" s="368"/>
      <c r="F60" s="373"/>
      <c r="G60" s="327"/>
      <c r="H60" s="327"/>
      <c r="I60" s="327"/>
      <c r="J60" s="327"/>
      <c r="K60" s="327"/>
      <c r="L60" s="327"/>
      <c r="M60" s="327"/>
      <c r="N60" s="327"/>
      <c r="O60" s="327"/>
      <c r="P60" s="327"/>
      <c r="Q60" s="327"/>
      <c r="R60" s="327"/>
      <c r="S60" s="327"/>
      <c r="T60" s="328"/>
    </row>
    <row r="61" spans="2:20" x14ac:dyDescent="0.25">
      <c r="B61" s="396" t="s">
        <v>389</v>
      </c>
      <c r="C61" s="323" t="s">
        <v>378</v>
      </c>
      <c r="D61" s="363" t="s">
        <v>379</v>
      </c>
      <c r="E61" s="364"/>
      <c r="F61" s="369" t="s">
        <v>390</v>
      </c>
      <c r="G61" s="325"/>
      <c r="H61" s="325"/>
      <c r="I61" s="325"/>
      <c r="J61" s="325"/>
      <c r="K61" s="325"/>
      <c r="L61" s="325"/>
      <c r="M61" s="325"/>
      <c r="N61" s="325"/>
      <c r="O61" s="325"/>
      <c r="P61" s="325"/>
      <c r="Q61" s="325"/>
      <c r="R61" s="325"/>
      <c r="S61" s="325"/>
      <c r="T61" s="326"/>
    </row>
    <row r="62" spans="2:20" ht="15.75" thickBot="1" x14ac:dyDescent="0.3">
      <c r="B62" s="397"/>
      <c r="C62" s="324"/>
      <c r="D62" s="367"/>
      <c r="E62" s="368"/>
      <c r="F62" s="373"/>
      <c r="G62" s="327"/>
      <c r="H62" s="327"/>
      <c r="I62" s="327"/>
      <c r="J62" s="327"/>
      <c r="K62" s="327"/>
      <c r="L62" s="327"/>
      <c r="M62" s="327"/>
      <c r="N62" s="327"/>
      <c r="O62" s="327"/>
      <c r="P62" s="327"/>
      <c r="Q62" s="327"/>
      <c r="R62" s="327"/>
      <c r="S62" s="327"/>
      <c r="T62" s="328"/>
    </row>
    <row r="63" spans="2:20" x14ac:dyDescent="0.25">
      <c r="B63" s="396" t="s">
        <v>46</v>
      </c>
      <c r="C63" s="323" t="s">
        <v>378</v>
      </c>
      <c r="D63" s="363" t="s">
        <v>379</v>
      </c>
      <c r="E63" s="364"/>
      <c r="F63" s="369" t="s">
        <v>381</v>
      </c>
      <c r="G63" s="325"/>
      <c r="H63" s="325"/>
      <c r="I63" s="325"/>
      <c r="J63" s="325"/>
      <c r="K63" s="325"/>
      <c r="L63" s="325"/>
      <c r="M63" s="325"/>
      <c r="N63" s="325"/>
      <c r="O63" s="325"/>
      <c r="P63" s="325"/>
      <c r="Q63" s="325"/>
      <c r="R63" s="325"/>
      <c r="S63" s="325"/>
      <c r="T63" s="326"/>
    </row>
    <row r="64" spans="2:20" ht="15.75" thickBot="1" x14ac:dyDescent="0.3">
      <c r="B64" s="397"/>
      <c r="C64" s="324"/>
      <c r="D64" s="367"/>
      <c r="E64" s="368"/>
      <c r="F64" s="373"/>
      <c r="G64" s="327"/>
      <c r="H64" s="327"/>
      <c r="I64" s="327"/>
      <c r="J64" s="327"/>
      <c r="K64" s="327"/>
      <c r="L64" s="327"/>
      <c r="M64" s="327"/>
      <c r="N64" s="327"/>
      <c r="O64" s="327"/>
      <c r="P64" s="327"/>
      <c r="Q64" s="327"/>
      <c r="R64" s="327"/>
      <c r="S64" s="327"/>
      <c r="T64" s="328"/>
    </row>
    <row r="65" spans="2:20" x14ac:dyDescent="0.25">
      <c r="B65" s="396" t="s">
        <v>377</v>
      </c>
      <c r="C65" s="323" t="s">
        <v>378</v>
      </c>
      <c r="D65" s="363" t="s">
        <v>379</v>
      </c>
      <c r="E65" s="364"/>
      <c r="F65" s="369" t="s">
        <v>382</v>
      </c>
      <c r="G65" s="325"/>
      <c r="H65" s="325"/>
      <c r="I65" s="325"/>
      <c r="J65" s="325"/>
      <c r="K65" s="325"/>
      <c r="L65" s="325"/>
      <c r="M65" s="325"/>
      <c r="N65" s="325"/>
      <c r="O65" s="325"/>
      <c r="P65" s="325"/>
      <c r="Q65" s="325"/>
      <c r="R65" s="325"/>
      <c r="S65" s="325"/>
      <c r="T65" s="326"/>
    </row>
    <row r="66" spans="2:20" ht="15.75" thickBot="1" x14ac:dyDescent="0.3">
      <c r="B66" s="397"/>
      <c r="C66" s="324"/>
      <c r="D66" s="367"/>
      <c r="E66" s="368"/>
      <c r="F66" s="373"/>
      <c r="G66" s="327"/>
      <c r="H66" s="327"/>
      <c r="I66" s="327"/>
      <c r="J66" s="327"/>
      <c r="K66" s="327"/>
      <c r="L66" s="327"/>
      <c r="M66" s="327"/>
      <c r="N66" s="327"/>
      <c r="O66" s="327"/>
      <c r="P66" s="327"/>
      <c r="Q66" s="327"/>
      <c r="R66" s="327"/>
      <c r="S66" s="327"/>
      <c r="T66" s="328"/>
    </row>
    <row r="67" spans="2:20" ht="28.5" customHeight="1" thickBot="1" x14ac:dyDescent="0.3">
      <c r="B67" s="292" t="s">
        <v>34</v>
      </c>
      <c r="C67" s="291" t="s">
        <v>378</v>
      </c>
      <c r="D67" s="403" t="s">
        <v>379</v>
      </c>
      <c r="E67" s="404"/>
      <c r="F67" s="400" t="s">
        <v>391</v>
      </c>
      <c r="G67" s="401"/>
      <c r="H67" s="401"/>
      <c r="I67" s="401"/>
      <c r="J67" s="401"/>
      <c r="K67" s="401"/>
      <c r="L67" s="401"/>
      <c r="M67" s="401"/>
      <c r="N67" s="401"/>
      <c r="O67" s="401"/>
      <c r="P67" s="401"/>
      <c r="Q67" s="401"/>
      <c r="R67" s="401"/>
      <c r="S67" s="401"/>
      <c r="T67" s="402"/>
    </row>
    <row r="68" spans="2:20" ht="15.75" thickBot="1" x14ac:dyDescent="0.3">
      <c r="B68" s="274" t="s">
        <v>319</v>
      </c>
      <c r="C68" s="273" t="s">
        <v>106</v>
      </c>
      <c r="D68" s="398" t="s">
        <v>320</v>
      </c>
      <c r="E68" s="399"/>
      <c r="F68" s="400" t="s">
        <v>321</v>
      </c>
      <c r="G68" s="401"/>
      <c r="H68" s="401"/>
      <c r="I68" s="401"/>
      <c r="J68" s="401"/>
      <c r="K68" s="401"/>
      <c r="L68" s="401"/>
      <c r="M68" s="401"/>
      <c r="N68" s="401"/>
      <c r="O68" s="401"/>
      <c r="P68" s="401"/>
      <c r="Q68" s="401"/>
      <c r="R68" s="401"/>
      <c r="S68" s="401"/>
      <c r="T68" s="402"/>
    </row>
    <row r="69" spans="2:20" ht="15.75" thickBot="1" x14ac:dyDescent="0.3">
      <c r="B69" s="275" t="s">
        <v>109</v>
      </c>
      <c r="C69" s="273" t="s">
        <v>106</v>
      </c>
      <c r="D69" s="398" t="s">
        <v>322</v>
      </c>
      <c r="E69" s="399"/>
      <c r="F69" s="400" t="s">
        <v>370</v>
      </c>
      <c r="G69" s="401"/>
      <c r="H69" s="401"/>
      <c r="I69" s="401"/>
      <c r="J69" s="401"/>
      <c r="K69" s="401"/>
      <c r="L69" s="401"/>
      <c r="M69" s="401"/>
      <c r="N69" s="401"/>
      <c r="O69" s="401"/>
      <c r="P69" s="401"/>
      <c r="Q69" s="401"/>
      <c r="R69" s="401"/>
      <c r="S69" s="401"/>
      <c r="T69" s="402"/>
    </row>
    <row r="70" spans="2:20" x14ac:dyDescent="0.25">
      <c r="B70" s="321" t="s">
        <v>323</v>
      </c>
      <c r="C70" s="323" t="s">
        <v>383</v>
      </c>
      <c r="D70" s="323" t="s">
        <v>324</v>
      </c>
      <c r="E70" s="323"/>
      <c r="F70" s="325" t="s">
        <v>325</v>
      </c>
      <c r="G70" s="325"/>
      <c r="H70" s="325"/>
      <c r="I70" s="325"/>
      <c r="J70" s="325"/>
      <c r="K70" s="325"/>
      <c r="L70" s="325"/>
      <c r="M70" s="325"/>
      <c r="N70" s="325"/>
      <c r="O70" s="325"/>
      <c r="P70" s="325"/>
      <c r="Q70" s="325"/>
      <c r="R70" s="325"/>
      <c r="S70" s="325"/>
      <c r="T70" s="326"/>
    </row>
    <row r="71" spans="2:20" ht="15.75" thickBot="1" x14ac:dyDescent="0.3">
      <c r="B71" s="322"/>
      <c r="C71" s="324"/>
      <c r="D71" s="324"/>
      <c r="E71" s="324"/>
      <c r="F71" s="327"/>
      <c r="G71" s="327"/>
      <c r="H71" s="327"/>
      <c r="I71" s="327"/>
      <c r="J71" s="327"/>
      <c r="K71" s="327"/>
      <c r="L71" s="327"/>
      <c r="M71" s="327"/>
      <c r="N71" s="327"/>
      <c r="O71" s="327"/>
      <c r="P71" s="327"/>
      <c r="Q71" s="327"/>
      <c r="R71" s="327"/>
      <c r="S71" s="327"/>
      <c r="T71" s="328"/>
    </row>
    <row r="72" spans="2:20" x14ac:dyDescent="0.25">
      <c r="B72" s="321" t="s">
        <v>326</v>
      </c>
      <c r="C72" s="323" t="s">
        <v>383</v>
      </c>
      <c r="D72" s="323" t="s">
        <v>318</v>
      </c>
      <c r="E72" s="323"/>
      <c r="F72" s="325" t="s">
        <v>426</v>
      </c>
      <c r="G72" s="325"/>
      <c r="H72" s="325"/>
      <c r="I72" s="325"/>
      <c r="J72" s="325"/>
      <c r="K72" s="325"/>
      <c r="L72" s="325"/>
      <c r="M72" s="325"/>
      <c r="N72" s="325"/>
      <c r="O72" s="325"/>
      <c r="P72" s="325"/>
      <c r="Q72" s="325"/>
      <c r="R72" s="325"/>
      <c r="S72" s="325"/>
      <c r="T72" s="326"/>
    </row>
    <row r="73" spans="2:20" ht="15.75" thickBot="1" x14ac:dyDescent="0.3">
      <c r="B73" s="322"/>
      <c r="C73" s="324"/>
      <c r="D73" s="324"/>
      <c r="E73" s="324"/>
      <c r="F73" s="327"/>
      <c r="G73" s="327"/>
      <c r="H73" s="327"/>
      <c r="I73" s="327"/>
      <c r="J73" s="327"/>
      <c r="K73" s="327"/>
      <c r="L73" s="327"/>
      <c r="M73" s="327"/>
      <c r="N73" s="327"/>
      <c r="O73" s="327"/>
      <c r="P73" s="327"/>
      <c r="Q73" s="327"/>
      <c r="R73" s="327"/>
      <c r="S73" s="327"/>
      <c r="T73" s="328"/>
    </row>
    <row r="74" spans="2:20" x14ac:dyDescent="0.25">
      <c r="B74" s="321" t="s">
        <v>114</v>
      </c>
      <c r="C74" s="323" t="s">
        <v>106</v>
      </c>
      <c r="D74" s="323" t="s">
        <v>314</v>
      </c>
      <c r="E74" s="323"/>
      <c r="F74" s="325" t="s">
        <v>327</v>
      </c>
      <c r="G74" s="325"/>
      <c r="H74" s="325"/>
      <c r="I74" s="325"/>
      <c r="J74" s="325"/>
      <c r="K74" s="325"/>
      <c r="L74" s="325"/>
      <c r="M74" s="325"/>
      <c r="N74" s="325"/>
      <c r="O74" s="325"/>
      <c r="P74" s="325"/>
      <c r="Q74" s="325"/>
      <c r="R74" s="325"/>
      <c r="S74" s="325"/>
      <c r="T74" s="326"/>
    </row>
    <row r="75" spans="2:20" ht="15.75" thickBot="1" x14ac:dyDescent="0.3">
      <c r="B75" s="322"/>
      <c r="C75" s="324"/>
      <c r="D75" s="324"/>
      <c r="E75" s="324"/>
      <c r="F75" s="327"/>
      <c r="G75" s="327"/>
      <c r="H75" s="327"/>
      <c r="I75" s="327"/>
      <c r="J75" s="327"/>
      <c r="K75" s="327"/>
      <c r="L75" s="327"/>
      <c r="M75" s="327"/>
      <c r="N75" s="327"/>
      <c r="O75" s="327"/>
      <c r="P75" s="327"/>
      <c r="Q75" s="327"/>
      <c r="R75" s="327"/>
      <c r="S75" s="327"/>
      <c r="T75" s="328"/>
    </row>
    <row r="76" spans="2:20" x14ac:dyDescent="0.25">
      <c r="B76" s="321" t="s">
        <v>328</v>
      </c>
      <c r="C76" s="323" t="s">
        <v>329</v>
      </c>
      <c r="D76" s="323" t="s">
        <v>371</v>
      </c>
      <c r="E76" s="323"/>
      <c r="F76" s="325" t="s">
        <v>330</v>
      </c>
      <c r="G76" s="325"/>
      <c r="H76" s="325"/>
      <c r="I76" s="325"/>
      <c r="J76" s="325"/>
      <c r="K76" s="325"/>
      <c r="L76" s="325"/>
      <c r="M76" s="325"/>
      <c r="N76" s="325"/>
      <c r="O76" s="325"/>
      <c r="P76" s="325"/>
      <c r="Q76" s="325"/>
      <c r="R76" s="325"/>
      <c r="S76" s="325"/>
      <c r="T76" s="326"/>
    </row>
    <row r="77" spans="2:20" ht="15.75" thickBot="1" x14ac:dyDescent="0.3">
      <c r="B77" s="322"/>
      <c r="C77" s="324"/>
      <c r="D77" s="324"/>
      <c r="E77" s="324"/>
      <c r="F77" s="327"/>
      <c r="G77" s="327"/>
      <c r="H77" s="327"/>
      <c r="I77" s="327"/>
      <c r="J77" s="327"/>
      <c r="K77" s="327"/>
      <c r="L77" s="327"/>
      <c r="M77" s="327"/>
      <c r="N77" s="327"/>
      <c r="O77" s="327"/>
      <c r="P77" s="327"/>
      <c r="Q77" s="327"/>
      <c r="R77" s="327"/>
      <c r="S77" s="327"/>
      <c r="T77" s="328"/>
    </row>
    <row r="78" spans="2:20" ht="15.75" thickBot="1" x14ac:dyDescent="0.3">
      <c r="B78" s="272" t="s">
        <v>142</v>
      </c>
      <c r="C78" s="273" t="s">
        <v>329</v>
      </c>
      <c r="D78" s="403" t="s">
        <v>372</v>
      </c>
      <c r="E78" s="404"/>
      <c r="F78" s="400" t="s">
        <v>331</v>
      </c>
      <c r="G78" s="401"/>
      <c r="H78" s="401"/>
      <c r="I78" s="401"/>
      <c r="J78" s="401"/>
      <c r="K78" s="401"/>
      <c r="L78" s="401"/>
      <c r="M78" s="401"/>
      <c r="N78" s="401"/>
      <c r="O78" s="401"/>
      <c r="P78" s="401"/>
      <c r="Q78" s="401"/>
      <c r="R78" s="401"/>
      <c r="S78" s="401"/>
      <c r="T78" s="402"/>
    </row>
    <row r="79" spans="2:20" ht="15.75" thickBot="1" x14ac:dyDescent="0.3">
      <c r="B79" s="272" t="s">
        <v>54</v>
      </c>
      <c r="C79" s="273" t="s">
        <v>332</v>
      </c>
      <c r="D79" s="403" t="s">
        <v>333</v>
      </c>
      <c r="E79" s="404"/>
      <c r="F79" s="400" t="s">
        <v>334</v>
      </c>
      <c r="G79" s="401"/>
      <c r="H79" s="401"/>
      <c r="I79" s="401"/>
      <c r="J79" s="401"/>
      <c r="K79" s="401"/>
      <c r="L79" s="401"/>
      <c r="M79" s="401"/>
      <c r="N79" s="401"/>
      <c r="O79" s="401"/>
      <c r="P79" s="401"/>
      <c r="Q79" s="401"/>
      <c r="R79" s="401"/>
      <c r="S79" s="401"/>
      <c r="T79" s="402"/>
    </row>
    <row r="80" spans="2:20" ht="15.75" thickBot="1" x14ac:dyDescent="0.3">
      <c r="B80" s="272" t="s">
        <v>55</v>
      </c>
      <c r="C80" s="273" t="s">
        <v>332</v>
      </c>
      <c r="D80" s="403" t="s">
        <v>335</v>
      </c>
      <c r="E80" s="404"/>
      <c r="F80" s="400" t="s">
        <v>336</v>
      </c>
      <c r="G80" s="401"/>
      <c r="H80" s="401"/>
      <c r="I80" s="401"/>
      <c r="J80" s="401"/>
      <c r="K80" s="401"/>
      <c r="L80" s="401"/>
      <c r="M80" s="401"/>
      <c r="N80" s="401"/>
      <c r="O80" s="401"/>
      <c r="P80" s="401"/>
      <c r="Q80" s="401"/>
      <c r="R80" s="401"/>
      <c r="S80" s="401"/>
      <c r="T80" s="402"/>
    </row>
    <row r="81" spans="2:20" ht="15.75" thickBot="1" x14ac:dyDescent="0.3">
      <c r="B81" s="272" t="s">
        <v>205</v>
      </c>
      <c r="C81" s="273" t="s">
        <v>384</v>
      </c>
      <c r="D81" s="403" t="s">
        <v>337</v>
      </c>
      <c r="E81" s="404"/>
      <c r="F81" s="400" t="s">
        <v>338</v>
      </c>
      <c r="G81" s="401"/>
      <c r="H81" s="401"/>
      <c r="I81" s="401"/>
      <c r="J81" s="401"/>
      <c r="K81" s="401"/>
      <c r="L81" s="401"/>
      <c r="M81" s="401"/>
      <c r="N81" s="401"/>
      <c r="O81" s="401"/>
      <c r="P81" s="401"/>
      <c r="Q81" s="401"/>
      <c r="R81" s="401"/>
      <c r="S81" s="401"/>
      <c r="T81" s="402"/>
    </row>
    <row r="82" spans="2:20" ht="15.75" thickBot="1" x14ac:dyDescent="0.3">
      <c r="B82" s="272" t="s">
        <v>339</v>
      </c>
      <c r="C82" s="273" t="s">
        <v>385</v>
      </c>
      <c r="D82" s="403" t="s">
        <v>340</v>
      </c>
      <c r="E82" s="404"/>
      <c r="F82" s="400" t="s">
        <v>373</v>
      </c>
      <c r="G82" s="401"/>
      <c r="H82" s="401"/>
      <c r="I82" s="401"/>
      <c r="J82" s="401"/>
      <c r="K82" s="401"/>
      <c r="L82" s="401"/>
      <c r="M82" s="401"/>
      <c r="N82" s="401"/>
      <c r="O82" s="401"/>
      <c r="P82" s="401"/>
      <c r="Q82" s="401"/>
      <c r="R82" s="401"/>
      <c r="S82" s="401"/>
      <c r="T82" s="402"/>
    </row>
    <row r="83" spans="2:20" ht="15.75" thickBot="1" x14ac:dyDescent="0.3">
      <c r="B83" s="272" t="s">
        <v>341</v>
      </c>
      <c r="C83" s="273" t="s">
        <v>342</v>
      </c>
      <c r="D83" s="403" t="s">
        <v>343</v>
      </c>
      <c r="E83" s="404"/>
      <c r="F83" s="400" t="s">
        <v>344</v>
      </c>
      <c r="G83" s="401"/>
      <c r="H83" s="401"/>
      <c r="I83" s="401"/>
      <c r="J83" s="401"/>
      <c r="K83" s="401"/>
      <c r="L83" s="401"/>
      <c r="M83" s="401"/>
      <c r="N83" s="401"/>
      <c r="O83" s="401"/>
      <c r="P83" s="401"/>
      <c r="Q83" s="401"/>
      <c r="R83" s="401"/>
      <c r="S83" s="401"/>
      <c r="T83" s="402"/>
    </row>
    <row r="84" spans="2:20" x14ac:dyDescent="0.25">
      <c r="B84" s="321" t="s">
        <v>410</v>
      </c>
      <c r="C84" s="323" t="s">
        <v>410</v>
      </c>
      <c r="D84" s="323" t="s">
        <v>427</v>
      </c>
      <c r="E84" s="323"/>
      <c r="F84" s="325" t="s">
        <v>428</v>
      </c>
      <c r="G84" s="325"/>
      <c r="H84" s="325"/>
      <c r="I84" s="325"/>
      <c r="J84" s="325"/>
      <c r="K84" s="325"/>
      <c r="L84" s="325"/>
      <c r="M84" s="325"/>
      <c r="N84" s="325"/>
      <c r="O84" s="325"/>
      <c r="P84" s="325"/>
      <c r="Q84" s="325"/>
      <c r="R84" s="325"/>
      <c r="S84" s="325"/>
      <c r="T84" s="326"/>
    </row>
    <row r="85" spans="2:20" ht="32.25" customHeight="1" thickBot="1" x14ac:dyDescent="0.3">
      <c r="B85" s="322"/>
      <c r="C85" s="324"/>
      <c r="D85" s="324"/>
      <c r="E85" s="324"/>
      <c r="F85" s="327"/>
      <c r="G85" s="327"/>
      <c r="H85" s="327"/>
      <c r="I85" s="327"/>
      <c r="J85" s="327"/>
      <c r="K85" s="327"/>
      <c r="L85" s="327"/>
      <c r="M85" s="327"/>
      <c r="N85" s="327"/>
      <c r="O85" s="327"/>
      <c r="P85" s="327"/>
      <c r="Q85" s="327"/>
      <c r="R85" s="327"/>
      <c r="S85" s="327"/>
      <c r="T85" s="328"/>
    </row>
    <row r="87" spans="2:20" x14ac:dyDescent="0.25">
      <c r="B87" s="192"/>
      <c r="C87" s="192"/>
      <c r="D87" s="192"/>
      <c r="E87" s="192"/>
      <c r="F87" s="192"/>
      <c r="G87" s="192"/>
      <c r="H87" s="192"/>
      <c r="I87" s="192"/>
      <c r="J87" s="192"/>
      <c r="K87" s="192"/>
      <c r="L87" s="192"/>
      <c r="M87" s="192"/>
      <c r="N87" s="192"/>
      <c r="O87" s="192"/>
      <c r="P87" s="192"/>
      <c r="Q87" s="192"/>
      <c r="R87" s="192"/>
      <c r="S87" s="192"/>
      <c r="T87" s="192"/>
    </row>
  </sheetData>
  <mergeCells count="103">
    <mergeCell ref="D81:E81"/>
    <mergeCell ref="F81:T81"/>
    <mergeCell ref="D82:E82"/>
    <mergeCell ref="F82:T82"/>
    <mergeCell ref="D83:E83"/>
    <mergeCell ref="F83:T83"/>
    <mergeCell ref="B74:B75"/>
    <mergeCell ref="C74:C75"/>
    <mergeCell ref="D74:E75"/>
    <mergeCell ref="F74:T75"/>
    <mergeCell ref="D79:E79"/>
    <mergeCell ref="F79:T79"/>
    <mergeCell ref="D80:E80"/>
    <mergeCell ref="F80:T80"/>
    <mergeCell ref="B76:B77"/>
    <mergeCell ref="C76:C77"/>
    <mergeCell ref="D76:E77"/>
    <mergeCell ref="F76:T77"/>
    <mergeCell ref="D78:E78"/>
    <mergeCell ref="F78:T78"/>
    <mergeCell ref="D69:E69"/>
    <mergeCell ref="F69:T69"/>
    <mergeCell ref="B70:B71"/>
    <mergeCell ref="C70:C71"/>
    <mergeCell ref="D70:E71"/>
    <mergeCell ref="F70:T71"/>
    <mergeCell ref="B72:B73"/>
    <mergeCell ref="C72:C73"/>
    <mergeCell ref="D72:E73"/>
    <mergeCell ref="F72:T73"/>
    <mergeCell ref="B61:B62"/>
    <mergeCell ref="C61:C62"/>
    <mergeCell ref="D61:E62"/>
    <mergeCell ref="F61:T62"/>
    <mergeCell ref="B63:B64"/>
    <mergeCell ref="C63:C64"/>
    <mergeCell ref="D63:E64"/>
    <mergeCell ref="F63:T64"/>
    <mergeCell ref="D68:E68"/>
    <mergeCell ref="F68:T68"/>
    <mergeCell ref="B65:B66"/>
    <mergeCell ref="C65:C66"/>
    <mergeCell ref="D65:E66"/>
    <mergeCell ref="F65:T66"/>
    <mergeCell ref="D67:E67"/>
    <mergeCell ref="F67:T67"/>
    <mergeCell ref="B55:B56"/>
    <mergeCell ref="C55:C56"/>
    <mergeCell ref="D55:E56"/>
    <mergeCell ref="F55:T56"/>
    <mergeCell ref="B57:B58"/>
    <mergeCell ref="C57:C58"/>
    <mergeCell ref="D57:E58"/>
    <mergeCell ref="F57:T58"/>
    <mergeCell ref="B59:B60"/>
    <mergeCell ref="C59:C60"/>
    <mergeCell ref="D59:E60"/>
    <mergeCell ref="F59:T60"/>
    <mergeCell ref="B45:B47"/>
    <mergeCell ref="C45:C47"/>
    <mergeCell ref="D45:E47"/>
    <mergeCell ref="F45:T47"/>
    <mergeCell ref="B48:B51"/>
    <mergeCell ref="C48:C51"/>
    <mergeCell ref="D48:E51"/>
    <mergeCell ref="F48:T51"/>
    <mergeCell ref="B52:B54"/>
    <mergeCell ref="C52:C54"/>
    <mergeCell ref="D52:E54"/>
    <mergeCell ref="F52:T54"/>
    <mergeCell ref="F38:T40"/>
    <mergeCell ref="B41:B42"/>
    <mergeCell ref="C41:C42"/>
    <mergeCell ref="D41:E42"/>
    <mergeCell ref="F41:T42"/>
    <mergeCell ref="B43:B44"/>
    <mergeCell ref="C43:C44"/>
    <mergeCell ref="D43:E44"/>
    <mergeCell ref="F43:T44"/>
    <mergeCell ref="B84:B85"/>
    <mergeCell ref="C84:C85"/>
    <mergeCell ref="D84:E85"/>
    <mergeCell ref="F84:T85"/>
    <mergeCell ref="E25:E31"/>
    <mergeCell ref="F25:J31"/>
    <mergeCell ref="B7:C7"/>
    <mergeCell ref="B10:C10"/>
    <mergeCell ref="B28:C28"/>
    <mergeCell ref="F7:J7"/>
    <mergeCell ref="F8:J8"/>
    <mergeCell ref="F9:J9"/>
    <mergeCell ref="F10:J10"/>
    <mergeCell ref="F11:J11"/>
    <mergeCell ref="F12:J12"/>
    <mergeCell ref="E13:E24"/>
    <mergeCell ref="F13:J24"/>
    <mergeCell ref="B35:B37"/>
    <mergeCell ref="C35:C37"/>
    <mergeCell ref="D35:E37"/>
    <mergeCell ref="F35:T37"/>
    <mergeCell ref="B38:B40"/>
    <mergeCell ref="C38:C40"/>
    <mergeCell ref="D38:E40"/>
  </mergeCells>
  <dataValidations count="1">
    <dataValidation type="list" allowBlank="1" showInputMessage="1" showErrorMessage="1" sqref="B8">
      <formula1>"Best Case, Base Case, Worst Case"</formula1>
    </dataValidation>
  </dataValidations>
  <hyperlinks>
    <hyperlink ref="F12" r:id="rId1" display="www.aarti-industries.com"/>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G33"/>
  <sheetViews>
    <sheetView showGridLines="0" workbookViewId="0">
      <selection activeCell="B11" sqref="B11"/>
    </sheetView>
  </sheetViews>
  <sheetFormatPr defaultRowHeight="15" x14ac:dyDescent="0.25"/>
  <cols>
    <col min="1" max="1" width="1.85546875" customWidth="1"/>
    <col min="2" max="2" width="62" bestFit="1" customWidth="1"/>
  </cols>
  <sheetData>
    <row r="6" spans="2:7" x14ac:dyDescent="0.25">
      <c r="B6" s="235" t="s">
        <v>279</v>
      </c>
    </row>
    <row r="7" spans="2:7" x14ac:dyDescent="0.25">
      <c r="B7" s="223" t="s">
        <v>0</v>
      </c>
      <c r="C7" s="223">
        <v>2021</v>
      </c>
      <c r="D7" s="223">
        <f>C7+1</f>
        <v>2022</v>
      </c>
      <c r="E7" s="223">
        <f t="shared" ref="E7:G7" si="0">D7+1</f>
        <v>2023</v>
      </c>
      <c r="F7" s="223">
        <f t="shared" si="0"/>
        <v>2024</v>
      </c>
      <c r="G7" s="223">
        <f t="shared" si="0"/>
        <v>2025</v>
      </c>
    </row>
    <row r="8" spans="2:7" ht="5.0999999999999996" customHeight="1" x14ac:dyDescent="0.25"/>
    <row r="9" spans="2:7" x14ac:dyDescent="0.25">
      <c r="B9" s="1" t="s">
        <v>1</v>
      </c>
    </row>
    <row r="10" spans="2:7" x14ac:dyDescent="0.25">
      <c r="B10" t="s">
        <v>2</v>
      </c>
      <c r="C10" s="205">
        <v>779.91</v>
      </c>
      <c r="D10" s="205">
        <v>393.67</v>
      </c>
      <c r="E10" s="205">
        <v>335.7</v>
      </c>
      <c r="F10" s="205">
        <v>102.87</v>
      </c>
      <c r="G10" s="205">
        <v>119.48</v>
      </c>
    </row>
    <row r="11" spans="2:7" x14ac:dyDescent="0.25">
      <c r="B11" t="s">
        <v>3</v>
      </c>
      <c r="C11" s="205">
        <v>6.38</v>
      </c>
      <c r="D11" s="205">
        <v>263.68</v>
      </c>
      <c r="E11" s="205">
        <v>192.98</v>
      </c>
      <c r="F11" s="205">
        <v>229.05</v>
      </c>
      <c r="G11" s="205">
        <v>225.33</v>
      </c>
    </row>
    <row r="12" spans="2:7" x14ac:dyDescent="0.25">
      <c r="B12" t="s">
        <v>4</v>
      </c>
      <c r="C12" s="205">
        <v>1192.22</v>
      </c>
      <c r="D12" s="205">
        <v>2651.6</v>
      </c>
      <c r="E12" s="205">
        <v>59.77</v>
      </c>
      <c r="F12" s="205">
        <v>1158.21</v>
      </c>
      <c r="G12" s="205">
        <v>1932.81</v>
      </c>
    </row>
    <row r="13" spans="2:7" x14ac:dyDescent="0.25">
      <c r="B13" s="4" t="s">
        <v>5</v>
      </c>
      <c r="C13" s="74">
        <f t="shared" ref="C13:G13" si="1">SUM(C10:C12)</f>
        <v>1978.51</v>
      </c>
      <c r="D13" s="74">
        <f t="shared" si="1"/>
        <v>3308.95</v>
      </c>
      <c r="E13" s="74">
        <f t="shared" si="1"/>
        <v>588.44999999999993</v>
      </c>
      <c r="F13" s="74">
        <f t="shared" si="1"/>
        <v>1490.13</v>
      </c>
      <c r="G13" s="74">
        <f t="shared" si="1"/>
        <v>2277.62</v>
      </c>
    </row>
    <row r="14" spans="2:7" x14ac:dyDescent="0.25">
      <c r="B14" t="s">
        <v>6</v>
      </c>
      <c r="C14" s="205">
        <v>124.69</v>
      </c>
      <c r="D14" s="205">
        <v>185.46</v>
      </c>
      <c r="E14" s="205">
        <v>188.17</v>
      </c>
      <c r="F14" s="205">
        <v>247.22</v>
      </c>
      <c r="G14" s="205">
        <v>185.66</v>
      </c>
    </row>
    <row r="15" spans="2:7" x14ac:dyDescent="0.25">
      <c r="B15" s="4" t="s">
        <v>7</v>
      </c>
      <c r="C15" s="74">
        <f t="shared" ref="C15:F15" si="2">SUM(C13:C14)</f>
        <v>2103.1999999999998</v>
      </c>
      <c r="D15" s="74">
        <f t="shared" si="2"/>
        <v>3494.41</v>
      </c>
      <c r="E15" s="74">
        <f t="shared" si="2"/>
        <v>776.61999999999989</v>
      </c>
      <c r="F15" s="74">
        <f t="shared" si="2"/>
        <v>1737.3500000000001</v>
      </c>
      <c r="G15" s="74">
        <f>SUM(G13:G14)</f>
        <v>2463.2799999999997</v>
      </c>
    </row>
    <row r="16" spans="2:7" x14ac:dyDescent="0.25">
      <c r="B16" s="1" t="s">
        <v>8</v>
      </c>
      <c r="C16" s="16"/>
      <c r="D16" s="16"/>
      <c r="E16" s="16"/>
      <c r="F16" s="16"/>
      <c r="G16" s="16"/>
    </row>
    <row r="17" spans="2:7" x14ac:dyDescent="0.25">
      <c r="B17" t="s">
        <v>102</v>
      </c>
      <c r="C17" s="205">
        <v>56.11</v>
      </c>
      <c r="D17" s="205">
        <v>81.83</v>
      </c>
      <c r="E17" s="205">
        <v>124.52</v>
      </c>
      <c r="F17" s="205">
        <v>48.36</v>
      </c>
      <c r="G17" s="205">
        <v>62.01</v>
      </c>
    </row>
    <row r="18" spans="2:7" x14ac:dyDescent="0.25">
      <c r="B18" t="s">
        <v>9</v>
      </c>
      <c r="C18" s="205">
        <v>0.88</v>
      </c>
      <c r="D18" s="205">
        <v>0.77</v>
      </c>
      <c r="E18" s="205">
        <v>0.72</v>
      </c>
      <c r="F18" s="205">
        <v>0.72</v>
      </c>
      <c r="G18" s="205">
        <v>0.72</v>
      </c>
    </row>
    <row r="19" spans="2:7" x14ac:dyDescent="0.25">
      <c r="B19" t="s">
        <v>10</v>
      </c>
      <c r="C19" s="205">
        <v>170.92</v>
      </c>
      <c r="D19" s="205">
        <v>225.61</v>
      </c>
      <c r="E19" s="205">
        <v>312.42</v>
      </c>
      <c r="F19" s="205">
        <v>385.57</v>
      </c>
      <c r="G19" s="205">
        <v>556.24</v>
      </c>
    </row>
    <row r="20" spans="2:7" x14ac:dyDescent="0.25">
      <c r="B20" s="4" t="s">
        <v>11</v>
      </c>
      <c r="C20" s="74">
        <f t="shared" ref="C20:E20" si="3">SUM(C17:C19)</f>
        <v>227.91</v>
      </c>
      <c r="D20" s="74">
        <f t="shared" si="3"/>
        <v>308.21000000000004</v>
      </c>
      <c r="E20" s="74">
        <f t="shared" si="3"/>
        <v>437.66</v>
      </c>
      <c r="F20" s="74">
        <f>SUM(F17:F19)</f>
        <v>434.65</v>
      </c>
      <c r="G20" s="74">
        <f>SUM(G17:G19)</f>
        <v>618.97</v>
      </c>
    </row>
    <row r="21" spans="2:7" ht="5.0999999999999996" customHeight="1" x14ac:dyDescent="0.25">
      <c r="C21" s="16"/>
      <c r="D21" s="16"/>
      <c r="E21" s="16"/>
      <c r="F21" s="16"/>
      <c r="G21" s="16"/>
    </row>
    <row r="22" spans="2:7" x14ac:dyDescent="0.25">
      <c r="B22" s="4" t="s">
        <v>12</v>
      </c>
      <c r="C22" s="74">
        <f t="shared" ref="C22:F22" si="4">C15-C20</f>
        <v>1875.2899999999997</v>
      </c>
      <c r="D22" s="74">
        <f t="shared" si="4"/>
        <v>3186.2</v>
      </c>
      <c r="E22" s="74">
        <f t="shared" si="4"/>
        <v>338.95999999999987</v>
      </c>
      <c r="F22" s="74">
        <f t="shared" si="4"/>
        <v>1302.7000000000003</v>
      </c>
      <c r="G22" s="74">
        <f>G15-G20</f>
        <v>1844.3099999999997</v>
      </c>
    </row>
    <row r="23" spans="2:7" x14ac:dyDescent="0.25">
      <c r="B23" t="s">
        <v>13</v>
      </c>
      <c r="C23" s="205">
        <v>11446.14</v>
      </c>
      <c r="D23" s="205">
        <v>42760.92</v>
      </c>
      <c r="E23" s="205">
        <v>22153.14</v>
      </c>
      <c r="F23" s="205">
        <v>18121.32</v>
      </c>
      <c r="G23" s="205">
        <v>25453.08</v>
      </c>
    </row>
    <row r="24" spans="2:7" x14ac:dyDescent="0.25">
      <c r="B24" s="4" t="s">
        <v>14</v>
      </c>
      <c r="C24" s="74">
        <f t="shared" ref="C24:E24" si="5">SUM(C22:C23)</f>
        <v>13321.429999999998</v>
      </c>
      <c r="D24" s="74">
        <f t="shared" si="5"/>
        <v>45947.119999999995</v>
      </c>
      <c r="E24" s="74">
        <f t="shared" si="5"/>
        <v>22492.1</v>
      </c>
      <c r="F24" s="74">
        <f>SUM(F22:F23)</f>
        <v>19424.02</v>
      </c>
      <c r="G24" s="74">
        <f>SUM(G22:G23)</f>
        <v>27297.390000000003</v>
      </c>
    </row>
    <row r="25" spans="2:7" x14ac:dyDescent="0.25">
      <c r="B25" t="s">
        <v>15</v>
      </c>
      <c r="C25" s="16"/>
      <c r="D25" s="16"/>
      <c r="E25" s="16"/>
      <c r="F25" s="16"/>
      <c r="G25" s="16"/>
    </row>
    <row r="26" spans="2:7" x14ac:dyDescent="0.25">
      <c r="B26" s="4" t="s">
        <v>16</v>
      </c>
      <c r="C26" s="74">
        <f t="shared" ref="C26:E26" si="6">SUM(C24:C25)</f>
        <v>13321.429999999998</v>
      </c>
      <c r="D26" s="74">
        <f t="shared" si="6"/>
        <v>45947.119999999995</v>
      </c>
      <c r="E26" s="74">
        <f t="shared" si="6"/>
        <v>22492.1</v>
      </c>
      <c r="F26" s="74">
        <f>SUM(F24:F25)</f>
        <v>19424.02</v>
      </c>
      <c r="G26" s="74">
        <f>SUM(G24:G25)</f>
        <v>27297.390000000003</v>
      </c>
    </row>
    <row r="27" spans="2:7" ht="5.0999999999999996" customHeight="1" x14ac:dyDescent="0.25">
      <c r="B27" s="1"/>
      <c r="C27" s="16"/>
      <c r="D27" s="16"/>
      <c r="E27" s="16"/>
      <c r="F27" s="16"/>
      <c r="G27" s="16"/>
    </row>
    <row r="28" spans="2:7" x14ac:dyDescent="0.25">
      <c r="B28" s="1" t="s">
        <v>17</v>
      </c>
      <c r="C28" s="16"/>
      <c r="D28" s="16"/>
      <c r="E28" s="16"/>
      <c r="F28" s="16"/>
      <c r="G28" s="16"/>
    </row>
    <row r="29" spans="2:7" x14ac:dyDescent="0.25">
      <c r="B29" t="s">
        <v>18</v>
      </c>
      <c r="C29" s="205">
        <v>365.42</v>
      </c>
      <c r="D29" s="205">
        <v>2725.35</v>
      </c>
      <c r="E29" s="205">
        <v>347.67</v>
      </c>
      <c r="F29" s="205">
        <v>761.19</v>
      </c>
      <c r="G29" s="205">
        <v>1014.2</v>
      </c>
    </row>
    <row r="30" spans="2:7" x14ac:dyDescent="0.25">
      <c r="B30" t="s">
        <v>19</v>
      </c>
      <c r="C30" s="205">
        <v>4.8600000000000003</v>
      </c>
      <c r="D30" s="205">
        <v>313.95</v>
      </c>
      <c r="E30" s="205">
        <v>-698.83</v>
      </c>
      <c r="F30" s="205">
        <v>174.77</v>
      </c>
      <c r="G30" s="205">
        <v>482.82</v>
      </c>
    </row>
    <row r="31" spans="2:7" x14ac:dyDescent="0.25">
      <c r="B31" s="4" t="s">
        <v>21</v>
      </c>
      <c r="C31" s="74">
        <f t="shared" ref="C31:E31" si="7">SUM(C29:C30)</f>
        <v>370.28000000000003</v>
      </c>
      <c r="D31" s="74">
        <f t="shared" si="7"/>
        <v>3039.2999999999997</v>
      </c>
      <c r="E31" s="74">
        <f t="shared" si="7"/>
        <v>-351.16</v>
      </c>
      <c r="F31" s="74">
        <f>SUM(F29:F30)</f>
        <v>935.96</v>
      </c>
      <c r="G31" s="74">
        <f>SUM(G29:G30)</f>
        <v>1497.02</v>
      </c>
    </row>
    <row r="32" spans="2:7" ht="5.0999999999999996" customHeight="1" x14ac:dyDescent="0.25">
      <c r="B32" s="1"/>
      <c r="C32" s="16"/>
      <c r="D32" s="16"/>
      <c r="E32" s="16"/>
      <c r="F32" s="16"/>
      <c r="G32" s="16"/>
    </row>
    <row r="33" spans="2:7" ht="15.75" thickBot="1" x14ac:dyDescent="0.3">
      <c r="B33" s="6" t="s">
        <v>20</v>
      </c>
      <c r="C33" s="75">
        <f t="shared" ref="C33:E33" si="8">C26-C31</f>
        <v>12951.149999999998</v>
      </c>
      <c r="D33" s="75">
        <f t="shared" si="8"/>
        <v>42907.819999999992</v>
      </c>
      <c r="E33" s="75">
        <f t="shared" si="8"/>
        <v>22843.26</v>
      </c>
      <c r="F33" s="75">
        <f>F26-F31</f>
        <v>18488.060000000001</v>
      </c>
      <c r="G33" s="75">
        <f>G26-G31</f>
        <v>25800.370000000003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H58"/>
  <sheetViews>
    <sheetView showGridLines="0" topLeftCell="A10" workbookViewId="0">
      <selection activeCell="G33" sqref="G33"/>
    </sheetView>
  </sheetViews>
  <sheetFormatPr defaultRowHeight="15" x14ac:dyDescent="0.25"/>
  <cols>
    <col min="1" max="1" width="1.85546875" customWidth="1"/>
    <col min="2" max="2" width="81.5703125" bestFit="1" customWidth="1"/>
    <col min="3" max="3" width="10.7109375" bestFit="1" customWidth="1"/>
    <col min="4" max="4" width="11.42578125" bestFit="1" customWidth="1"/>
    <col min="5" max="6" width="11.28515625" customWidth="1"/>
    <col min="7" max="7" width="12.28515625" customWidth="1"/>
  </cols>
  <sheetData>
    <row r="6" spans="2:8" x14ac:dyDescent="0.25">
      <c r="B6" s="235" t="s">
        <v>279</v>
      </c>
    </row>
    <row r="7" spans="2:8" x14ac:dyDescent="0.25">
      <c r="B7" s="223" t="s">
        <v>0</v>
      </c>
      <c r="C7" s="223">
        <v>2021</v>
      </c>
      <c r="D7" s="223">
        <f>C7+1</f>
        <v>2022</v>
      </c>
      <c r="E7" s="223">
        <f t="shared" ref="E7:G7" si="0">D7+1</f>
        <v>2023</v>
      </c>
      <c r="F7" s="223">
        <f t="shared" si="0"/>
        <v>2024</v>
      </c>
      <c r="G7" s="223">
        <f t="shared" si="0"/>
        <v>2025</v>
      </c>
    </row>
    <row r="8" spans="2:8" ht="5.0999999999999996" customHeight="1" x14ac:dyDescent="0.25"/>
    <row r="9" spans="2:8" x14ac:dyDescent="0.25">
      <c r="B9" s="1" t="s">
        <v>22</v>
      </c>
    </row>
    <row r="10" spans="2:8" x14ac:dyDescent="0.25">
      <c r="B10" s="1" t="s">
        <v>23</v>
      </c>
    </row>
    <row r="11" spans="2:8" x14ac:dyDescent="0.25">
      <c r="B11" t="s">
        <v>24</v>
      </c>
      <c r="C11" s="204">
        <v>7638.83</v>
      </c>
      <c r="D11" s="204">
        <v>120.99</v>
      </c>
      <c r="E11" s="204">
        <v>294.74</v>
      </c>
      <c r="F11" s="204">
        <v>284.7</v>
      </c>
      <c r="G11" s="204">
        <v>49.18</v>
      </c>
    </row>
    <row r="12" spans="2:8" x14ac:dyDescent="0.25">
      <c r="B12" t="s">
        <v>25</v>
      </c>
      <c r="C12" s="204">
        <v>9.7899999999999991</v>
      </c>
      <c r="D12" s="204">
        <v>152.78</v>
      </c>
      <c r="E12" s="204">
        <v>106.02</v>
      </c>
      <c r="F12" s="204">
        <v>98.22</v>
      </c>
      <c r="G12" s="204">
        <v>102.77</v>
      </c>
    </row>
    <row r="13" spans="2:8" x14ac:dyDescent="0.25">
      <c r="B13" t="s">
        <v>26</v>
      </c>
      <c r="C13" s="204"/>
      <c r="D13" s="204"/>
      <c r="E13" s="204"/>
      <c r="F13" s="204"/>
      <c r="G13" s="204"/>
      <c r="H13" s="3"/>
    </row>
    <row r="14" spans="2:8" x14ac:dyDescent="0.25">
      <c r="B14" s="7" t="s">
        <v>27</v>
      </c>
      <c r="C14" s="204"/>
      <c r="D14" s="204"/>
      <c r="E14" s="204"/>
      <c r="F14" s="204"/>
      <c r="G14" s="204"/>
      <c r="H14" s="3"/>
    </row>
    <row r="15" spans="2:8" x14ac:dyDescent="0.25">
      <c r="B15" s="7" t="s">
        <v>28</v>
      </c>
      <c r="C15" s="204">
        <v>577.04999999999995</v>
      </c>
      <c r="D15" s="204">
        <v>230.41</v>
      </c>
      <c r="E15" s="204">
        <v>262.69</v>
      </c>
      <c r="F15" s="204">
        <v>252.58</v>
      </c>
      <c r="G15" s="204">
        <v>199.46</v>
      </c>
    </row>
    <row r="16" spans="2:8" x14ac:dyDescent="0.25">
      <c r="B16" t="s">
        <v>58</v>
      </c>
      <c r="C16" s="204">
        <v>0</v>
      </c>
      <c r="D16" s="204">
        <v>229117.91</v>
      </c>
      <c r="E16" s="204">
        <v>262650.13</v>
      </c>
      <c r="F16" s="204">
        <v>281033.31</v>
      </c>
      <c r="G16" s="204">
        <v>304669.13</v>
      </c>
    </row>
    <row r="17" spans="2:7" x14ac:dyDescent="0.25">
      <c r="B17" t="s">
        <v>29</v>
      </c>
      <c r="C17" s="204">
        <v>216675.61</v>
      </c>
      <c r="D17" s="204">
        <v>44668.35</v>
      </c>
      <c r="E17" s="204">
        <v>43858.98</v>
      </c>
      <c r="F17" s="204">
        <v>45919.59</v>
      </c>
      <c r="G17" s="204">
        <v>48110.18</v>
      </c>
    </row>
    <row r="18" spans="2:7" x14ac:dyDescent="0.25">
      <c r="B18" t="s">
        <v>30</v>
      </c>
      <c r="C18" s="204">
        <v>1572.52</v>
      </c>
      <c r="D18" s="204">
        <v>609.67999999999995</v>
      </c>
      <c r="E18" s="204">
        <v>445.01</v>
      </c>
      <c r="F18" s="204">
        <v>227.74</v>
      </c>
      <c r="G18" s="204">
        <v>41.66</v>
      </c>
    </row>
    <row r="19" spans="2:7" ht="5.0999999999999996" customHeight="1" x14ac:dyDescent="0.25"/>
    <row r="20" spans="2:7" x14ac:dyDescent="0.25">
      <c r="B20" s="4" t="s">
        <v>31</v>
      </c>
      <c r="C20" s="72">
        <f>SUM(C11:C18)</f>
        <v>226473.8</v>
      </c>
      <c r="D20" s="72">
        <f t="shared" ref="D20:G20" si="1">SUM(D11:D18)</f>
        <v>274900.12</v>
      </c>
      <c r="E20" s="72">
        <f t="shared" si="1"/>
        <v>307617.57</v>
      </c>
      <c r="F20" s="72">
        <f t="shared" si="1"/>
        <v>327816.14</v>
      </c>
      <c r="G20" s="72">
        <f t="shared" si="1"/>
        <v>353172.37999999995</v>
      </c>
    </row>
    <row r="21" spans="2:7" x14ac:dyDescent="0.25">
      <c r="C21" s="21"/>
      <c r="D21" s="21"/>
      <c r="E21" s="21"/>
      <c r="F21" s="21"/>
      <c r="G21" s="21"/>
    </row>
    <row r="22" spans="2:7" x14ac:dyDescent="0.25">
      <c r="B22" s="1" t="s">
        <v>32</v>
      </c>
      <c r="C22" s="21"/>
      <c r="D22" s="21"/>
      <c r="E22" s="21"/>
      <c r="F22" s="21"/>
      <c r="G22" s="21"/>
    </row>
    <row r="23" spans="2:7" x14ac:dyDescent="0.25">
      <c r="B23" t="s">
        <v>33</v>
      </c>
      <c r="C23" s="204">
        <v>0</v>
      </c>
      <c r="D23" s="204">
        <v>105.2</v>
      </c>
      <c r="E23" s="204">
        <v>306.77</v>
      </c>
      <c r="F23" s="204">
        <v>533.01</v>
      </c>
      <c r="G23" s="204">
        <v>373.39</v>
      </c>
    </row>
    <row r="24" spans="2:7" x14ac:dyDescent="0.25">
      <c r="B24" t="s">
        <v>34</v>
      </c>
      <c r="C24" s="204">
        <v>3913.66</v>
      </c>
      <c r="D24" s="204">
        <v>2415.08</v>
      </c>
      <c r="E24" s="204">
        <v>1813.25</v>
      </c>
      <c r="F24" s="204">
        <v>1098.4000000000001</v>
      </c>
      <c r="G24" s="204">
        <v>223.85</v>
      </c>
    </row>
    <row r="25" spans="2:7" x14ac:dyDescent="0.25">
      <c r="B25" t="s">
        <v>35</v>
      </c>
      <c r="C25" s="204">
        <v>321.67</v>
      </c>
      <c r="D25" s="204">
        <v>320.89999999999998</v>
      </c>
      <c r="E25" s="204">
        <v>320.18</v>
      </c>
      <c r="F25" s="204">
        <v>319.45999999999998</v>
      </c>
      <c r="G25" s="204">
        <v>318.74</v>
      </c>
    </row>
    <row r="26" spans="2:7" x14ac:dyDescent="0.25">
      <c r="B26" t="s">
        <v>36</v>
      </c>
      <c r="C26" s="204">
        <v>24.73</v>
      </c>
      <c r="D26" s="204">
        <v>9.9499999999999993</v>
      </c>
      <c r="E26" s="204">
        <v>11.88</v>
      </c>
      <c r="F26" s="204">
        <v>10.09</v>
      </c>
      <c r="G26" s="204">
        <v>10.94</v>
      </c>
    </row>
    <row r="27" spans="2:7" ht="5.0999999999999996" customHeight="1" x14ac:dyDescent="0.25">
      <c r="C27" s="21"/>
      <c r="D27" s="21"/>
      <c r="E27" s="21"/>
      <c r="F27" s="21"/>
      <c r="G27" s="21"/>
    </row>
    <row r="28" spans="2:7" x14ac:dyDescent="0.25">
      <c r="B28" s="4" t="s">
        <v>37</v>
      </c>
      <c r="C28" s="72">
        <f>SUM(C23:C26)</f>
        <v>4260.0599999999995</v>
      </c>
      <c r="D28" s="72">
        <f t="shared" ref="D28:G28" si="2">SUM(D23:D26)</f>
        <v>2851.1299999999997</v>
      </c>
      <c r="E28" s="72">
        <f t="shared" si="2"/>
        <v>2452.08</v>
      </c>
      <c r="F28" s="72">
        <f t="shared" si="2"/>
        <v>1960.96</v>
      </c>
      <c r="G28" s="72">
        <f t="shared" si="2"/>
        <v>926.92000000000007</v>
      </c>
    </row>
    <row r="29" spans="2:7" ht="5.0999999999999996" customHeight="1" x14ac:dyDescent="0.25">
      <c r="C29" s="21"/>
      <c r="D29" s="21"/>
      <c r="E29" s="21"/>
      <c r="F29" s="21"/>
      <c r="G29" s="21"/>
    </row>
    <row r="30" spans="2:7" x14ac:dyDescent="0.25">
      <c r="B30" s="9" t="s">
        <v>38</v>
      </c>
      <c r="C30" s="73">
        <f>C28+C20</f>
        <v>230733.86</v>
      </c>
      <c r="D30" s="73">
        <f t="shared" ref="D30:G30" si="3">D28+D20</f>
        <v>277751.25</v>
      </c>
      <c r="E30" s="73">
        <f t="shared" si="3"/>
        <v>310069.65000000002</v>
      </c>
      <c r="F30" s="73">
        <f t="shared" si="3"/>
        <v>329777.10000000003</v>
      </c>
      <c r="G30" s="73">
        <f t="shared" si="3"/>
        <v>354099.29999999993</v>
      </c>
    </row>
    <row r="31" spans="2:7" x14ac:dyDescent="0.25">
      <c r="C31" s="21"/>
      <c r="D31" s="21"/>
      <c r="E31" s="21"/>
      <c r="F31" s="21"/>
      <c r="G31" s="21"/>
    </row>
    <row r="32" spans="2:7" x14ac:dyDescent="0.25">
      <c r="B32" s="1" t="s">
        <v>39</v>
      </c>
      <c r="C32" s="21"/>
      <c r="D32" s="21"/>
      <c r="E32" s="21"/>
      <c r="F32" s="21"/>
      <c r="G32" s="21"/>
    </row>
    <row r="33" spans="2:7" x14ac:dyDescent="0.25">
      <c r="B33" s="1" t="s">
        <v>40</v>
      </c>
      <c r="C33" s="21"/>
      <c r="D33" s="21"/>
      <c r="E33" s="21"/>
      <c r="F33" s="21"/>
      <c r="G33" s="21"/>
    </row>
    <row r="34" spans="2:7" x14ac:dyDescent="0.25">
      <c r="B34" s="1" t="s">
        <v>41</v>
      </c>
      <c r="C34" s="21"/>
      <c r="D34" s="21"/>
      <c r="E34" s="21"/>
      <c r="F34" s="21"/>
      <c r="G34" s="21"/>
    </row>
    <row r="35" spans="2:7" x14ac:dyDescent="0.25">
      <c r="B35" t="s">
        <v>42</v>
      </c>
      <c r="C35" s="204">
        <v>0</v>
      </c>
      <c r="D35" s="204">
        <v>0</v>
      </c>
      <c r="E35" s="204">
        <v>0</v>
      </c>
      <c r="F35" s="204">
        <v>0</v>
      </c>
      <c r="G35" s="204">
        <v>0</v>
      </c>
    </row>
    <row r="36" spans="2:7" x14ac:dyDescent="0.25">
      <c r="B36" s="7" t="s">
        <v>43</v>
      </c>
      <c r="C36" s="204">
        <v>0</v>
      </c>
      <c r="D36" s="204">
        <v>0</v>
      </c>
      <c r="E36" s="204">
        <v>0</v>
      </c>
      <c r="F36" s="204">
        <v>0</v>
      </c>
      <c r="G36" s="204">
        <v>0</v>
      </c>
    </row>
    <row r="37" spans="2:7" x14ac:dyDescent="0.25">
      <c r="B37" s="8" t="s">
        <v>44</v>
      </c>
      <c r="C37" s="204">
        <v>0</v>
      </c>
      <c r="D37" s="204">
        <v>0</v>
      </c>
      <c r="E37" s="204">
        <v>0</v>
      </c>
      <c r="F37" s="204">
        <v>0</v>
      </c>
      <c r="G37" s="204">
        <v>0</v>
      </c>
    </row>
    <row r="38" spans="2:7" x14ac:dyDescent="0.25">
      <c r="B38" s="8" t="s">
        <v>45</v>
      </c>
      <c r="C38" s="204">
        <v>0</v>
      </c>
      <c r="D38" s="204">
        <v>0</v>
      </c>
      <c r="E38" s="204">
        <v>0</v>
      </c>
      <c r="F38" s="204">
        <v>0</v>
      </c>
      <c r="G38" s="204">
        <v>0</v>
      </c>
    </row>
    <row r="39" spans="2:7" x14ac:dyDescent="0.25">
      <c r="B39" t="s">
        <v>46</v>
      </c>
      <c r="C39" s="204">
        <v>81.27</v>
      </c>
      <c r="D39" s="204">
        <v>18.350000000000001</v>
      </c>
      <c r="E39" s="204">
        <v>13.46</v>
      </c>
      <c r="F39" s="204">
        <v>16.600000000000001</v>
      </c>
      <c r="G39" s="204">
        <v>7</v>
      </c>
    </row>
    <row r="40" spans="2:7" ht="5.0999999999999996" customHeight="1" x14ac:dyDescent="0.25">
      <c r="C40" s="21"/>
      <c r="D40" s="21"/>
      <c r="E40" s="21"/>
      <c r="F40" s="21"/>
      <c r="G40" s="21"/>
    </row>
    <row r="41" spans="2:7" x14ac:dyDescent="0.25">
      <c r="B41" s="4" t="s">
        <v>47</v>
      </c>
      <c r="C41" s="72">
        <f>SUM(C35:C39)</f>
        <v>81.27</v>
      </c>
      <c r="D41" s="72">
        <f t="shared" ref="D41:G41" si="4">SUM(D35:D39)</f>
        <v>18.350000000000001</v>
      </c>
      <c r="E41" s="72">
        <f t="shared" si="4"/>
        <v>13.46</v>
      </c>
      <c r="F41" s="72">
        <f t="shared" si="4"/>
        <v>16.600000000000001</v>
      </c>
      <c r="G41" s="72">
        <f t="shared" si="4"/>
        <v>7</v>
      </c>
    </row>
    <row r="42" spans="2:7" x14ac:dyDescent="0.25">
      <c r="C42" s="21"/>
      <c r="D42" s="21"/>
      <c r="E42" s="21"/>
      <c r="F42" s="21"/>
      <c r="G42" s="21"/>
    </row>
    <row r="43" spans="2:7" x14ac:dyDescent="0.25">
      <c r="B43" s="1" t="s">
        <v>48</v>
      </c>
      <c r="C43" s="21"/>
      <c r="D43" s="21"/>
      <c r="E43" s="21"/>
      <c r="F43" s="21"/>
      <c r="G43" s="21"/>
    </row>
    <row r="44" spans="2:7" x14ac:dyDescent="0.25">
      <c r="B44" t="s">
        <v>49</v>
      </c>
      <c r="C44" s="204">
        <v>43.3</v>
      </c>
      <c r="D44" s="204">
        <v>0</v>
      </c>
      <c r="E44" s="204">
        <v>0</v>
      </c>
      <c r="F44" s="204">
        <v>0</v>
      </c>
      <c r="G44" s="204">
        <v>0</v>
      </c>
    </row>
    <row r="45" spans="2:7" x14ac:dyDescent="0.25">
      <c r="B45" t="s">
        <v>50</v>
      </c>
      <c r="C45" s="204">
        <v>2.9</v>
      </c>
      <c r="D45" s="204">
        <v>1.55</v>
      </c>
      <c r="E45" s="204">
        <v>5.52</v>
      </c>
      <c r="F45" s="204">
        <v>3.11</v>
      </c>
      <c r="G45" s="204">
        <v>6.75</v>
      </c>
    </row>
    <row r="46" spans="2:7" x14ac:dyDescent="0.25">
      <c r="B46" t="s">
        <v>51</v>
      </c>
      <c r="C46" s="204">
        <v>27.11</v>
      </c>
      <c r="D46" s="204">
        <v>47.65</v>
      </c>
      <c r="E46" s="204">
        <v>90.95</v>
      </c>
      <c r="F46" s="204">
        <v>40.090000000000003</v>
      </c>
      <c r="G46" s="204">
        <v>39.1</v>
      </c>
    </row>
    <row r="47" spans="2:7" ht="5.0999999999999996" customHeight="1" x14ac:dyDescent="0.25">
      <c r="C47" s="21"/>
      <c r="D47" s="21"/>
      <c r="E47" s="21"/>
      <c r="F47" s="21"/>
      <c r="G47" s="21"/>
    </row>
    <row r="48" spans="2:7" x14ac:dyDescent="0.25">
      <c r="B48" s="4" t="s">
        <v>52</v>
      </c>
      <c r="C48" s="72">
        <f>SUM(C44:C46)</f>
        <v>73.31</v>
      </c>
      <c r="D48" s="72">
        <f t="shared" ref="D48:G48" si="5">SUM(D44:D46)</f>
        <v>49.199999999999996</v>
      </c>
      <c r="E48" s="72">
        <f t="shared" si="5"/>
        <v>96.47</v>
      </c>
      <c r="F48" s="72">
        <f t="shared" si="5"/>
        <v>43.2</v>
      </c>
      <c r="G48" s="72">
        <f t="shared" si="5"/>
        <v>45.85</v>
      </c>
    </row>
    <row r="49" spans="2:7" x14ac:dyDescent="0.25">
      <c r="C49" s="21"/>
      <c r="D49" s="21"/>
      <c r="E49" s="21"/>
      <c r="F49" s="21"/>
      <c r="G49" s="21"/>
    </row>
    <row r="50" spans="2:7" x14ac:dyDescent="0.25">
      <c r="B50" s="1" t="s">
        <v>53</v>
      </c>
      <c r="C50" s="21"/>
      <c r="D50" s="21"/>
      <c r="E50" s="21"/>
      <c r="F50" s="21"/>
      <c r="G50" s="21"/>
    </row>
    <row r="51" spans="2:7" x14ac:dyDescent="0.25">
      <c r="B51" t="s">
        <v>54</v>
      </c>
      <c r="C51" s="204">
        <v>319.24</v>
      </c>
      <c r="D51" s="204">
        <v>319.24</v>
      </c>
      <c r="E51" s="204">
        <v>319.24</v>
      </c>
      <c r="F51" s="204">
        <v>319.24</v>
      </c>
      <c r="G51" s="204">
        <v>319.24</v>
      </c>
    </row>
    <row r="52" spans="2:7" x14ac:dyDescent="0.25">
      <c r="B52" t="s">
        <v>55</v>
      </c>
      <c r="C52" s="204">
        <v>230260.04</v>
      </c>
      <c r="D52" s="204">
        <v>277364.46000000002</v>
      </c>
      <c r="E52" s="204">
        <v>309640.48</v>
      </c>
      <c r="F52" s="204">
        <v>329398.06</v>
      </c>
      <c r="G52" s="204">
        <v>353727.21</v>
      </c>
    </row>
    <row r="53" spans="2:7" ht="5.0999999999999996" customHeight="1" x14ac:dyDescent="0.25">
      <c r="C53" s="21"/>
      <c r="D53" s="21"/>
      <c r="E53" s="21"/>
      <c r="F53" s="21"/>
      <c r="G53" s="21"/>
    </row>
    <row r="54" spans="2:7" x14ac:dyDescent="0.25">
      <c r="B54" s="4" t="s">
        <v>56</v>
      </c>
      <c r="C54" s="72">
        <f>SUM(C51:C53)</f>
        <v>230579.28</v>
      </c>
      <c r="D54" s="72">
        <f t="shared" ref="D54:G54" si="6">SUM(D51:D53)</f>
        <v>277683.7</v>
      </c>
      <c r="E54" s="72">
        <f t="shared" si="6"/>
        <v>309959.71999999997</v>
      </c>
      <c r="F54" s="72">
        <f t="shared" si="6"/>
        <v>329717.3</v>
      </c>
      <c r="G54" s="72">
        <f t="shared" si="6"/>
        <v>354046.45</v>
      </c>
    </row>
    <row r="55" spans="2:7" x14ac:dyDescent="0.25">
      <c r="C55" s="21"/>
      <c r="D55" s="21"/>
      <c r="E55" s="21"/>
      <c r="F55" s="21"/>
      <c r="G55" s="21"/>
    </row>
    <row r="56" spans="2:7" x14ac:dyDescent="0.25">
      <c r="B56" s="9" t="s">
        <v>57</v>
      </c>
      <c r="C56" s="73">
        <f>C54+C48+C41</f>
        <v>230733.86</v>
      </c>
      <c r="D56" s="73">
        <f t="shared" ref="D56:G56" si="7">D54+D48+D41</f>
        <v>277751.25</v>
      </c>
      <c r="E56" s="73">
        <f t="shared" si="7"/>
        <v>310069.64999999997</v>
      </c>
      <c r="F56" s="73">
        <f t="shared" si="7"/>
        <v>329777.09999999998</v>
      </c>
      <c r="G56" s="73">
        <f t="shared" si="7"/>
        <v>354099.3</v>
      </c>
    </row>
    <row r="58" spans="2:7" x14ac:dyDescent="0.25">
      <c r="B58" s="9" t="s">
        <v>59</v>
      </c>
      <c r="C58" s="10" t="b">
        <f>C56=C30</f>
        <v>1</v>
      </c>
      <c r="D58" s="10" t="b">
        <f t="shared" ref="D58:G58" si="8">D56=D30</f>
        <v>1</v>
      </c>
      <c r="E58" s="10" t="b">
        <f t="shared" si="8"/>
        <v>1</v>
      </c>
      <c r="F58" s="10" t="b">
        <f t="shared" si="8"/>
        <v>1</v>
      </c>
      <c r="G58" s="10" t="b">
        <f t="shared" si="8"/>
        <v>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Q33"/>
  <sheetViews>
    <sheetView showGridLines="0" topLeftCell="A16" workbookViewId="0">
      <selection activeCell="Q35" sqref="Q35"/>
    </sheetView>
  </sheetViews>
  <sheetFormatPr defaultRowHeight="15" x14ac:dyDescent="0.25"/>
  <cols>
    <col min="1" max="1" width="1.85546875" customWidth="1"/>
    <col min="2" max="2" width="28" bestFit="1" customWidth="1"/>
    <col min="8" max="8" width="12" customWidth="1"/>
    <col min="9" max="9" width="15.85546875" customWidth="1"/>
  </cols>
  <sheetData>
    <row r="6" spans="1:17" x14ac:dyDescent="0.25">
      <c r="B6" s="235" t="s">
        <v>279</v>
      </c>
    </row>
    <row r="7" spans="1:17" x14ac:dyDescent="0.25">
      <c r="B7" s="11" t="s">
        <v>0</v>
      </c>
      <c r="C7" s="13">
        <v>2021</v>
      </c>
      <c r="D7" s="13">
        <f>C7+1</f>
        <v>2022</v>
      </c>
      <c r="E7" s="13">
        <f t="shared" ref="E7:G7" si="0">D7+1</f>
        <v>2023</v>
      </c>
      <c r="F7" s="13">
        <f t="shared" si="0"/>
        <v>2024</v>
      </c>
      <c r="G7" s="13">
        <f t="shared" si="0"/>
        <v>2025</v>
      </c>
      <c r="H7" s="14">
        <f t="shared" ref="H7" si="1">G7+1</f>
        <v>2026</v>
      </c>
      <c r="I7" s="14">
        <f t="shared" ref="I7" si="2">H7+1</f>
        <v>2027</v>
      </c>
      <c r="J7" s="14">
        <f t="shared" ref="J7" si="3">I7+1</f>
        <v>2028</v>
      </c>
      <c r="K7" s="14">
        <f t="shared" ref="K7" si="4">J7+1</f>
        <v>2029</v>
      </c>
      <c r="L7" s="14">
        <f t="shared" ref="L7" si="5">K7+1</f>
        <v>2030</v>
      </c>
      <c r="M7" s="14">
        <f t="shared" ref="M7" si="6">L7+1</f>
        <v>2031</v>
      </c>
      <c r="N7" s="14">
        <f t="shared" ref="N7" si="7">M7+1</f>
        <v>2032</v>
      </c>
      <c r="O7" s="14">
        <f t="shared" ref="O7" si="8">N7+1</f>
        <v>2033</v>
      </c>
      <c r="P7" s="14">
        <f t="shared" ref="P7" si="9">O7+1</f>
        <v>2034</v>
      </c>
      <c r="Q7" s="14">
        <f t="shared" ref="Q7" si="10">P7+1</f>
        <v>2035</v>
      </c>
    </row>
    <row r="9" spans="1:17" x14ac:dyDescent="0.25">
      <c r="B9" s="1" t="s">
        <v>93</v>
      </c>
      <c r="C9" s="210">
        <f>'Historical P&amp;L'!C13</f>
        <v>1978.51</v>
      </c>
      <c r="D9" s="210">
        <f>'Historical P&amp;L'!D13</f>
        <v>3308.95</v>
      </c>
      <c r="E9" s="210">
        <f>'Historical P&amp;L'!E13</f>
        <v>588.44999999999993</v>
      </c>
      <c r="F9" s="210">
        <f>'Historical P&amp;L'!F13</f>
        <v>1490.13</v>
      </c>
      <c r="G9" s="210">
        <f>'Historical P&amp;L'!G13</f>
        <v>2277.62</v>
      </c>
      <c r="H9" s="15">
        <f>G9*(1+H10)</f>
        <v>3365.780672230369</v>
      </c>
      <c r="I9" s="15">
        <f>H9*(1+I10)</f>
        <v>4652.2148127363998</v>
      </c>
      <c r="J9" s="15">
        <f t="shared" ref="J9:Q9" si="11">I9*(1+J10)</f>
        <v>6074.7122472126894</v>
      </c>
      <c r="K9" s="15">
        <f t="shared" si="11"/>
        <v>7560.6733104352215</v>
      </c>
      <c r="L9" s="15">
        <f t="shared" si="11"/>
        <v>9040.2319389062304</v>
      </c>
      <c r="M9" s="15">
        <f t="shared" si="11"/>
        <v>10455.508342940459</v>
      </c>
      <c r="N9" s="15">
        <f t="shared" si="11"/>
        <v>11764.9822015713</v>
      </c>
      <c r="O9" s="15">
        <f t="shared" si="11"/>
        <v>12943.762697738513</v>
      </c>
      <c r="P9" s="15">
        <f t="shared" si="11"/>
        <v>13981.272470635447</v>
      </c>
      <c r="Q9" s="15">
        <f t="shared" si="11"/>
        <v>14877.809724264396</v>
      </c>
    </row>
    <row r="10" spans="1:17" x14ac:dyDescent="0.25">
      <c r="B10" s="18" t="s">
        <v>100</v>
      </c>
      <c r="C10" s="19"/>
      <c r="D10" s="19">
        <f>D9/C9-1</f>
        <v>0.67244542610348179</v>
      </c>
      <c r="E10" s="19">
        <f t="shared" ref="E10:G10" si="12">E9/D9-1</f>
        <v>-0.82216413061545202</v>
      </c>
      <c r="F10" s="19">
        <f t="shared" si="12"/>
        <v>1.53229671170023</v>
      </c>
      <c r="G10" s="19">
        <f t="shared" si="12"/>
        <v>0.52847067034419792</v>
      </c>
      <c r="H10" s="20">
        <f>CHOOSE(Assumptions!$C$8,Revenue_BuildUp!$H$30:$Q$30,Revenue_BuildUp!$H$31:$Q$31,Revenue_BuildUp!$H$32:$Q$32)</f>
        <v>0.47776216938311444</v>
      </c>
      <c r="I10" s="20">
        <f>CHOOSE(Assumptions!$C$8,Revenue_BuildUp!$H$30:$Q$30,Revenue_BuildUp!$H$31:$Q$31,Revenue_BuildUp!$H$32:$Q$32)</f>
        <v>0.38220973550649157</v>
      </c>
      <c r="J10" s="20">
        <f>CHOOSE(Assumptions!$C$8,Revenue_BuildUp!$H$30:$Q$30,Revenue_BuildUp!$H$31:$Q$31,Revenue_BuildUp!$H$32:$Q$32)</f>
        <v>0.30576778840519325</v>
      </c>
      <c r="K10" s="20">
        <f>CHOOSE(Assumptions!$C$8,Revenue_BuildUp!$H$30:$Q$30,Revenue_BuildUp!$H$31:$Q$31,Revenue_BuildUp!$H$32:$Q$32)</f>
        <v>0.24461423072415461</v>
      </c>
      <c r="L10" s="20">
        <f>CHOOSE(Assumptions!$C$8,Revenue_BuildUp!$H$30:$Q$30,Revenue_BuildUp!$H$31:$Q$31,Revenue_BuildUp!$H$32:$Q$32)</f>
        <v>0.1956913845793237</v>
      </c>
      <c r="M10" s="20">
        <f>CHOOSE(Assumptions!$C$8,Revenue_BuildUp!$H$30:$Q$30,Revenue_BuildUp!$H$31:$Q$31,Revenue_BuildUp!$H$32:$Q$32)</f>
        <v>0.15655310766345898</v>
      </c>
      <c r="N10" s="20">
        <f>CHOOSE(Assumptions!$C$8,Revenue_BuildUp!$H$30:$Q$30,Revenue_BuildUp!$H$31:$Q$31,Revenue_BuildUp!$H$32:$Q$32)</f>
        <v>0.12524248613076719</v>
      </c>
      <c r="O10" s="20">
        <f>CHOOSE(Assumptions!$C$8,Revenue_BuildUp!$H$30:$Q$30,Revenue_BuildUp!$H$31:$Q$31,Revenue_BuildUp!$H$32:$Q$32)</f>
        <v>0.10019398890461376</v>
      </c>
      <c r="P10" s="20">
        <f>CHOOSE(Assumptions!$C$8,Revenue_BuildUp!$H$30:$Q$30,Revenue_BuildUp!$H$31:$Q$31,Revenue_BuildUp!$H$32:$Q$32)</f>
        <v>8.0155191123691016E-2</v>
      </c>
      <c r="Q10" s="20">
        <f>CHOOSE(Assumptions!$C$8,Revenue_BuildUp!$H$30:$Q$30,Revenue_BuildUp!$H$31:$Q$31,Revenue_BuildUp!$H$32:$Q$32)</f>
        <v>6.4124152898952819E-2</v>
      </c>
    </row>
    <row r="11" spans="1:17" s="27" customFormat="1" x14ac:dyDescent="0.25">
      <c r="A11"/>
      <c r="B11" s="22"/>
      <c r="C11" s="23"/>
      <c r="D11" s="23"/>
      <c r="E11" s="23"/>
      <c r="F11" s="23"/>
      <c r="G11" s="23"/>
      <c r="H11" s="26"/>
      <c r="I11" s="26"/>
      <c r="J11" s="26"/>
      <c r="K11" s="26"/>
      <c r="L11" s="26"/>
      <c r="M11" s="26"/>
      <c r="N11" s="26"/>
      <c r="O11" s="26"/>
      <c r="P11" s="26"/>
      <c r="Q11" s="26"/>
    </row>
    <row r="12" spans="1:17" x14ac:dyDescent="0.25">
      <c r="B12" s="1" t="s">
        <v>94</v>
      </c>
    </row>
    <row r="13" spans="1:17" x14ac:dyDescent="0.25">
      <c r="B13" t="s">
        <v>2</v>
      </c>
      <c r="C13" s="70">
        <f>'Historical P&amp;L'!C10</f>
        <v>779.91</v>
      </c>
      <c r="D13" s="70">
        <f>'Historical P&amp;L'!D10</f>
        <v>393.67</v>
      </c>
      <c r="E13" s="70">
        <f>'Historical P&amp;L'!E10</f>
        <v>335.7</v>
      </c>
      <c r="F13" s="70">
        <f>'Historical P&amp;L'!F10</f>
        <v>102.87</v>
      </c>
      <c r="G13" s="70">
        <f>'Historical P&amp;L'!G10</f>
        <v>119.48</v>
      </c>
      <c r="H13" s="16">
        <f>H14*H9</f>
        <v>811.24478545771353</v>
      </c>
      <c r="I13" s="16">
        <f t="shared" ref="I13:Q13" si="13">I14*I9</f>
        <v>1121.3104403385269</v>
      </c>
      <c r="J13" s="16">
        <f t="shared" si="13"/>
        <v>1464.1710537964916</v>
      </c>
      <c r="K13" s="16">
        <f t="shared" si="13"/>
        <v>1822.328129769495</v>
      </c>
      <c r="L13" s="16">
        <f t="shared" si="13"/>
        <v>2178.9420446419376</v>
      </c>
      <c r="M13" s="16">
        <f t="shared" si="13"/>
        <v>2520.0621931492042</v>
      </c>
      <c r="N13" s="16">
        <f t="shared" si="13"/>
        <v>2835.6810474233644</v>
      </c>
      <c r="O13" s="16">
        <f t="shared" si="13"/>
        <v>3119.7992428259245</v>
      </c>
      <c r="P13" s="16">
        <f t="shared" si="13"/>
        <v>3369.8673474021834</v>
      </c>
      <c r="Q13" s="16">
        <f t="shared" si="13"/>
        <v>3585.9572364361898</v>
      </c>
    </row>
    <row r="14" spans="1:17" x14ac:dyDescent="0.25">
      <c r="B14" s="18" t="s">
        <v>101</v>
      </c>
      <c r="C14" s="24">
        <f>C13/C$9</f>
        <v>0.39419057775800981</v>
      </c>
      <c r="D14" s="24">
        <f t="shared" ref="D14:G14" si="14">D13/D$9</f>
        <v>0.11897127487571588</v>
      </c>
      <c r="E14" s="24">
        <f t="shared" si="14"/>
        <v>0.5704817741524344</v>
      </c>
      <c r="F14" s="24">
        <f t="shared" si="14"/>
        <v>6.9034245334299693E-2</v>
      </c>
      <c r="G14" s="24">
        <f t="shared" si="14"/>
        <v>5.2458267840991918E-2</v>
      </c>
      <c r="H14" s="25">
        <f>AVERAGE(C14:G14)</f>
        <v>0.2410272279922904</v>
      </c>
      <c r="I14" s="25">
        <f>H14</f>
        <v>0.2410272279922904</v>
      </c>
      <c r="J14" s="25">
        <f t="shared" ref="J14:Q14" si="15">I14</f>
        <v>0.2410272279922904</v>
      </c>
      <c r="K14" s="25">
        <f t="shared" si="15"/>
        <v>0.2410272279922904</v>
      </c>
      <c r="L14" s="25">
        <f t="shared" si="15"/>
        <v>0.2410272279922904</v>
      </c>
      <c r="M14" s="25">
        <f t="shared" si="15"/>
        <v>0.2410272279922904</v>
      </c>
      <c r="N14" s="25">
        <f t="shared" si="15"/>
        <v>0.2410272279922904</v>
      </c>
      <c r="O14" s="25">
        <f t="shared" si="15"/>
        <v>0.2410272279922904</v>
      </c>
      <c r="P14" s="25">
        <f t="shared" si="15"/>
        <v>0.2410272279922904</v>
      </c>
      <c r="Q14" s="25">
        <f t="shared" si="15"/>
        <v>0.2410272279922904</v>
      </c>
    </row>
    <row r="15" spans="1:17" x14ac:dyDescent="0.25">
      <c r="D15" s="12"/>
      <c r="E15" s="12"/>
      <c r="F15" s="12"/>
      <c r="G15" s="12"/>
    </row>
    <row r="16" spans="1:17" x14ac:dyDescent="0.25">
      <c r="B16" t="s">
        <v>3</v>
      </c>
      <c r="C16" s="70">
        <f>'Historical P&amp;L'!C11</f>
        <v>6.38</v>
      </c>
      <c r="D16" s="70">
        <f>'Historical P&amp;L'!D11</f>
        <v>263.68</v>
      </c>
      <c r="E16" s="70">
        <f>'Historical P&amp;L'!E11</f>
        <v>192.98</v>
      </c>
      <c r="F16" s="70">
        <f>'Historical P&amp;L'!F11</f>
        <v>229.05</v>
      </c>
      <c r="G16" s="70">
        <f>'Historical P&amp;L'!G11</f>
        <v>225.33</v>
      </c>
      <c r="H16" s="16">
        <f>H17*H9</f>
        <v>446.640103638673</v>
      </c>
      <c r="I16" s="16">
        <f t="shared" ref="I16:Q16" si="16">I17*I9</f>
        <v>617.35029951700221</v>
      </c>
      <c r="J16" s="16">
        <f t="shared" si="16"/>
        <v>806.11613527159966</v>
      </c>
      <c r="K16" s="16">
        <f t="shared" si="16"/>
        <v>1003.3036135753906</v>
      </c>
      <c r="L16" s="16">
        <f t="shared" si="16"/>
        <v>1199.6414868693978</v>
      </c>
      <c r="M16" s="16">
        <f t="shared" si="16"/>
        <v>1387.4490897208145</v>
      </c>
      <c r="N16" s="16">
        <f t="shared" si="16"/>
        <v>1561.2166630973193</v>
      </c>
      <c r="O16" s="16">
        <f t="shared" si="16"/>
        <v>1717.6411881173904</v>
      </c>
      <c r="P16" s="16">
        <f t="shared" si="16"/>
        <v>1855.3190458328636</v>
      </c>
      <c r="Q16" s="16">
        <f t="shared" si="16"/>
        <v>1974.2898080041896</v>
      </c>
    </row>
    <row r="17" spans="2:17" x14ac:dyDescent="0.25">
      <c r="B17" s="18" t="s">
        <v>101</v>
      </c>
      <c r="C17" s="24">
        <f>C16/C$9</f>
        <v>3.2246488519138139E-3</v>
      </c>
      <c r="D17" s="24">
        <f t="shared" ref="D17" si="17">D16/D$9</f>
        <v>7.9686909744783097E-2</v>
      </c>
      <c r="E17" s="24">
        <f t="shared" ref="E17" si="18">E16/E$9</f>
        <v>0.32794629960064581</v>
      </c>
      <c r="F17" s="24">
        <f t="shared" ref="F17" si="19">F16/F$9</f>
        <v>0.15371142115117473</v>
      </c>
      <c r="G17" s="24">
        <f t="shared" ref="G17" si="20">G16/G$9</f>
        <v>9.8932218719540582E-2</v>
      </c>
      <c r="H17" s="25">
        <f>AVERAGE(C17:G17)</f>
        <v>0.1327002996136116</v>
      </c>
      <c r="I17" s="25">
        <f>H17</f>
        <v>0.1327002996136116</v>
      </c>
      <c r="J17" s="25">
        <f t="shared" ref="J17:Q17" si="21">I17</f>
        <v>0.1327002996136116</v>
      </c>
      <c r="K17" s="25">
        <f t="shared" si="21"/>
        <v>0.1327002996136116</v>
      </c>
      <c r="L17" s="25">
        <f t="shared" si="21"/>
        <v>0.1327002996136116</v>
      </c>
      <c r="M17" s="25">
        <f t="shared" si="21"/>
        <v>0.1327002996136116</v>
      </c>
      <c r="N17" s="25">
        <f t="shared" si="21"/>
        <v>0.1327002996136116</v>
      </c>
      <c r="O17" s="25">
        <f t="shared" si="21"/>
        <v>0.1327002996136116</v>
      </c>
      <c r="P17" s="25">
        <f t="shared" si="21"/>
        <v>0.1327002996136116</v>
      </c>
      <c r="Q17" s="25">
        <f t="shared" si="21"/>
        <v>0.1327002996136116</v>
      </c>
    </row>
    <row r="18" spans="2:17" x14ac:dyDescent="0.25">
      <c r="D18" s="12"/>
      <c r="E18" s="12"/>
      <c r="F18" s="12"/>
      <c r="G18" s="12"/>
    </row>
    <row r="19" spans="2:17" x14ac:dyDescent="0.25">
      <c r="B19" t="s">
        <v>4</v>
      </c>
      <c r="C19" s="83">
        <f>'Historical P&amp;L'!C12</f>
        <v>1192.22</v>
      </c>
      <c r="D19" s="83">
        <f>'Historical P&amp;L'!D12</f>
        <v>2651.6</v>
      </c>
      <c r="E19" s="83">
        <f>'Historical P&amp;L'!E12</f>
        <v>59.77</v>
      </c>
      <c r="F19" s="83">
        <f>'Historical P&amp;L'!F12</f>
        <v>1158.21</v>
      </c>
      <c r="G19" s="83">
        <f>'Historical P&amp;L'!G12</f>
        <v>1932.81</v>
      </c>
      <c r="H19" s="21">
        <f>H20*H9</f>
        <v>2107.8957831339826</v>
      </c>
      <c r="I19" s="21">
        <f t="shared" ref="I19:Q19" si="22">I20*I9</f>
        <v>2913.5540728808714</v>
      </c>
      <c r="J19" s="21">
        <f t="shared" si="22"/>
        <v>3804.4250581445986</v>
      </c>
      <c r="K19" s="21">
        <f t="shared" si="22"/>
        <v>4735.0415670903367</v>
      </c>
      <c r="L19" s="21">
        <f t="shared" si="22"/>
        <v>5661.6484073948959</v>
      </c>
      <c r="M19" s="21">
        <f t="shared" si="22"/>
        <v>6547.997060070441</v>
      </c>
      <c r="N19" s="21">
        <f t="shared" si="22"/>
        <v>7368.0844910506175</v>
      </c>
      <c r="O19" s="21">
        <f t="shared" si="22"/>
        <v>8106.3222667952004</v>
      </c>
      <c r="P19" s="21">
        <f t="shared" si="22"/>
        <v>8756.0860774004013</v>
      </c>
      <c r="Q19" s="21">
        <f t="shared" si="22"/>
        <v>9317.5626798240191</v>
      </c>
    </row>
    <row r="20" spans="2:17" x14ac:dyDescent="0.25">
      <c r="B20" s="18" t="s">
        <v>101</v>
      </c>
      <c r="C20" s="24">
        <f>C19/C$9</f>
        <v>0.60258477339007643</v>
      </c>
      <c r="D20" s="24">
        <f t="shared" ref="D20" si="23">D19/D$9</f>
        <v>0.80134181537950111</v>
      </c>
      <c r="E20" s="24">
        <f t="shared" ref="E20" si="24">E19/E$9</f>
        <v>0.10157192624691989</v>
      </c>
      <c r="F20" s="24">
        <f t="shared" ref="F20" si="25">F19/F$9</f>
        <v>0.77725433351452555</v>
      </c>
      <c r="G20" s="24">
        <f t="shared" ref="G20" si="26">G19/G$9</f>
        <v>0.84860951343946756</v>
      </c>
      <c r="H20" s="25">
        <f>AVERAGE(C20:G20)</f>
        <v>0.62627247239409811</v>
      </c>
      <c r="I20" s="25">
        <f>H20</f>
        <v>0.62627247239409811</v>
      </c>
      <c r="J20" s="25">
        <f t="shared" ref="J20:Q20" si="27">I20</f>
        <v>0.62627247239409811</v>
      </c>
      <c r="K20" s="25">
        <f t="shared" si="27"/>
        <v>0.62627247239409811</v>
      </c>
      <c r="L20" s="25">
        <f t="shared" si="27"/>
        <v>0.62627247239409811</v>
      </c>
      <c r="M20" s="25">
        <f t="shared" si="27"/>
        <v>0.62627247239409811</v>
      </c>
      <c r="N20" s="25">
        <f t="shared" si="27"/>
        <v>0.62627247239409811</v>
      </c>
      <c r="O20" s="25">
        <f t="shared" si="27"/>
        <v>0.62627247239409811</v>
      </c>
      <c r="P20" s="25">
        <f t="shared" si="27"/>
        <v>0.62627247239409811</v>
      </c>
      <c r="Q20" s="25">
        <f t="shared" si="27"/>
        <v>0.62627247239409811</v>
      </c>
    </row>
    <row r="21" spans="2:17" x14ac:dyDescent="0.25">
      <c r="C21" s="21"/>
      <c r="D21" s="21"/>
      <c r="E21" s="21"/>
      <c r="F21" s="21"/>
      <c r="G21" s="21"/>
      <c r="H21" s="21"/>
      <c r="I21" s="21"/>
      <c r="J21" s="21"/>
      <c r="K21" s="21"/>
      <c r="L21" s="21"/>
      <c r="M21" s="21"/>
      <c r="N21" s="21"/>
      <c r="O21" s="21"/>
      <c r="P21" s="21"/>
      <c r="Q21" s="21"/>
    </row>
    <row r="22" spans="2:17" x14ac:dyDescent="0.25">
      <c r="B22" s="2" t="s">
        <v>13</v>
      </c>
      <c r="C22" s="211">
        <f>'Historical P&amp;L'!C23</f>
        <v>11446.14</v>
      </c>
      <c r="D22" s="211">
        <f>'Historical P&amp;L'!D23</f>
        <v>42760.92</v>
      </c>
      <c r="E22" s="211">
        <f>'Historical P&amp;L'!E23</f>
        <v>22153.14</v>
      </c>
      <c r="F22" s="211">
        <f>'Historical P&amp;L'!F23</f>
        <v>18121.32</v>
      </c>
      <c r="G22" s="211">
        <f>'Historical P&amp;L'!G23</f>
        <v>25453.08</v>
      </c>
      <c r="H22" s="36">
        <f>H23*H9</f>
        <v>26806.142239527624</v>
      </c>
      <c r="I22" s="36">
        <f t="shared" ref="I22:Q22" si="28">I23*I9</f>
        <v>37051.71077484687</v>
      </c>
      <c r="J22" s="36">
        <f t="shared" si="28"/>
        <v>48380.930435100665</v>
      </c>
      <c r="K22" s="36">
        <f t="shared" si="28"/>
        <v>60215.59451520165</v>
      </c>
      <c r="L22" s="36">
        <f t="shared" si="28"/>
        <v>71999.267579148611</v>
      </c>
      <c r="M22" s="36">
        <f t="shared" si="28"/>
        <v>83270.976668157251</v>
      </c>
      <c r="N22" s="36">
        <f t="shared" si="28"/>
        <v>93700.040808614373</v>
      </c>
      <c r="O22" s="36">
        <f t="shared" si="28"/>
        <v>103088.22165775455</v>
      </c>
      <c r="P22" s="36">
        <f t="shared" si="28"/>
        <v>111351.27776733329</v>
      </c>
      <c r="Q22" s="36">
        <f t="shared" si="28"/>
        <v>118491.58412837955</v>
      </c>
    </row>
    <row r="23" spans="2:17" x14ac:dyDescent="0.25">
      <c r="B23" s="17" t="s">
        <v>103</v>
      </c>
      <c r="C23" s="37">
        <f>C22/C9</f>
        <v>5.7852323212922849</v>
      </c>
      <c r="D23" s="37">
        <f>D22/C22-1</f>
        <v>2.7358375836744964</v>
      </c>
      <c r="E23" s="37">
        <f t="shared" ref="E23:G23" si="29">E22/E9</f>
        <v>37.646596992097891</v>
      </c>
      <c r="F23" s="37">
        <f t="shared" si="29"/>
        <v>12.16089871353506</v>
      </c>
      <c r="G23" s="37">
        <f t="shared" si="29"/>
        <v>11.17529702057411</v>
      </c>
      <c r="H23" s="38">
        <f>AVERAGE(C23:D23,F23:G23)</f>
        <v>7.9643164097689878</v>
      </c>
      <c r="I23" s="38">
        <f>H23</f>
        <v>7.9643164097689878</v>
      </c>
      <c r="J23" s="38">
        <f t="shared" ref="J23:Q23" si="30">I23</f>
        <v>7.9643164097689878</v>
      </c>
      <c r="K23" s="38">
        <f t="shared" si="30"/>
        <v>7.9643164097689878</v>
      </c>
      <c r="L23" s="38">
        <f t="shared" si="30"/>
        <v>7.9643164097689878</v>
      </c>
      <c r="M23" s="38">
        <f t="shared" si="30"/>
        <v>7.9643164097689878</v>
      </c>
      <c r="N23" s="38">
        <f t="shared" si="30"/>
        <v>7.9643164097689878</v>
      </c>
      <c r="O23" s="38">
        <f t="shared" si="30"/>
        <v>7.9643164097689878</v>
      </c>
      <c r="P23" s="38">
        <f t="shared" si="30"/>
        <v>7.9643164097689878</v>
      </c>
      <c r="Q23" s="38">
        <f t="shared" si="30"/>
        <v>7.9643164097689878</v>
      </c>
    </row>
    <row r="24" spans="2:17" x14ac:dyDescent="0.25">
      <c r="C24" s="12"/>
      <c r="D24" s="12"/>
      <c r="E24" s="12"/>
      <c r="F24" s="12"/>
      <c r="G24" s="12"/>
      <c r="H24" s="12"/>
      <c r="I24" s="12"/>
      <c r="J24" s="12"/>
      <c r="K24" s="12"/>
      <c r="L24" s="12"/>
      <c r="M24" s="12"/>
      <c r="N24" s="12"/>
      <c r="O24" s="12"/>
      <c r="P24" s="12"/>
      <c r="Q24" s="12"/>
    </row>
    <row r="25" spans="2:17" x14ac:dyDescent="0.25">
      <c r="B25" s="1" t="s">
        <v>139</v>
      </c>
      <c r="C25" s="209">
        <f>'Historical P&amp;L'!C14</f>
        <v>124.69</v>
      </c>
      <c r="D25" s="209">
        <f>'Historical P&amp;L'!D14</f>
        <v>185.46</v>
      </c>
      <c r="E25" s="209">
        <f>'Historical P&amp;L'!E14</f>
        <v>188.17</v>
      </c>
      <c r="F25" s="209">
        <f>'Historical P&amp;L'!F14</f>
        <v>247.22</v>
      </c>
      <c r="G25" s="209">
        <f>'Historical P&amp;L'!G14</f>
        <v>185.66</v>
      </c>
      <c r="H25" s="71">
        <f>H26*H9</f>
        <v>461.96171092353819</v>
      </c>
      <c r="I25" s="71">
        <f t="shared" ref="I25:Q25" si="31">I26*I9</f>
        <v>638.52797426975008</v>
      </c>
      <c r="J25" s="71">
        <f t="shared" si="31"/>
        <v>833.7692607970597</v>
      </c>
      <c r="K25" s="71">
        <f t="shared" si="31"/>
        <v>1037.7210871283794</v>
      </c>
      <c r="L25" s="71">
        <f t="shared" si="31"/>
        <v>1240.7941634756933</v>
      </c>
      <c r="M25" s="71">
        <f t="shared" si="31"/>
        <v>1435.0443457384949</v>
      </c>
      <c r="N25" s="71">
        <f t="shared" si="31"/>
        <v>1614.7728673066845</v>
      </c>
      <c r="O25" s="71">
        <f t="shared" si="31"/>
        <v>1776.5634020570817</v>
      </c>
      <c r="P25" s="71">
        <f t="shared" si="31"/>
        <v>1918.964181092322</v>
      </c>
      <c r="Q25" s="71">
        <f t="shared" si="31"/>
        <v>2042.0161336483</v>
      </c>
    </row>
    <row r="26" spans="2:17" x14ac:dyDescent="0.25">
      <c r="B26" s="18" t="s">
        <v>101</v>
      </c>
      <c r="C26" s="24">
        <f>C25/C9</f>
        <v>6.302217325158832E-2</v>
      </c>
      <c r="D26" s="24">
        <f t="shared" ref="D26:G26" si="32">D25/D9</f>
        <v>5.6047991054564143E-2</v>
      </c>
      <c r="E26" s="24">
        <f t="shared" si="32"/>
        <v>0.31977228311666245</v>
      </c>
      <c r="F26" s="24">
        <f t="shared" si="32"/>
        <v>0.16590498815539584</v>
      </c>
      <c r="G26" s="24">
        <f t="shared" si="32"/>
        <v>8.1514914691651813E-2</v>
      </c>
      <c r="H26" s="25">
        <f>AVERAGE(C26:G26)</f>
        <v>0.13725247005397251</v>
      </c>
      <c r="I26" s="25">
        <f>H26</f>
        <v>0.13725247005397251</v>
      </c>
      <c r="J26" s="25">
        <f t="shared" ref="J26:Q26" si="33">I26</f>
        <v>0.13725247005397251</v>
      </c>
      <c r="K26" s="25">
        <f t="shared" si="33"/>
        <v>0.13725247005397251</v>
      </c>
      <c r="L26" s="25">
        <f t="shared" si="33"/>
        <v>0.13725247005397251</v>
      </c>
      <c r="M26" s="25">
        <f t="shared" si="33"/>
        <v>0.13725247005397251</v>
      </c>
      <c r="N26" s="25">
        <f t="shared" si="33"/>
        <v>0.13725247005397251</v>
      </c>
      <c r="O26" s="25">
        <f t="shared" si="33"/>
        <v>0.13725247005397251</v>
      </c>
      <c r="P26" s="25">
        <f t="shared" si="33"/>
        <v>0.13725247005397251</v>
      </c>
      <c r="Q26" s="25">
        <f t="shared" si="33"/>
        <v>0.13725247005397251</v>
      </c>
    </row>
    <row r="28" spans="2:17" x14ac:dyDescent="0.25">
      <c r="B28" s="2" t="s">
        <v>95</v>
      </c>
      <c r="C28" s="35"/>
      <c r="D28" s="35"/>
      <c r="E28" s="35"/>
      <c r="F28" s="35"/>
      <c r="G28" s="35"/>
      <c r="H28" s="35"/>
      <c r="I28" s="35"/>
      <c r="J28" s="35"/>
      <c r="K28" s="35"/>
      <c r="L28" s="35"/>
      <c r="M28" s="35"/>
      <c r="N28" s="35"/>
      <c r="O28" s="35"/>
      <c r="P28" s="35"/>
      <c r="Q28" s="35"/>
    </row>
    <row r="29" spans="2:17" ht="5.0999999999999996" customHeight="1" x14ac:dyDescent="0.25"/>
    <row r="30" spans="2:17" x14ac:dyDescent="0.25">
      <c r="B30" s="31" t="s">
        <v>96</v>
      </c>
      <c r="C30" s="30"/>
      <c r="D30" s="30"/>
      <c r="E30" s="30"/>
      <c r="F30" s="30"/>
      <c r="G30" s="30"/>
      <c r="H30" s="34">
        <f>H31+5%</f>
        <v>0.52776216938311449</v>
      </c>
      <c r="I30" s="33">
        <f>H30*(1-$C$33)</f>
        <v>0.4222097355064916</v>
      </c>
      <c r="J30" s="33">
        <f t="shared" ref="J30:Q30" si="34">I30*(1-$C$33)</f>
        <v>0.33776778840519328</v>
      </c>
      <c r="K30" s="33">
        <f t="shared" si="34"/>
        <v>0.27021423072415462</v>
      </c>
      <c r="L30" s="33">
        <f t="shared" si="34"/>
        <v>0.21617138457932372</v>
      </c>
      <c r="M30" s="33">
        <f t="shared" si="34"/>
        <v>0.17293710766345899</v>
      </c>
      <c r="N30" s="33">
        <f t="shared" si="34"/>
        <v>0.1383496861307672</v>
      </c>
      <c r="O30" s="33">
        <f t="shared" si="34"/>
        <v>0.11067974890461377</v>
      </c>
      <c r="P30" s="33">
        <f t="shared" si="34"/>
        <v>8.8543799123691022E-2</v>
      </c>
      <c r="Q30" s="320">
        <f t="shared" si="34"/>
        <v>7.0835039298952823E-2</v>
      </c>
    </row>
    <row r="31" spans="2:17" x14ac:dyDescent="0.25">
      <c r="B31" s="31" t="s">
        <v>97</v>
      </c>
      <c r="C31" s="30"/>
      <c r="D31" s="30"/>
      <c r="E31" s="30"/>
      <c r="F31" s="30"/>
      <c r="G31" s="30"/>
      <c r="H31" s="34">
        <f>AVERAGE(C10:G10)</f>
        <v>0.47776216938311444</v>
      </c>
      <c r="I31" s="33">
        <f t="shared" ref="I31:Q32" si="35">H31*(1-$C$33)</f>
        <v>0.38220973550649157</v>
      </c>
      <c r="J31" s="33">
        <f t="shared" si="35"/>
        <v>0.30576778840519325</v>
      </c>
      <c r="K31" s="33">
        <f t="shared" si="35"/>
        <v>0.24461423072415461</v>
      </c>
      <c r="L31" s="33">
        <f t="shared" si="35"/>
        <v>0.1956913845793237</v>
      </c>
      <c r="M31" s="33">
        <f t="shared" si="35"/>
        <v>0.15655310766345898</v>
      </c>
      <c r="N31" s="33">
        <f t="shared" si="35"/>
        <v>0.12524248613076719</v>
      </c>
      <c r="O31" s="33">
        <f t="shared" si="35"/>
        <v>0.10019398890461376</v>
      </c>
      <c r="P31" s="33">
        <f t="shared" si="35"/>
        <v>8.0155191123691016E-2</v>
      </c>
      <c r="Q31" s="320">
        <f t="shared" si="35"/>
        <v>6.4124152898952819E-2</v>
      </c>
    </row>
    <row r="32" spans="2:17" x14ac:dyDescent="0.25">
      <c r="B32" s="32" t="s">
        <v>98</v>
      </c>
      <c r="C32" s="30"/>
      <c r="D32" s="30"/>
      <c r="E32" s="30"/>
      <c r="F32" s="30"/>
      <c r="G32" s="30"/>
      <c r="H32" s="34">
        <f>H31-5%</f>
        <v>0.42776216938311445</v>
      </c>
      <c r="I32" s="33">
        <f t="shared" si="35"/>
        <v>0.34220973550649159</v>
      </c>
      <c r="J32" s="33">
        <f t="shared" si="35"/>
        <v>0.27376778840519328</v>
      </c>
      <c r="K32" s="33">
        <f t="shared" si="35"/>
        <v>0.21901423072415463</v>
      </c>
      <c r="L32" s="33">
        <f t="shared" si="35"/>
        <v>0.17521138457932373</v>
      </c>
      <c r="M32" s="33">
        <f t="shared" si="35"/>
        <v>0.140169107663459</v>
      </c>
      <c r="N32" s="33">
        <f t="shared" si="35"/>
        <v>0.1121352861307672</v>
      </c>
      <c r="O32" s="33">
        <f t="shared" si="35"/>
        <v>8.9708228904613774E-2</v>
      </c>
      <c r="P32" s="33">
        <f t="shared" si="35"/>
        <v>7.1766583123691025E-2</v>
      </c>
      <c r="Q32" s="320">
        <f t="shared" si="35"/>
        <v>5.7413266498952821E-2</v>
      </c>
    </row>
    <row r="33" spans="2:3" x14ac:dyDescent="0.25">
      <c r="B33" s="28" t="s">
        <v>99</v>
      </c>
      <c r="C33" s="29">
        <v>0.2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Q19"/>
  <sheetViews>
    <sheetView showGridLines="0" topLeftCell="B1" workbookViewId="0">
      <selection activeCell="H18" sqref="H18"/>
    </sheetView>
  </sheetViews>
  <sheetFormatPr defaultRowHeight="15" x14ac:dyDescent="0.25"/>
  <cols>
    <col min="1" max="1" width="1.85546875" customWidth="1"/>
    <col min="2" max="2" width="27.140625" bestFit="1" customWidth="1"/>
    <col min="3" max="7" width="6.7109375" customWidth="1"/>
    <col min="8" max="17" width="6.42578125" customWidth="1"/>
  </cols>
  <sheetData>
    <row r="6" spans="2:17" x14ac:dyDescent="0.25">
      <c r="B6" s="235" t="s">
        <v>279</v>
      </c>
    </row>
    <row r="7" spans="2:17" x14ac:dyDescent="0.25">
      <c r="B7" s="11" t="s">
        <v>0</v>
      </c>
      <c r="C7" s="13">
        <v>2021</v>
      </c>
      <c r="D7" s="13">
        <f>C7+1</f>
        <v>2022</v>
      </c>
      <c r="E7" s="13">
        <f t="shared" ref="E7:Q7" si="0">D7+1</f>
        <v>2023</v>
      </c>
      <c r="F7" s="13">
        <f t="shared" si="0"/>
        <v>2024</v>
      </c>
      <c r="G7" s="13">
        <f t="shared" si="0"/>
        <v>2025</v>
      </c>
      <c r="H7" s="14">
        <f t="shared" si="0"/>
        <v>2026</v>
      </c>
      <c r="I7" s="14">
        <f t="shared" si="0"/>
        <v>2027</v>
      </c>
      <c r="J7" s="14">
        <f t="shared" si="0"/>
        <v>2028</v>
      </c>
      <c r="K7" s="14">
        <f t="shared" si="0"/>
        <v>2029</v>
      </c>
      <c r="L7" s="14">
        <f t="shared" si="0"/>
        <v>2030</v>
      </c>
      <c r="M7" s="14">
        <f t="shared" si="0"/>
        <v>2031</v>
      </c>
      <c r="N7" s="14">
        <f t="shared" si="0"/>
        <v>2032</v>
      </c>
      <c r="O7" s="14">
        <f t="shared" si="0"/>
        <v>2033</v>
      </c>
      <c r="P7" s="14">
        <f t="shared" si="0"/>
        <v>2034</v>
      </c>
      <c r="Q7" s="14">
        <f t="shared" si="0"/>
        <v>2035</v>
      </c>
    </row>
    <row r="8" spans="2:17" ht="15" customHeight="1" x14ac:dyDescent="0.25"/>
    <row r="9" spans="2:17" x14ac:dyDescent="0.25">
      <c r="B9" s="2" t="s">
        <v>92</v>
      </c>
      <c r="C9" s="212">
        <f>Revenue_BuildUp!C9</f>
        <v>1978.51</v>
      </c>
      <c r="D9" s="212">
        <f>Revenue_BuildUp!D9</f>
        <v>3308.95</v>
      </c>
      <c r="E9" s="212">
        <f>Revenue_BuildUp!E9</f>
        <v>588.44999999999993</v>
      </c>
      <c r="F9" s="212">
        <f>Revenue_BuildUp!F9</f>
        <v>1490.13</v>
      </c>
      <c r="G9" s="212">
        <f>Revenue_BuildUp!G9</f>
        <v>2277.62</v>
      </c>
      <c r="H9" s="212">
        <f>Revenue_BuildUp!H9</f>
        <v>3365.780672230369</v>
      </c>
      <c r="I9" s="212">
        <f>Revenue_BuildUp!I9</f>
        <v>4652.2148127363998</v>
      </c>
      <c r="J9" s="212">
        <f>Revenue_BuildUp!J9</f>
        <v>6074.7122472126894</v>
      </c>
      <c r="K9" s="212">
        <f>Revenue_BuildUp!K9</f>
        <v>7560.6733104352215</v>
      </c>
      <c r="L9" s="212">
        <f>Revenue_BuildUp!L9</f>
        <v>9040.2319389062304</v>
      </c>
      <c r="M9" s="212">
        <f>Revenue_BuildUp!M9</f>
        <v>10455.508342940459</v>
      </c>
      <c r="N9" s="212">
        <f>Revenue_BuildUp!N9</f>
        <v>11764.9822015713</v>
      </c>
      <c r="O9" s="212">
        <f>Revenue_BuildUp!O9</f>
        <v>12943.762697738513</v>
      </c>
      <c r="P9" s="212">
        <f>Revenue_BuildUp!P9</f>
        <v>13981.272470635447</v>
      </c>
      <c r="Q9" s="212">
        <f>Revenue_BuildUp!Q9</f>
        <v>14877.809724264396</v>
      </c>
    </row>
    <row r="11" spans="2:17" x14ac:dyDescent="0.25">
      <c r="B11" s="1" t="s">
        <v>102</v>
      </c>
      <c r="C11" s="210">
        <f>'Historical P&amp;L'!C17</f>
        <v>56.11</v>
      </c>
      <c r="D11" s="210">
        <f>'Historical P&amp;L'!D17</f>
        <v>81.83</v>
      </c>
      <c r="E11" s="210">
        <f>'Historical P&amp;L'!E17</f>
        <v>124.52</v>
      </c>
      <c r="F11" s="210">
        <f>'Historical P&amp;L'!F17</f>
        <v>48.36</v>
      </c>
      <c r="G11" s="210">
        <f>'Historical P&amp;L'!G17</f>
        <v>62.01</v>
      </c>
      <c r="H11" s="15">
        <f>H12*H9</f>
        <v>218.35550621174147</v>
      </c>
      <c r="I11" s="15">
        <f t="shared" ref="I11:Q11" si="1">I12*I9</f>
        <v>301.81310648731727</v>
      </c>
      <c r="J11" s="15">
        <f t="shared" si="1"/>
        <v>394.09783256964533</v>
      </c>
      <c r="K11" s="15">
        <f t="shared" si="1"/>
        <v>490.49977071372581</v>
      </c>
      <c r="L11" s="15">
        <f t="shared" si="1"/>
        <v>586.48634998053569</v>
      </c>
      <c r="M11" s="15">
        <f t="shared" si="1"/>
        <v>678.3026106721876</v>
      </c>
      <c r="N11" s="15">
        <f t="shared" si="1"/>
        <v>763.25491598176234</v>
      </c>
      <c r="O11" s="15">
        <f t="shared" si="1"/>
        <v>839.72847056503088</v>
      </c>
      <c r="P11" s="15">
        <f t="shared" si="1"/>
        <v>907.03706661517583</v>
      </c>
      <c r="Q11" s="15">
        <f t="shared" si="1"/>
        <v>965.20005015982508</v>
      </c>
    </row>
    <row r="12" spans="2:17" x14ac:dyDescent="0.25">
      <c r="B12" s="18" t="s">
        <v>101</v>
      </c>
      <c r="C12" s="19">
        <f>C11/C9</f>
        <v>2.8359725247787477E-2</v>
      </c>
      <c r="D12" s="19">
        <f t="shared" ref="D12:G12" si="2">D11/D9</f>
        <v>2.4729899212741203E-2</v>
      </c>
      <c r="E12" s="19">
        <f t="shared" si="2"/>
        <v>0.21160676353131108</v>
      </c>
      <c r="F12" s="19">
        <f t="shared" si="2"/>
        <v>3.2453544321636364E-2</v>
      </c>
      <c r="G12" s="19">
        <f t="shared" si="2"/>
        <v>2.7225788322898466E-2</v>
      </c>
      <c r="H12" s="25">
        <f>AVERAGE(C12:G12)</f>
        <v>6.4875144127274922E-2</v>
      </c>
      <c r="I12" s="25">
        <f>H12</f>
        <v>6.4875144127274922E-2</v>
      </c>
      <c r="J12" s="25">
        <f t="shared" ref="J12:Q12" si="3">I12</f>
        <v>6.4875144127274922E-2</v>
      </c>
      <c r="K12" s="25">
        <f t="shared" si="3"/>
        <v>6.4875144127274922E-2</v>
      </c>
      <c r="L12" s="25">
        <f t="shared" si="3"/>
        <v>6.4875144127274922E-2</v>
      </c>
      <c r="M12" s="25">
        <f t="shared" si="3"/>
        <v>6.4875144127274922E-2</v>
      </c>
      <c r="N12" s="25">
        <f t="shared" si="3"/>
        <v>6.4875144127274922E-2</v>
      </c>
      <c r="O12" s="25">
        <f t="shared" si="3"/>
        <v>6.4875144127274922E-2</v>
      </c>
      <c r="P12" s="25">
        <f t="shared" si="3"/>
        <v>6.4875144127274922E-2</v>
      </c>
      <c r="Q12" s="25">
        <f t="shared" si="3"/>
        <v>6.4875144127274922E-2</v>
      </c>
    </row>
    <row r="14" spans="2:17" x14ac:dyDescent="0.25">
      <c r="B14" s="1" t="s">
        <v>10</v>
      </c>
      <c r="C14" s="210">
        <f>'Historical P&amp;L'!C19</f>
        <v>170.92</v>
      </c>
      <c r="D14" s="210">
        <f>'Historical P&amp;L'!D19</f>
        <v>225.61</v>
      </c>
      <c r="E14" s="210">
        <f>'Historical P&amp;L'!E19</f>
        <v>312.42</v>
      </c>
      <c r="F14" s="210">
        <f>'Historical P&amp;L'!F19</f>
        <v>385.57</v>
      </c>
      <c r="G14" s="210">
        <f>'Historical P&amp;L'!G19</f>
        <v>556.24</v>
      </c>
      <c r="H14" s="15">
        <f>H15*H9</f>
        <v>800.01865853378536</v>
      </c>
      <c r="I14" s="15">
        <f t="shared" ref="I14:Q14" si="4">I15*I9</f>
        <v>1105.7935784122417</v>
      </c>
      <c r="J14" s="15">
        <f t="shared" si="4"/>
        <v>1443.9096353160176</v>
      </c>
      <c r="K14" s="15">
        <f t="shared" si="4"/>
        <v>1797.1104799940399</v>
      </c>
      <c r="L14" s="15">
        <f t="shared" si="4"/>
        <v>2148.7895180660867</v>
      </c>
      <c r="M14" s="15">
        <f t="shared" si="4"/>
        <v>2485.189194833999</v>
      </c>
      <c r="N14" s="15">
        <f t="shared" si="4"/>
        <v>2796.4404681003289</v>
      </c>
      <c r="O14" s="15">
        <f t="shared" si="4"/>
        <v>3076.6269933335861</v>
      </c>
      <c r="P14" s="15">
        <f t="shared" si="4"/>
        <v>3323.234618000547</v>
      </c>
      <c r="Q14" s="15">
        <f t="shared" si="4"/>
        <v>3536.3342227643075</v>
      </c>
    </row>
    <row r="15" spans="2:17" x14ac:dyDescent="0.25">
      <c r="B15" s="18" t="s">
        <v>101</v>
      </c>
      <c r="C15" s="19">
        <f>C14/C9</f>
        <v>8.6388241656600168E-2</v>
      </c>
      <c r="D15" s="19">
        <f t="shared" ref="D15:G15" si="5">D14/D9</f>
        <v>6.8181749497574773E-2</v>
      </c>
      <c r="E15" s="19">
        <f t="shared" si="5"/>
        <v>0.53092021412184565</v>
      </c>
      <c r="F15" s="19">
        <f t="shared" si="5"/>
        <v>0.25874923664378274</v>
      </c>
      <c r="G15" s="19">
        <f t="shared" si="5"/>
        <v>0.24421984352086828</v>
      </c>
      <c r="H15" s="25">
        <f>AVERAGE(C15:G15)</f>
        <v>0.23769185708813428</v>
      </c>
      <c r="I15" s="25">
        <f>H15</f>
        <v>0.23769185708813428</v>
      </c>
      <c r="J15" s="25">
        <f t="shared" ref="J15:Q15" si="6">I15</f>
        <v>0.23769185708813428</v>
      </c>
      <c r="K15" s="25">
        <f t="shared" si="6"/>
        <v>0.23769185708813428</v>
      </c>
      <c r="L15" s="25">
        <f t="shared" si="6"/>
        <v>0.23769185708813428</v>
      </c>
      <c r="M15" s="25">
        <f t="shared" si="6"/>
        <v>0.23769185708813428</v>
      </c>
      <c r="N15" s="25">
        <f t="shared" si="6"/>
        <v>0.23769185708813428</v>
      </c>
      <c r="O15" s="25">
        <f t="shared" si="6"/>
        <v>0.23769185708813428</v>
      </c>
      <c r="P15" s="25">
        <f t="shared" si="6"/>
        <v>0.23769185708813428</v>
      </c>
      <c r="Q15" s="25">
        <f t="shared" si="6"/>
        <v>0.23769185708813428</v>
      </c>
    </row>
    <row r="18" spans="2:17" x14ac:dyDescent="0.25">
      <c r="B18" s="2" t="s">
        <v>104</v>
      </c>
      <c r="C18" s="212">
        <f>SUM('Historical P&amp;L'!C29:C30)</f>
        <v>370.28000000000003</v>
      </c>
      <c r="D18" s="212">
        <f>SUM('Historical P&amp;L'!D29:D30)</f>
        <v>3039.2999999999997</v>
      </c>
      <c r="E18" s="212">
        <f>SUM('Historical P&amp;L'!E29:E30)</f>
        <v>-351.16</v>
      </c>
      <c r="F18" s="212">
        <f>SUM('Historical P&amp;L'!F29:F30)</f>
        <v>935.96</v>
      </c>
      <c r="G18" s="212">
        <f>SUM('Historical P&amp;L'!G29:G30)</f>
        <v>1497.02</v>
      </c>
      <c r="H18" s="2">
        <f>H19*'Income Statement'!H30</f>
        <v>1772.1537278638459</v>
      </c>
      <c r="I18" s="2">
        <f>I19*'Income Statement'!I30</f>
        <v>2449.5160020222402</v>
      </c>
      <c r="J18" s="2">
        <f>J19*'Income Statement'!J30</f>
        <v>3465.7723917359581</v>
      </c>
      <c r="K18" s="2">
        <f>K19*'Income Statement'!K30</f>
        <v>4313.5382732262897</v>
      </c>
      <c r="L18" s="2">
        <f>L19*'Income Statement'!L30</f>
        <v>5555.3990598263108</v>
      </c>
      <c r="M18" s="2">
        <f>M19*'Income Statement'!M30</f>
        <v>6425.1327723600198</v>
      </c>
      <c r="N18" s="2">
        <f>N19*'Income Statement'!N30</f>
        <v>7747.4048841048862</v>
      </c>
      <c r="O18" s="2">
        <f>O19*'Income Statement'!O30</f>
        <v>8523.6651323418537</v>
      </c>
      <c r="P18" s="2">
        <f>P19*'Income Statement'!P30</f>
        <v>9821.9905739681508</v>
      </c>
      <c r="Q18" s="2">
        <f>Q19*'Income Statement'!Q30</f>
        <v>10451.792757705254</v>
      </c>
    </row>
    <row r="19" spans="2:17" x14ac:dyDescent="0.25">
      <c r="B19" s="18" t="s">
        <v>105</v>
      </c>
      <c r="C19" s="19">
        <f>C18/'Income Statement'!C30</f>
        <v>2.7795814713585554E-2</v>
      </c>
      <c r="D19" s="19">
        <f>D18/'Income Statement'!D30</f>
        <v>6.614778031789588E-2</v>
      </c>
      <c r="E19" s="19">
        <f>E18/'Income Statement'!E30</f>
        <v>-1.5612592865939599E-2</v>
      </c>
      <c r="F19" s="19">
        <f>F18/'Income Statement'!F30</f>
        <v>4.8185699973537922E-2</v>
      </c>
      <c r="G19" s="19">
        <f>G18/'Income Statement'!G30</f>
        <v>5.4841140489988227E-2</v>
      </c>
      <c r="H19" s="25">
        <f>G19+Assumptions!C16</f>
        <v>5.9841140489988225E-2</v>
      </c>
      <c r="I19" s="25">
        <f>H19</f>
        <v>5.9841140489988225E-2</v>
      </c>
      <c r="J19" s="25">
        <f>I19+Assumptions!$C$16</f>
        <v>6.4841140489988222E-2</v>
      </c>
      <c r="K19" s="25">
        <f>J19</f>
        <v>6.4841140489988222E-2</v>
      </c>
      <c r="L19" s="25">
        <f>K19+Assumptions!$C$16</f>
        <v>6.9841140489988227E-2</v>
      </c>
      <c r="M19" s="25">
        <f>L19</f>
        <v>6.9841140489988227E-2</v>
      </c>
      <c r="N19" s="25">
        <f>M19+Assumptions!$C$16</f>
        <v>7.4841140489988231E-2</v>
      </c>
      <c r="O19" s="25">
        <f>N19</f>
        <v>7.4841140489988231E-2</v>
      </c>
      <c r="P19" s="25">
        <f>O19+Assumptions!$C$16</f>
        <v>7.9841140489988235E-2</v>
      </c>
      <c r="Q19" s="25">
        <f>P19</f>
        <v>7.9841140489988235E-2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Q15"/>
  <sheetViews>
    <sheetView showGridLines="0" workbookViewId="0">
      <selection activeCell="H13" sqref="H13"/>
    </sheetView>
  </sheetViews>
  <sheetFormatPr defaultRowHeight="15" x14ac:dyDescent="0.25"/>
  <cols>
    <col min="1" max="1" width="1.85546875" customWidth="1"/>
    <col min="2" max="2" width="48.5703125" bestFit="1" customWidth="1"/>
    <col min="4" max="4" width="12.85546875" bestFit="1" customWidth="1"/>
    <col min="5" max="5" width="10.28515625" bestFit="1" customWidth="1"/>
    <col min="6" max="6" width="11" bestFit="1" customWidth="1"/>
    <col min="7" max="7" width="10.28515625" bestFit="1" customWidth="1"/>
  </cols>
  <sheetData>
    <row r="6" spans="2:17" x14ac:dyDescent="0.25">
      <c r="B6" s="235" t="s">
        <v>279</v>
      </c>
    </row>
    <row r="7" spans="2:17" x14ac:dyDescent="0.25">
      <c r="B7" s="11" t="s">
        <v>0</v>
      </c>
      <c r="C7" s="13">
        <v>2021</v>
      </c>
      <c r="D7" s="13">
        <f>C7+1</f>
        <v>2022</v>
      </c>
      <c r="E7" s="13">
        <f t="shared" ref="E7:Q7" si="0">D7+1</f>
        <v>2023</v>
      </c>
      <c r="F7" s="13">
        <f t="shared" si="0"/>
        <v>2024</v>
      </c>
      <c r="G7" s="13">
        <f t="shared" si="0"/>
        <v>2025</v>
      </c>
      <c r="H7" s="14">
        <f t="shared" si="0"/>
        <v>2026</v>
      </c>
      <c r="I7" s="14">
        <f t="shared" si="0"/>
        <v>2027</v>
      </c>
      <c r="J7" s="14">
        <f t="shared" si="0"/>
        <v>2028</v>
      </c>
      <c r="K7" s="14">
        <f t="shared" si="0"/>
        <v>2029</v>
      </c>
      <c r="L7" s="14">
        <f t="shared" si="0"/>
        <v>2030</v>
      </c>
      <c r="M7" s="14">
        <f t="shared" si="0"/>
        <v>2031</v>
      </c>
      <c r="N7" s="14">
        <f t="shared" si="0"/>
        <v>2032</v>
      </c>
      <c r="O7" s="14">
        <f t="shared" si="0"/>
        <v>2033</v>
      </c>
      <c r="P7" s="14">
        <f t="shared" si="0"/>
        <v>2034</v>
      </c>
      <c r="Q7" s="14">
        <f t="shared" si="0"/>
        <v>2035</v>
      </c>
    </row>
    <row r="9" spans="2:17" x14ac:dyDescent="0.25">
      <c r="B9" s="1" t="s">
        <v>126</v>
      </c>
      <c r="G9" s="60"/>
    </row>
    <row r="10" spans="2:17" x14ac:dyDescent="0.25">
      <c r="B10" s="2" t="s">
        <v>127</v>
      </c>
      <c r="C10" s="2"/>
      <c r="D10" s="59">
        <f>C13</f>
        <v>321.67</v>
      </c>
      <c r="E10" s="59">
        <f t="shared" ref="E10:Q10" si="1">D13</f>
        <v>320.89999999999998</v>
      </c>
      <c r="F10" s="59">
        <f t="shared" si="1"/>
        <v>320.18</v>
      </c>
      <c r="G10" s="59">
        <f t="shared" si="1"/>
        <v>319.45999999999998</v>
      </c>
      <c r="H10" s="59">
        <f t="shared" si="1"/>
        <v>318.74</v>
      </c>
      <c r="I10" s="59">
        <f t="shared" si="1"/>
        <v>317.53357024904591</v>
      </c>
      <c r="J10" s="59">
        <f t="shared" si="1"/>
        <v>316.33170683035002</v>
      </c>
      <c r="K10" s="59">
        <f t="shared" si="1"/>
        <v>315.13439246036125</v>
      </c>
      <c r="L10" s="59">
        <f t="shared" si="1"/>
        <v>313.46890833225609</v>
      </c>
      <c r="M10" s="59">
        <f t="shared" si="1"/>
        <v>311.81222628176391</v>
      </c>
      <c r="N10" s="59">
        <f t="shared" si="1"/>
        <v>310.16429978993631</v>
      </c>
      <c r="O10" s="59">
        <f t="shared" si="1"/>
        <v>308.05983613399241</v>
      </c>
      <c r="P10" s="59">
        <f t="shared" si="1"/>
        <v>305.96965125636757</v>
      </c>
      <c r="Q10" s="59">
        <f t="shared" si="1"/>
        <v>303.8936482756024</v>
      </c>
    </row>
    <row r="11" spans="2:17" x14ac:dyDescent="0.25">
      <c r="B11" s="5" t="s">
        <v>128</v>
      </c>
      <c r="D11" s="60">
        <f>D13-D10+D12</f>
        <v>-3.8635761256955448E-14</v>
      </c>
      <c r="E11" s="60">
        <f t="shared" ref="E11:G11" si="2">E13-E10+E12</f>
        <v>2.9531932455029164E-14</v>
      </c>
      <c r="F11" s="60">
        <f t="shared" si="2"/>
        <v>-2.7311486405778851E-14</v>
      </c>
      <c r="G11" s="60">
        <f t="shared" si="2"/>
        <v>2.9531932455029164E-14</v>
      </c>
      <c r="H11" s="60">
        <f>AVERAGE(D11:G11)*(1+Assumptions!$C$15)</f>
        <v>-1.7294499166098375E-15</v>
      </c>
      <c r="I11" s="60">
        <f>AVERAGE(E11:H11)*(1+Assumptions!$C$15)</f>
        <v>7.5432608076519966E-15</v>
      </c>
      <c r="J11" s="60">
        <f>AVERAGE(F11:I11)*(1+Assumptions!$C$15)</f>
        <v>2.0186070562484832E-15</v>
      </c>
      <c r="K11" s="60">
        <f>AVERAGE(G11:J11)*(1+Assumptions!$C$15)</f>
        <v>9.3877930385828489E-15</v>
      </c>
      <c r="L11" s="60">
        <f>AVERAGE(H11:K11)*(1+Assumptions!$C$15)</f>
        <v>4.3265780102007144E-15</v>
      </c>
      <c r="M11" s="60">
        <f>AVERAGE(I11:L11)*(1+Assumptions!$C$15)</f>
        <v>5.8481550268118645E-15</v>
      </c>
      <c r="N11" s="60">
        <f>AVERAGE(J11:M11)*(1+Assumptions!$C$15)</f>
        <v>5.4222596993757814E-15</v>
      </c>
      <c r="O11" s="60">
        <f>AVERAGE(K11:N11)*(1+Assumptions!$C$15)</f>
        <v>6.2774274259615153E-15</v>
      </c>
      <c r="P11" s="60">
        <f>AVERAGE(L11:O11)*(1+Assumptions!$C$15)</f>
        <v>5.4959480657904055E-15</v>
      </c>
      <c r="Q11" s="60">
        <f>AVERAGE(M11:P11)*(1+Assumptions!$C$15)</f>
        <v>5.7897522922573155E-15</v>
      </c>
    </row>
    <row r="12" spans="2:17" x14ac:dyDescent="0.25">
      <c r="B12" s="5" t="s">
        <v>129</v>
      </c>
      <c r="C12" s="60">
        <f>'Historical P&amp;L'!C18</f>
        <v>0.88</v>
      </c>
      <c r="D12" s="60">
        <f>'Historical P&amp;L'!D18</f>
        <v>0.77</v>
      </c>
      <c r="E12" s="60">
        <f>'Historical P&amp;L'!E18</f>
        <v>0.72</v>
      </c>
      <c r="F12" s="60">
        <f>'Historical P&amp;L'!F18</f>
        <v>0.72</v>
      </c>
      <c r="G12" s="60">
        <f>'Historical P&amp;L'!G18</f>
        <v>0.72</v>
      </c>
      <c r="H12" s="60">
        <f>H10*H15</f>
        <v>1.2064297509540971</v>
      </c>
      <c r="I12" s="60">
        <f t="shared" ref="I12:Q12" si="3">I10*I15</f>
        <v>1.2018634186958705</v>
      </c>
      <c r="J12" s="60">
        <f t="shared" si="3"/>
        <v>1.1973143699887798</v>
      </c>
      <c r="K12" s="60">
        <f t="shared" si="3"/>
        <v>1.6654841281051882</v>
      </c>
      <c r="L12" s="60">
        <f t="shared" si="3"/>
        <v>1.6566820504921609</v>
      </c>
      <c r="M12" s="60">
        <f t="shared" si="3"/>
        <v>1.6479264918275873</v>
      </c>
      <c r="N12" s="60">
        <f t="shared" si="3"/>
        <v>2.1044636559438969</v>
      </c>
      <c r="O12" s="60">
        <f t="shared" si="3"/>
        <v>2.0901848776248309</v>
      </c>
      <c r="P12" s="60">
        <f t="shared" si="3"/>
        <v>2.0760029807651854</v>
      </c>
      <c r="Q12" s="60">
        <f t="shared" si="3"/>
        <v>2.5177577804380111</v>
      </c>
    </row>
    <row r="13" spans="2:17" ht="15.75" thickBot="1" x14ac:dyDescent="0.3">
      <c r="B13" s="6" t="s">
        <v>130</v>
      </c>
      <c r="C13" s="213">
        <f>'Historical B_Sheet'!C25</f>
        <v>321.67</v>
      </c>
      <c r="D13" s="213">
        <f>'Historical B_Sheet'!D25</f>
        <v>320.89999999999998</v>
      </c>
      <c r="E13" s="213">
        <f>'Historical B_Sheet'!E25</f>
        <v>320.18</v>
      </c>
      <c r="F13" s="213">
        <f>'Historical B_Sheet'!F25</f>
        <v>319.45999999999998</v>
      </c>
      <c r="G13" s="213">
        <f>'Historical B_Sheet'!G25</f>
        <v>318.74</v>
      </c>
      <c r="H13" s="61">
        <f>H10+H11-H12</f>
        <v>317.53357024904591</v>
      </c>
      <c r="I13" s="61">
        <f t="shared" ref="I13:Q13" si="4">I10+I11-I12</f>
        <v>316.33170683035002</v>
      </c>
      <c r="J13" s="61">
        <f t="shared" si="4"/>
        <v>315.13439246036125</v>
      </c>
      <c r="K13" s="61">
        <f t="shared" si="4"/>
        <v>313.46890833225609</v>
      </c>
      <c r="L13" s="61">
        <f t="shared" si="4"/>
        <v>311.81222628176391</v>
      </c>
      <c r="M13" s="61">
        <f t="shared" si="4"/>
        <v>310.16429978993631</v>
      </c>
      <c r="N13" s="61">
        <f t="shared" si="4"/>
        <v>308.05983613399241</v>
      </c>
      <c r="O13" s="61">
        <f t="shared" si="4"/>
        <v>305.96965125636757</v>
      </c>
      <c r="P13" s="61">
        <f t="shared" si="4"/>
        <v>303.8936482756024</v>
      </c>
      <c r="Q13" s="61">
        <f t="shared" si="4"/>
        <v>301.37589049516441</v>
      </c>
    </row>
    <row r="15" spans="2:17" ht="15.75" thickBot="1" x14ac:dyDescent="0.3">
      <c r="B15" s="62" t="s">
        <v>131</v>
      </c>
      <c r="C15" s="62"/>
      <c r="D15" s="63">
        <f>D12/D10</f>
        <v>2.3937575776416826E-3</v>
      </c>
      <c r="E15" s="63">
        <f t="shared" ref="E15:G15" si="5">E12/E10</f>
        <v>2.2436896229354941E-3</v>
      </c>
      <c r="F15" s="63">
        <f t="shared" si="5"/>
        <v>2.248735086513836E-3</v>
      </c>
      <c r="G15" s="63">
        <f t="shared" si="5"/>
        <v>2.2538032930570339E-3</v>
      </c>
      <c r="H15" s="64">
        <f>AVERAGE(D15:G15)+Assumptions!$C$17</f>
        <v>3.7849963950370119E-3</v>
      </c>
      <c r="I15" s="64">
        <f>H15</f>
        <v>3.7849963950370119E-3</v>
      </c>
      <c r="J15" s="65">
        <f>I15</f>
        <v>3.7849963950370119E-3</v>
      </c>
      <c r="K15" s="65">
        <f>J15+Assumptions!C17</f>
        <v>5.2849963950370119E-3</v>
      </c>
      <c r="L15" s="65">
        <f>K15</f>
        <v>5.2849963950370119E-3</v>
      </c>
      <c r="M15" s="65">
        <f>L15</f>
        <v>5.2849963950370119E-3</v>
      </c>
      <c r="N15" s="65">
        <f>M15+Assumptions!C17</f>
        <v>6.7849963950370115E-3</v>
      </c>
      <c r="O15" s="65">
        <f>N15</f>
        <v>6.7849963950370115E-3</v>
      </c>
      <c r="P15" s="65">
        <f>O15</f>
        <v>6.7849963950370115E-3</v>
      </c>
      <c r="Q15" s="65">
        <f>P15+Assumptions!C17</f>
        <v>8.2849963950370111E-3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Q23"/>
  <sheetViews>
    <sheetView showGridLines="0" topLeftCell="C5" zoomScale="80" zoomScaleNormal="80" workbookViewId="0">
      <selection activeCell="Q30" sqref="Q30"/>
    </sheetView>
  </sheetViews>
  <sheetFormatPr defaultRowHeight="15" x14ac:dyDescent="0.25"/>
  <cols>
    <col min="1" max="1" width="1.85546875" customWidth="1"/>
    <col min="2" max="2" width="60" bestFit="1" customWidth="1"/>
    <col min="3" max="3" width="10.7109375" bestFit="1" customWidth="1"/>
    <col min="4" max="4" width="11.5703125" bestFit="1" customWidth="1"/>
    <col min="5" max="7" width="10.85546875" bestFit="1" customWidth="1"/>
    <col min="8" max="11" width="9.7109375" bestFit="1" customWidth="1"/>
    <col min="12" max="17" width="10.7109375" bestFit="1" customWidth="1"/>
  </cols>
  <sheetData>
    <row r="5" spans="1:17" x14ac:dyDescent="0.25">
      <c r="A5" s="12"/>
    </row>
    <row r="6" spans="1:17" x14ac:dyDescent="0.25">
      <c r="B6" s="235" t="s">
        <v>279</v>
      </c>
    </row>
    <row r="7" spans="1:17" x14ac:dyDescent="0.25">
      <c r="B7" s="11" t="s">
        <v>0</v>
      </c>
      <c r="C7" s="13">
        <v>2021</v>
      </c>
      <c r="D7" s="13">
        <f>C7+1</f>
        <v>2022</v>
      </c>
      <c r="E7" s="13">
        <f t="shared" ref="E7:Q7" si="0">D7+1</f>
        <v>2023</v>
      </c>
      <c r="F7" s="13">
        <f t="shared" si="0"/>
        <v>2024</v>
      </c>
      <c r="G7" s="13">
        <f t="shared" si="0"/>
        <v>2025</v>
      </c>
      <c r="H7" s="14">
        <f t="shared" si="0"/>
        <v>2026</v>
      </c>
      <c r="I7" s="14">
        <f t="shared" si="0"/>
        <v>2027</v>
      </c>
      <c r="J7" s="14">
        <f t="shared" si="0"/>
        <v>2028</v>
      </c>
      <c r="K7" s="14">
        <f t="shared" si="0"/>
        <v>2029</v>
      </c>
      <c r="L7" s="14">
        <f t="shared" si="0"/>
        <v>2030</v>
      </c>
      <c r="M7" s="14">
        <f t="shared" si="0"/>
        <v>2031</v>
      </c>
      <c r="N7" s="14">
        <f t="shared" si="0"/>
        <v>2032</v>
      </c>
      <c r="O7" s="14">
        <f t="shared" si="0"/>
        <v>2033</v>
      </c>
      <c r="P7" s="14">
        <f t="shared" si="0"/>
        <v>2034</v>
      </c>
      <c r="Q7" s="14">
        <f t="shared" si="0"/>
        <v>2035</v>
      </c>
    </row>
    <row r="9" spans="1:17" x14ac:dyDescent="0.25">
      <c r="A9" t="s">
        <v>151</v>
      </c>
      <c r="B9" s="1" t="s">
        <v>58</v>
      </c>
      <c r="C9" s="3"/>
      <c r="D9" s="3"/>
      <c r="E9" s="3"/>
      <c r="F9" s="3"/>
      <c r="G9" s="3"/>
    </row>
    <row r="10" spans="1:17" x14ac:dyDescent="0.25">
      <c r="B10" t="s">
        <v>147</v>
      </c>
      <c r="D10" s="16">
        <f>C12</f>
        <v>216675.61</v>
      </c>
      <c r="E10" s="16">
        <f t="shared" ref="E10:Q10" si="1">D12</f>
        <v>229117.91</v>
      </c>
      <c r="F10" s="16">
        <f t="shared" si="1"/>
        <v>262650.13</v>
      </c>
      <c r="G10" s="16">
        <f t="shared" si="1"/>
        <v>281033.31</v>
      </c>
      <c r="H10" s="16">
        <f t="shared" si="1"/>
        <v>304669.13</v>
      </c>
      <c r="I10" s="16">
        <f t="shared" si="1"/>
        <v>326475.6147681892</v>
      </c>
      <c r="J10" s="16">
        <f t="shared" si="1"/>
        <v>350777.57454157626</v>
      </c>
      <c r="K10" s="16">
        <f t="shared" si="1"/>
        <v>377932.9435955474</v>
      </c>
      <c r="L10" s="16">
        <f t="shared" si="1"/>
        <v>408360.84343315609</v>
      </c>
      <c r="M10" s="16">
        <f t="shared" si="1"/>
        <v>442553.64290786459</v>
      </c>
      <c r="N10" s="16">
        <f t="shared" si="1"/>
        <v>481091.70095278695</v>
      </c>
      <c r="O10" s="16">
        <f t="shared" si="1"/>
        <v>524661.45526641968</v>
      </c>
      <c r="P10" s="16">
        <f t="shared" si="1"/>
        <v>574077.70062018372</v>
      </c>
      <c r="Q10" s="16">
        <f t="shared" si="1"/>
        <v>630311.13418017118</v>
      </c>
    </row>
    <row r="11" spans="1:17" x14ac:dyDescent="0.25">
      <c r="B11" t="s">
        <v>148</v>
      </c>
      <c r="C11" s="21"/>
      <c r="D11" s="16">
        <f>D12-D10</f>
        <v>12442.300000000017</v>
      </c>
      <c r="E11" s="16">
        <f>E12-E10</f>
        <v>33532.22</v>
      </c>
      <c r="F11" s="16">
        <f t="shared" ref="F11:H11" si="2">F12-F10</f>
        <v>18383.179999999993</v>
      </c>
      <c r="G11" s="16">
        <f t="shared" si="2"/>
        <v>23635.820000000007</v>
      </c>
      <c r="H11" s="16">
        <f t="shared" si="2"/>
        <v>21806.484768189199</v>
      </c>
      <c r="I11" s="16">
        <f t="shared" ref="I11" si="3">I12-I10</f>
        <v>24301.959773387061</v>
      </c>
      <c r="J11" s="16">
        <f t="shared" ref="J11" si="4">J12-J10</f>
        <v>27155.369053971139</v>
      </c>
      <c r="K11" s="16">
        <f t="shared" ref="K11" si="5">K12-K10</f>
        <v>30427.899837608682</v>
      </c>
      <c r="L11" s="16">
        <f t="shared" ref="L11" si="6">L12-L10</f>
        <v>34192.799474708503</v>
      </c>
      <c r="M11" s="16">
        <f t="shared" ref="M11" si="7">M12-M10</f>
        <v>38538.058044922363</v>
      </c>
      <c r="N11" s="16">
        <f t="shared" ref="N11" si="8">N12-N10</f>
        <v>43569.754313632729</v>
      </c>
      <c r="O11" s="16">
        <f t="shared" ref="O11" si="9">O12-O10</f>
        <v>49416.245353764039</v>
      </c>
      <c r="P11" s="16">
        <f t="shared" ref="P11" si="10">P12-P10</f>
        <v>56233.433559987461</v>
      </c>
      <c r="Q11" s="16">
        <f t="shared" ref="Q11" si="11">Q12-Q10</f>
        <v>64211.415314790676</v>
      </c>
    </row>
    <row r="12" spans="1:17" x14ac:dyDescent="0.25">
      <c r="A12" s="86"/>
      <c r="B12" s="9" t="s">
        <v>149</v>
      </c>
      <c r="C12" s="207">
        <f>'Historical B_Sheet'!C17</f>
        <v>216675.61</v>
      </c>
      <c r="D12" s="206">
        <f>'Historical B_Sheet'!D16</f>
        <v>229117.91</v>
      </c>
      <c r="E12" s="206">
        <f>'Historical B_Sheet'!E16</f>
        <v>262650.13</v>
      </c>
      <c r="F12" s="206">
        <f>'Historical B_Sheet'!F16</f>
        <v>281033.31</v>
      </c>
      <c r="G12" s="206">
        <f>'Historical B_Sheet'!G16</f>
        <v>304669.13</v>
      </c>
      <c r="H12" s="87">
        <f>G12*(1+H14)</f>
        <v>326475.6147681892</v>
      </c>
      <c r="I12" s="87">
        <f t="shared" ref="I12:Q12" si="12">H12*(1+I14)</f>
        <v>350777.57454157626</v>
      </c>
      <c r="J12" s="87">
        <f t="shared" si="12"/>
        <v>377932.9435955474</v>
      </c>
      <c r="K12" s="87">
        <f t="shared" si="12"/>
        <v>408360.84343315609</v>
      </c>
      <c r="L12" s="87">
        <f t="shared" si="12"/>
        <v>442553.64290786459</v>
      </c>
      <c r="M12" s="87">
        <f t="shared" si="12"/>
        <v>481091.70095278695</v>
      </c>
      <c r="N12" s="87">
        <f t="shared" si="12"/>
        <v>524661.45526641968</v>
      </c>
      <c r="O12" s="87">
        <f t="shared" si="12"/>
        <v>574077.70062018372</v>
      </c>
      <c r="P12" s="87">
        <f t="shared" si="12"/>
        <v>630311.13418017118</v>
      </c>
      <c r="Q12" s="87">
        <f t="shared" si="12"/>
        <v>694522.54949496186</v>
      </c>
    </row>
    <row r="13" spans="1:17" x14ac:dyDescent="0.25">
      <c r="A13" s="86"/>
    </row>
    <row r="14" spans="1:17" x14ac:dyDescent="0.25">
      <c r="A14" s="86"/>
      <c r="B14" s="18" t="s">
        <v>150</v>
      </c>
      <c r="C14" s="295">
        <v>0</v>
      </c>
      <c r="D14" s="19">
        <f>D12/C12-1</f>
        <v>5.7423629729252967E-2</v>
      </c>
      <c r="E14" s="19">
        <f>E12/D12-1</f>
        <v>0.14635355219502477</v>
      </c>
      <c r="F14" s="19">
        <f t="shared" ref="F14:G14" si="13">F12/E12-1</f>
        <v>6.9991132309738413E-2</v>
      </c>
      <c r="G14" s="19">
        <f t="shared" si="13"/>
        <v>8.4103268754867511E-2</v>
      </c>
      <c r="H14" s="25">
        <f>AVERAGE(C14:G14)</f>
        <v>7.157431659777673E-2</v>
      </c>
      <c r="I14" s="25">
        <f>H14*(1+Assumptions!$C$20)</f>
        <v>7.44372892616878E-2</v>
      </c>
      <c r="J14" s="25">
        <f>I14*(1+Assumptions!$C$20)</f>
        <v>7.7414780832155319E-2</v>
      </c>
      <c r="K14" s="25">
        <f>J14*(1+Assumptions!$C$20)</f>
        <v>8.0511372065441539E-2</v>
      </c>
      <c r="L14" s="25">
        <f>K14*(1+Assumptions!$C$20)</f>
        <v>8.373182694805921E-2</v>
      </c>
      <c r="M14" s="25">
        <f>L14*(1+Assumptions!$C$20)</f>
        <v>8.7081100025981586E-2</v>
      </c>
      <c r="N14" s="25">
        <f>M14*(1+Assumptions!$C$20)</f>
        <v>9.0564344027020849E-2</v>
      </c>
      <c r="O14" s="25">
        <f>N14*(1+Assumptions!$C$20)</f>
        <v>9.418691778810169E-2</v>
      </c>
      <c r="P14" s="25">
        <f>O14*(1+Assumptions!$C$20)</f>
        <v>9.7954394499625758E-2</v>
      </c>
      <c r="Q14" s="25">
        <f>P14*(1+Assumptions!$C$20)</f>
        <v>0.10187257027961079</v>
      </c>
    </row>
    <row r="15" spans="1:17" x14ac:dyDescent="0.25">
      <c r="A15" s="86"/>
      <c r="B15" s="309" t="s">
        <v>404</v>
      </c>
      <c r="C15" s="310">
        <f>_xlfn.STDEV.S(D14:G14)</f>
        <v>3.9458570809118285E-2</v>
      </c>
      <c r="D15" s="22"/>
      <c r="E15" s="23"/>
      <c r="F15" s="23"/>
      <c r="G15" s="23"/>
      <c r="H15" s="89"/>
      <c r="I15" s="89"/>
      <c r="J15" s="89"/>
      <c r="K15" s="89"/>
      <c r="L15" s="89"/>
      <c r="M15" s="89"/>
      <c r="N15" s="89"/>
      <c r="O15" s="89"/>
      <c r="P15" s="89"/>
      <c r="Q15" s="89"/>
    </row>
    <row r="16" spans="1:17" x14ac:dyDescent="0.25">
      <c r="A16" s="86"/>
      <c r="D16" s="22"/>
      <c r="E16" s="23"/>
      <c r="F16" s="23"/>
      <c r="G16" s="23"/>
      <c r="H16" s="89"/>
      <c r="I16" s="89"/>
      <c r="J16" s="89"/>
      <c r="K16" s="89"/>
      <c r="L16" s="89"/>
      <c r="M16" s="89"/>
      <c r="N16" s="89"/>
      <c r="O16" s="89"/>
      <c r="P16" s="89"/>
      <c r="Q16" s="89"/>
    </row>
    <row r="17" spans="1:17" x14ac:dyDescent="0.25">
      <c r="A17" t="s">
        <v>151</v>
      </c>
      <c r="B17" s="1" t="s">
        <v>29</v>
      </c>
    </row>
    <row r="18" spans="1:17" x14ac:dyDescent="0.25">
      <c r="B18" t="s">
        <v>147</v>
      </c>
      <c r="D18" s="21">
        <f>C20</f>
        <v>0</v>
      </c>
      <c r="E18" s="21">
        <f t="shared" ref="E18:Q18" si="14">D20</f>
        <v>44668.35</v>
      </c>
      <c r="F18" s="21">
        <f t="shared" si="14"/>
        <v>43858.98</v>
      </c>
      <c r="G18" s="21">
        <f t="shared" si="14"/>
        <v>45919.59</v>
      </c>
      <c r="H18" s="21">
        <f t="shared" si="14"/>
        <v>48110.18</v>
      </c>
      <c r="I18" s="21">
        <f t="shared" si="14"/>
        <v>49338.080019242137</v>
      </c>
      <c r="J18" s="21">
        <f t="shared" si="14"/>
        <v>50635.096498647283</v>
      </c>
      <c r="K18" s="21">
        <f t="shared" si="14"/>
        <v>52006.142781893075</v>
      </c>
      <c r="L18" s="21">
        <f t="shared" si="14"/>
        <v>53456.557982188759</v>
      </c>
      <c r="M18" s="21">
        <f t="shared" si="14"/>
        <v>54992.150243190743</v>
      </c>
      <c r="N18" s="21">
        <f t="shared" si="14"/>
        <v>56619.2450136427</v>
      </c>
      <c r="O18" s="21">
        <f t="shared" si="14"/>
        <v>58344.738986383745</v>
      </c>
      <c r="P18" s="21">
        <f t="shared" si="14"/>
        <v>60176.160445660236</v>
      </c>
      <c r="Q18" s="21">
        <f t="shared" si="14"/>
        <v>62121.736874596711</v>
      </c>
    </row>
    <row r="19" spans="1:17" x14ac:dyDescent="0.25">
      <c r="B19" t="s">
        <v>148</v>
      </c>
      <c r="D19" s="21">
        <f>D20-D18</f>
        <v>44668.35</v>
      </c>
      <c r="E19" s="21">
        <f t="shared" ref="E19:H19" si="15">E20-E18</f>
        <v>-809.36999999999534</v>
      </c>
      <c r="F19" s="21">
        <f t="shared" si="15"/>
        <v>2060.6099999999933</v>
      </c>
      <c r="G19" s="21">
        <f t="shared" si="15"/>
        <v>2190.5900000000038</v>
      </c>
      <c r="H19" s="21">
        <f t="shared" si="15"/>
        <v>1227.9000192421372</v>
      </c>
      <c r="I19" s="21">
        <f t="shared" ref="I19" si="16">I20-I18</f>
        <v>1297.0164794051452</v>
      </c>
      <c r="J19" s="21">
        <f t="shared" ref="J19" si="17">J20-J18</f>
        <v>1371.0462832457924</v>
      </c>
      <c r="K19" s="21">
        <f t="shared" ref="K19" si="18">K20-K18</f>
        <v>1450.4152002956835</v>
      </c>
      <c r="L19" s="21">
        <f t="shared" ref="L19" si="19">L20-L18</f>
        <v>1535.5922610019843</v>
      </c>
      <c r="M19" s="21">
        <f t="shared" ref="M19" si="20">M20-M18</f>
        <v>1627.0947704519567</v>
      </c>
      <c r="N19" s="21">
        <f t="shared" ref="N19" si="21">N20-N18</f>
        <v>1725.4939727410456</v>
      </c>
      <c r="O19" s="21">
        <f t="shared" ref="O19" si="22">O20-O18</f>
        <v>1831.4214592764911</v>
      </c>
      <c r="P19" s="21">
        <f t="shared" ref="P19" si="23">P20-P18</f>
        <v>1945.5764289364743</v>
      </c>
      <c r="Q19" s="21">
        <f t="shared" ref="Q19" si="24">Q20-Q18</f>
        <v>2068.7339251207013</v>
      </c>
    </row>
    <row r="20" spans="1:17" x14ac:dyDescent="0.25">
      <c r="B20" s="9" t="s">
        <v>149</v>
      </c>
      <c r="C20" s="10"/>
      <c r="D20" s="207">
        <f>'Historical B_Sheet'!D17</f>
        <v>44668.35</v>
      </c>
      <c r="E20" s="207">
        <f>'Historical B_Sheet'!E17</f>
        <v>43858.98</v>
      </c>
      <c r="F20" s="207">
        <f>'Historical B_Sheet'!F17</f>
        <v>45919.59</v>
      </c>
      <c r="G20" s="207">
        <f>'Historical B_Sheet'!G17</f>
        <v>48110.18</v>
      </c>
      <c r="H20" s="73">
        <f>G20*(1+H22)</f>
        <v>49338.080019242137</v>
      </c>
      <c r="I20" s="73">
        <f t="shared" ref="I20:Q20" si="25">H20*(1+I22)</f>
        <v>50635.096498647283</v>
      </c>
      <c r="J20" s="73">
        <f t="shared" si="25"/>
        <v>52006.142781893075</v>
      </c>
      <c r="K20" s="73">
        <f t="shared" si="25"/>
        <v>53456.557982188759</v>
      </c>
      <c r="L20" s="73">
        <f t="shared" si="25"/>
        <v>54992.150243190743</v>
      </c>
      <c r="M20" s="73">
        <f t="shared" si="25"/>
        <v>56619.2450136427</v>
      </c>
      <c r="N20" s="73">
        <f t="shared" si="25"/>
        <v>58344.738986383745</v>
      </c>
      <c r="O20" s="73">
        <f t="shared" si="25"/>
        <v>60176.160445660236</v>
      </c>
      <c r="P20" s="73">
        <f t="shared" si="25"/>
        <v>62121.736874596711</v>
      </c>
      <c r="Q20" s="73">
        <f t="shared" si="25"/>
        <v>64190.470799717412</v>
      </c>
    </row>
    <row r="22" spans="1:17" x14ac:dyDescent="0.25">
      <c r="B22" s="18" t="s">
        <v>150</v>
      </c>
      <c r="C22" s="295">
        <v>0</v>
      </c>
      <c r="D22" s="295">
        <v>0</v>
      </c>
      <c r="E22" s="19">
        <f t="shared" ref="E22:G22" si="26">E20/D20-1</f>
        <v>-1.8119541017297403E-2</v>
      </c>
      <c r="F22" s="19">
        <f t="shared" si="26"/>
        <v>4.6982624766923387E-2</v>
      </c>
      <c r="G22" s="19">
        <f t="shared" si="26"/>
        <v>4.7704911999432165E-2</v>
      </c>
      <c r="H22" s="25">
        <f>AVERAGE(E22:G22)</f>
        <v>2.552266524968605E-2</v>
      </c>
      <c r="I22" s="25">
        <f>H22*(1+Assumptions!$C$19)</f>
        <v>2.6288345207176631E-2</v>
      </c>
      <c r="J22" s="25">
        <f>I22*(1+Assumptions!$C$19)</f>
        <v>2.707699556339193E-2</v>
      </c>
      <c r="K22" s="25">
        <f>J22*(1+Assumptions!$C$19)</f>
        <v>2.7889305430293689E-2</v>
      </c>
      <c r="L22" s="25">
        <f>K22*(1+Assumptions!$C$19)</f>
        <v>2.8725984593202501E-2</v>
      </c>
      <c r="M22" s="25">
        <f>L22*(1+Assumptions!$C$19)</f>
        <v>2.9587764130998576E-2</v>
      </c>
      <c r="N22" s="25">
        <f>M22*(1+Assumptions!$C$19)</f>
        <v>3.0475397054928535E-2</v>
      </c>
      <c r="O22" s="25">
        <f>N22*(1+Assumptions!$C$19)</f>
        <v>3.1389658966576389E-2</v>
      </c>
      <c r="P22" s="25">
        <f>O22*(1+Assumptions!$C$19)</f>
        <v>3.2331348735573681E-2</v>
      </c>
      <c r="Q22" s="25">
        <f>P22*(1+Assumptions!$C$19)</f>
        <v>3.3301289197640895E-2</v>
      </c>
    </row>
    <row r="23" spans="1:17" x14ac:dyDescent="0.25">
      <c r="B23" s="309" t="s">
        <v>404</v>
      </c>
      <c r="C23" s="310">
        <f>_xlfn.STDEV.S(D22:G22)</f>
        <v>3.3395503351417763E-2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Q51"/>
  <sheetViews>
    <sheetView showGridLines="0" topLeftCell="A13" workbookViewId="0">
      <selection activeCell="B39" sqref="B39"/>
    </sheetView>
  </sheetViews>
  <sheetFormatPr defaultRowHeight="15" x14ac:dyDescent="0.25"/>
  <cols>
    <col min="1" max="1" width="1.85546875" customWidth="1"/>
    <col min="2" max="2" width="29" bestFit="1" customWidth="1"/>
  </cols>
  <sheetData>
    <row r="6" spans="2:17" x14ac:dyDescent="0.25">
      <c r="B6" s="235" t="s">
        <v>279</v>
      </c>
    </row>
    <row r="7" spans="2:17" x14ac:dyDescent="0.25">
      <c r="B7" s="11" t="s">
        <v>0</v>
      </c>
      <c r="C7" s="13">
        <v>2021</v>
      </c>
      <c r="D7" s="13">
        <f>C7+1</f>
        <v>2022</v>
      </c>
      <c r="E7" s="13">
        <f t="shared" ref="E7:Q7" si="0">D7+1</f>
        <v>2023</v>
      </c>
      <c r="F7" s="13">
        <f t="shared" si="0"/>
        <v>2024</v>
      </c>
      <c r="G7" s="13">
        <f t="shared" si="0"/>
        <v>2025</v>
      </c>
      <c r="H7" s="14">
        <f t="shared" si="0"/>
        <v>2026</v>
      </c>
      <c r="I7" s="14">
        <f t="shared" si="0"/>
        <v>2027</v>
      </c>
      <c r="J7" s="14">
        <f t="shared" si="0"/>
        <v>2028</v>
      </c>
      <c r="K7" s="14">
        <f t="shared" si="0"/>
        <v>2029</v>
      </c>
      <c r="L7" s="14">
        <f t="shared" si="0"/>
        <v>2030</v>
      </c>
      <c r="M7" s="14">
        <f t="shared" si="0"/>
        <v>2031</v>
      </c>
      <c r="N7" s="14">
        <f t="shared" si="0"/>
        <v>2032</v>
      </c>
      <c r="O7" s="14">
        <f t="shared" si="0"/>
        <v>2033</v>
      </c>
      <c r="P7" s="14">
        <f t="shared" si="0"/>
        <v>2034</v>
      </c>
      <c r="Q7" s="14">
        <f t="shared" si="0"/>
        <v>2035</v>
      </c>
    </row>
    <row r="9" spans="2:17" x14ac:dyDescent="0.25">
      <c r="B9" s="1" t="s">
        <v>1</v>
      </c>
    </row>
    <row r="10" spans="2:17" x14ac:dyDescent="0.25">
      <c r="B10" t="s">
        <v>2</v>
      </c>
      <c r="C10" s="70">
        <f>Revenue_BuildUp!C13</f>
        <v>779.91</v>
      </c>
      <c r="D10" s="70">
        <f>Revenue_BuildUp!D13</f>
        <v>393.67</v>
      </c>
      <c r="E10" s="70">
        <f>Revenue_BuildUp!E13</f>
        <v>335.7</v>
      </c>
      <c r="F10" s="70">
        <f>Revenue_BuildUp!F13</f>
        <v>102.87</v>
      </c>
      <c r="G10" s="70">
        <f>Revenue_BuildUp!G13</f>
        <v>119.48</v>
      </c>
      <c r="H10" s="70">
        <f>Revenue_BuildUp!H13</f>
        <v>811.24478545771353</v>
      </c>
      <c r="I10" s="70">
        <f>Revenue_BuildUp!I13</f>
        <v>1121.3104403385269</v>
      </c>
      <c r="J10" s="70">
        <f>Revenue_BuildUp!J13</f>
        <v>1464.1710537964916</v>
      </c>
      <c r="K10" s="70">
        <f>Revenue_BuildUp!K13</f>
        <v>1822.328129769495</v>
      </c>
      <c r="L10" s="70">
        <f>Revenue_BuildUp!L13</f>
        <v>2178.9420446419376</v>
      </c>
      <c r="M10" s="70">
        <f>Revenue_BuildUp!M13</f>
        <v>2520.0621931492042</v>
      </c>
      <c r="N10" s="70">
        <f>Revenue_BuildUp!N13</f>
        <v>2835.6810474233644</v>
      </c>
      <c r="O10" s="70">
        <f>Revenue_BuildUp!O13</f>
        <v>3119.7992428259245</v>
      </c>
      <c r="P10" s="70">
        <f>Revenue_BuildUp!P13</f>
        <v>3369.8673474021834</v>
      </c>
      <c r="Q10" s="70">
        <f>Revenue_BuildUp!Q13</f>
        <v>3585.9572364361898</v>
      </c>
    </row>
    <row r="11" spans="2:17" x14ac:dyDescent="0.25">
      <c r="B11" t="s">
        <v>3</v>
      </c>
      <c r="C11" s="70">
        <f>Revenue_BuildUp!C16</f>
        <v>6.38</v>
      </c>
      <c r="D11" s="70">
        <f>Revenue_BuildUp!D16</f>
        <v>263.68</v>
      </c>
      <c r="E11" s="70">
        <f>Revenue_BuildUp!E16</f>
        <v>192.98</v>
      </c>
      <c r="F11" s="70">
        <f>Revenue_BuildUp!F16</f>
        <v>229.05</v>
      </c>
      <c r="G11" s="70">
        <f>Revenue_BuildUp!G16</f>
        <v>225.33</v>
      </c>
      <c r="H11" s="70">
        <f>Revenue_BuildUp!H16</f>
        <v>446.640103638673</v>
      </c>
      <c r="I11" s="70">
        <f>Revenue_BuildUp!I16</f>
        <v>617.35029951700221</v>
      </c>
      <c r="J11" s="70">
        <f>Revenue_BuildUp!J16</f>
        <v>806.11613527159966</v>
      </c>
      <c r="K11" s="70">
        <f>Revenue_BuildUp!K16</f>
        <v>1003.3036135753906</v>
      </c>
      <c r="L11" s="70">
        <f>Revenue_BuildUp!L16</f>
        <v>1199.6414868693978</v>
      </c>
      <c r="M11" s="70">
        <f>Revenue_BuildUp!M16</f>
        <v>1387.4490897208145</v>
      </c>
      <c r="N11" s="70">
        <f>Revenue_BuildUp!N16</f>
        <v>1561.2166630973193</v>
      </c>
      <c r="O11" s="70">
        <f>Revenue_BuildUp!O16</f>
        <v>1717.6411881173904</v>
      </c>
      <c r="P11" s="70">
        <f>Revenue_BuildUp!P16</f>
        <v>1855.3190458328636</v>
      </c>
      <c r="Q11" s="70">
        <f>Revenue_BuildUp!Q16</f>
        <v>1974.2898080041896</v>
      </c>
    </row>
    <row r="12" spans="2:17" x14ac:dyDescent="0.25">
      <c r="B12" t="s">
        <v>4</v>
      </c>
      <c r="C12" s="70">
        <f>Revenue_BuildUp!C19</f>
        <v>1192.22</v>
      </c>
      <c r="D12" s="70">
        <f>Revenue_BuildUp!D19</f>
        <v>2651.6</v>
      </c>
      <c r="E12" s="70">
        <f>Revenue_BuildUp!E19</f>
        <v>59.77</v>
      </c>
      <c r="F12" s="70">
        <f>Revenue_BuildUp!F19</f>
        <v>1158.21</v>
      </c>
      <c r="G12" s="70">
        <f>Revenue_BuildUp!G19</f>
        <v>1932.81</v>
      </c>
      <c r="H12" s="70">
        <f>Revenue_BuildUp!H19</f>
        <v>2107.8957831339826</v>
      </c>
      <c r="I12" s="70">
        <f>Revenue_BuildUp!I19</f>
        <v>2913.5540728808714</v>
      </c>
      <c r="J12" s="70">
        <f>Revenue_BuildUp!J19</f>
        <v>3804.4250581445986</v>
      </c>
      <c r="K12" s="70">
        <f>Revenue_BuildUp!K19</f>
        <v>4735.0415670903367</v>
      </c>
      <c r="L12" s="70">
        <f>Revenue_BuildUp!L19</f>
        <v>5661.6484073948959</v>
      </c>
      <c r="M12" s="70">
        <f>Revenue_BuildUp!M19</f>
        <v>6547.997060070441</v>
      </c>
      <c r="N12" s="70">
        <f>Revenue_BuildUp!N19</f>
        <v>7368.0844910506175</v>
      </c>
      <c r="O12" s="70">
        <f>Revenue_BuildUp!O19</f>
        <v>8106.3222667952004</v>
      </c>
      <c r="P12" s="70">
        <f>Revenue_BuildUp!P19</f>
        <v>8756.0860774004013</v>
      </c>
      <c r="Q12" s="70">
        <f>Revenue_BuildUp!Q19</f>
        <v>9317.5626798240191</v>
      </c>
    </row>
    <row r="13" spans="2:17" x14ac:dyDescent="0.25">
      <c r="B13" s="4" t="s">
        <v>5</v>
      </c>
      <c r="C13" s="74">
        <f>SUM(C10:C12)</f>
        <v>1978.51</v>
      </c>
      <c r="D13" s="74">
        <f t="shared" ref="D13:Q13" si="1">SUM(D10:D12)</f>
        <v>3308.95</v>
      </c>
      <c r="E13" s="74">
        <f t="shared" si="1"/>
        <v>588.44999999999993</v>
      </c>
      <c r="F13" s="74">
        <f t="shared" si="1"/>
        <v>1490.13</v>
      </c>
      <c r="G13" s="74">
        <f t="shared" si="1"/>
        <v>2277.62</v>
      </c>
      <c r="H13" s="74">
        <f t="shared" si="1"/>
        <v>3365.7806722303694</v>
      </c>
      <c r="I13" s="74">
        <f t="shared" si="1"/>
        <v>4652.2148127364007</v>
      </c>
      <c r="J13" s="74">
        <f t="shared" si="1"/>
        <v>6074.7122472126903</v>
      </c>
      <c r="K13" s="74">
        <f t="shared" si="1"/>
        <v>7560.6733104352224</v>
      </c>
      <c r="L13" s="74">
        <f t="shared" si="1"/>
        <v>9040.2319389062322</v>
      </c>
      <c r="M13" s="74">
        <f t="shared" si="1"/>
        <v>10455.508342940459</v>
      </c>
      <c r="N13" s="74">
        <f t="shared" si="1"/>
        <v>11764.9822015713</v>
      </c>
      <c r="O13" s="74">
        <f t="shared" si="1"/>
        <v>12943.762697738515</v>
      </c>
      <c r="P13" s="74">
        <f t="shared" si="1"/>
        <v>13981.272470635449</v>
      </c>
      <c r="Q13" s="74">
        <f t="shared" si="1"/>
        <v>14877.809724264398</v>
      </c>
    </row>
    <row r="14" spans="2:17" x14ac:dyDescent="0.25">
      <c r="C14" s="16"/>
      <c r="D14" s="16"/>
      <c r="E14" s="16"/>
      <c r="F14" s="16"/>
      <c r="G14" s="16"/>
      <c r="H14" s="16"/>
      <c r="I14" s="16"/>
      <c r="J14" s="16"/>
      <c r="K14" s="16"/>
      <c r="L14" s="16"/>
      <c r="M14" s="16"/>
      <c r="N14" s="16"/>
      <c r="O14" s="16"/>
      <c r="P14" s="16"/>
      <c r="Q14" s="16"/>
    </row>
    <row r="15" spans="2:17" x14ac:dyDescent="0.25">
      <c r="B15" s="1" t="s">
        <v>8</v>
      </c>
      <c r="C15" s="116"/>
      <c r="D15" s="116"/>
      <c r="E15" s="116"/>
      <c r="F15" s="116"/>
      <c r="G15" s="116"/>
      <c r="H15" s="116"/>
      <c r="I15" s="116"/>
      <c r="J15" s="116"/>
      <c r="K15" s="116"/>
      <c r="L15" s="116"/>
      <c r="M15" s="116"/>
      <c r="N15" s="116"/>
      <c r="O15" s="116"/>
      <c r="P15" s="116"/>
      <c r="Q15" s="116"/>
    </row>
    <row r="16" spans="2:17" x14ac:dyDescent="0.25">
      <c r="B16" t="s">
        <v>102</v>
      </c>
      <c r="C16" s="70">
        <f>Cost_BuildUp!C11</f>
        <v>56.11</v>
      </c>
      <c r="D16" s="70">
        <f>Cost_BuildUp!D11</f>
        <v>81.83</v>
      </c>
      <c r="E16" s="70">
        <f>Cost_BuildUp!E11</f>
        <v>124.52</v>
      </c>
      <c r="F16" s="70">
        <f>Cost_BuildUp!F11</f>
        <v>48.36</v>
      </c>
      <c r="G16" s="70">
        <f>Cost_BuildUp!G11</f>
        <v>62.01</v>
      </c>
      <c r="H16" s="70">
        <f>Cost_BuildUp!H11</f>
        <v>218.35550621174147</v>
      </c>
      <c r="I16" s="70">
        <f>Cost_BuildUp!I11</f>
        <v>301.81310648731727</v>
      </c>
      <c r="J16" s="70">
        <f>Cost_BuildUp!J11</f>
        <v>394.09783256964533</v>
      </c>
      <c r="K16" s="70">
        <f>Cost_BuildUp!K11</f>
        <v>490.49977071372581</v>
      </c>
      <c r="L16" s="70">
        <f>Cost_BuildUp!L11</f>
        <v>586.48634998053569</v>
      </c>
      <c r="M16" s="70">
        <f>Cost_BuildUp!M11</f>
        <v>678.3026106721876</v>
      </c>
      <c r="N16" s="70">
        <f>Cost_BuildUp!N11</f>
        <v>763.25491598176234</v>
      </c>
      <c r="O16" s="70">
        <f>Cost_BuildUp!O11</f>
        <v>839.72847056503088</v>
      </c>
      <c r="P16" s="70">
        <f>Cost_BuildUp!P11</f>
        <v>907.03706661517583</v>
      </c>
      <c r="Q16" s="70">
        <f>Cost_BuildUp!Q11</f>
        <v>965.20005015982508</v>
      </c>
    </row>
    <row r="17" spans="2:17" x14ac:dyDescent="0.25">
      <c r="B17" t="s">
        <v>10</v>
      </c>
      <c r="C17" s="70">
        <f>Cost_BuildUp!C14</f>
        <v>170.92</v>
      </c>
      <c r="D17" s="70">
        <f>Cost_BuildUp!D14</f>
        <v>225.61</v>
      </c>
      <c r="E17" s="70">
        <f>Cost_BuildUp!E14</f>
        <v>312.42</v>
      </c>
      <c r="F17" s="70">
        <f>Cost_BuildUp!F14</f>
        <v>385.57</v>
      </c>
      <c r="G17" s="70">
        <f>Cost_BuildUp!G14</f>
        <v>556.24</v>
      </c>
      <c r="H17" s="70">
        <f>Cost_BuildUp!H14</f>
        <v>800.01865853378536</v>
      </c>
      <c r="I17" s="70">
        <f>Cost_BuildUp!I14</f>
        <v>1105.7935784122417</v>
      </c>
      <c r="J17" s="70">
        <f>Cost_BuildUp!J14</f>
        <v>1443.9096353160176</v>
      </c>
      <c r="K17" s="70">
        <f>Cost_BuildUp!K14</f>
        <v>1797.1104799940399</v>
      </c>
      <c r="L17" s="70">
        <f>Cost_BuildUp!L14</f>
        <v>2148.7895180660867</v>
      </c>
      <c r="M17" s="70">
        <f>Cost_BuildUp!M14</f>
        <v>2485.189194833999</v>
      </c>
      <c r="N17" s="70">
        <f>Cost_BuildUp!N14</f>
        <v>2796.4404681003289</v>
      </c>
      <c r="O17" s="70">
        <f>Cost_BuildUp!O14</f>
        <v>3076.6269933335861</v>
      </c>
      <c r="P17" s="70">
        <f>Cost_BuildUp!P14</f>
        <v>3323.234618000547</v>
      </c>
      <c r="Q17" s="70">
        <f>Cost_BuildUp!Q14</f>
        <v>3536.3342227643075</v>
      </c>
    </row>
    <row r="18" spans="2:17" x14ac:dyDescent="0.25">
      <c r="B18" s="4" t="s">
        <v>11</v>
      </c>
      <c r="C18" s="74">
        <f>SUM(C16:C17)</f>
        <v>227.02999999999997</v>
      </c>
      <c r="D18" s="74">
        <f t="shared" ref="D18:Q18" si="2">SUM(D16:D17)</f>
        <v>307.44</v>
      </c>
      <c r="E18" s="74">
        <f t="shared" si="2"/>
        <v>436.94</v>
      </c>
      <c r="F18" s="74">
        <f t="shared" si="2"/>
        <v>433.93</v>
      </c>
      <c r="G18" s="74">
        <f t="shared" si="2"/>
        <v>618.25</v>
      </c>
      <c r="H18" s="74">
        <f t="shared" si="2"/>
        <v>1018.3741647455269</v>
      </c>
      <c r="I18" s="74">
        <f t="shared" si="2"/>
        <v>1407.606684899559</v>
      </c>
      <c r="J18" s="74">
        <f t="shared" si="2"/>
        <v>1838.0074678856629</v>
      </c>
      <c r="K18" s="74">
        <f t="shared" si="2"/>
        <v>2287.6102507077658</v>
      </c>
      <c r="L18" s="74">
        <f t="shared" si="2"/>
        <v>2735.2758680466222</v>
      </c>
      <c r="M18" s="74">
        <f t="shared" si="2"/>
        <v>3163.4918055061867</v>
      </c>
      <c r="N18" s="74">
        <f t="shared" si="2"/>
        <v>3559.6953840820911</v>
      </c>
      <c r="O18" s="74">
        <f t="shared" si="2"/>
        <v>3916.355463898617</v>
      </c>
      <c r="P18" s="74">
        <f t="shared" si="2"/>
        <v>4230.2716846157227</v>
      </c>
      <c r="Q18" s="74">
        <f t="shared" si="2"/>
        <v>4501.5342729241329</v>
      </c>
    </row>
    <row r="19" spans="2:17" ht="5.0999999999999996" customHeight="1" x14ac:dyDescent="0.25">
      <c r="B19" s="78"/>
      <c r="C19" s="79"/>
      <c r="D19" s="79"/>
      <c r="E19" s="79"/>
      <c r="F19" s="79"/>
      <c r="G19" s="79"/>
      <c r="H19" s="79"/>
      <c r="I19" s="79"/>
      <c r="J19" s="79"/>
      <c r="K19" s="79"/>
      <c r="L19" s="79"/>
      <c r="M19" s="79"/>
      <c r="N19" s="79"/>
      <c r="O19" s="79"/>
      <c r="P19" s="79"/>
      <c r="Q19" s="79"/>
    </row>
    <row r="20" spans="2:17" x14ac:dyDescent="0.25">
      <c r="B20" s="4" t="s">
        <v>133</v>
      </c>
      <c r="C20" s="74">
        <f>C13-C18</f>
        <v>1751.48</v>
      </c>
      <c r="D20" s="74">
        <f t="shared" ref="D20:Q20" si="3">D13-D18</f>
        <v>3001.5099999999998</v>
      </c>
      <c r="E20" s="74">
        <f t="shared" si="3"/>
        <v>151.50999999999993</v>
      </c>
      <c r="F20" s="74">
        <f t="shared" si="3"/>
        <v>1056.2</v>
      </c>
      <c r="G20" s="74">
        <f t="shared" si="3"/>
        <v>1659.37</v>
      </c>
      <c r="H20" s="74">
        <f t="shared" si="3"/>
        <v>2347.4065074848427</v>
      </c>
      <c r="I20" s="74">
        <f t="shared" si="3"/>
        <v>3244.608127836842</v>
      </c>
      <c r="J20" s="74">
        <f t="shared" si="3"/>
        <v>4236.7047793270276</v>
      </c>
      <c r="K20" s="74">
        <f t="shared" si="3"/>
        <v>5273.0630597274567</v>
      </c>
      <c r="L20" s="74">
        <f t="shared" si="3"/>
        <v>6304.95607085961</v>
      </c>
      <c r="M20" s="74">
        <f t="shared" si="3"/>
        <v>7292.0165374342723</v>
      </c>
      <c r="N20" s="74">
        <f t="shared" si="3"/>
        <v>8205.2868174892083</v>
      </c>
      <c r="O20" s="74">
        <f t="shared" si="3"/>
        <v>9027.4072338398983</v>
      </c>
      <c r="P20" s="74">
        <f t="shared" si="3"/>
        <v>9751.0007860197256</v>
      </c>
      <c r="Q20" s="74">
        <f t="shared" si="3"/>
        <v>10376.275451340265</v>
      </c>
    </row>
    <row r="21" spans="2:17" ht="5.0999999999999996" customHeight="1" x14ac:dyDescent="0.25">
      <c r="C21" s="16"/>
      <c r="D21" s="16"/>
      <c r="E21" s="16"/>
      <c r="F21" s="16"/>
      <c r="G21" s="16"/>
      <c r="H21" s="16"/>
      <c r="I21" s="16"/>
      <c r="J21" s="16"/>
      <c r="K21" s="16"/>
      <c r="L21" s="16"/>
      <c r="M21" s="16"/>
      <c r="N21" s="16"/>
      <c r="O21" s="16"/>
      <c r="P21" s="16"/>
      <c r="Q21" s="16"/>
    </row>
    <row r="22" spans="2:17" x14ac:dyDescent="0.25">
      <c r="B22" t="s">
        <v>134</v>
      </c>
      <c r="C22" s="88">
        <f>FSA!C12</f>
        <v>0.88</v>
      </c>
      <c r="D22" s="88">
        <f>FSA!D12</f>
        <v>0.77</v>
      </c>
      <c r="E22" s="88">
        <f>FSA!E12</f>
        <v>0.72</v>
      </c>
      <c r="F22" s="88">
        <f>FSA!F12</f>
        <v>0.72</v>
      </c>
      <c r="G22" s="88">
        <f>FSA!G12</f>
        <v>0.72</v>
      </c>
      <c r="H22" s="88">
        <f>FSA!H12</f>
        <v>1.2064297509540971</v>
      </c>
      <c r="I22" s="88">
        <f>FSA!I12</f>
        <v>1.2018634186958705</v>
      </c>
      <c r="J22" s="88">
        <f>FSA!J12</f>
        <v>1.1973143699887798</v>
      </c>
      <c r="K22" s="88">
        <f>FSA!K12</f>
        <v>1.6654841281051882</v>
      </c>
      <c r="L22" s="88">
        <f>FSA!L12</f>
        <v>1.6566820504921609</v>
      </c>
      <c r="M22" s="88">
        <f>FSA!M12</f>
        <v>1.6479264918275873</v>
      </c>
      <c r="N22" s="88">
        <f>FSA!N12</f>
        <v>2.1044636559438969</v>
      </c>
      <c r="O22" s="88">
        <f>FSA!O12</f>
        <v>2.0901848776248309</v>
      </c>
      <c r="P22" s="88">
        <f>FSA!P12</f>
        <v>2.0760029807651854</v>
      </c>
      <c r="Q22" s="88">
        <f>FSA!Q12</f>
        <v>2.5177577804380111</v>
      </c>
    </row>
    <row r="23" spans="2:17" ht="5.0999999999999996" customHeight="1" x14ac:dyDescent="0.25">
      <c r="C23" s="16"/>
      <c r="D23" s="16"/>
      <c r="E23" s="16"/>
      <c r="F23" s="16"/>
      <c r="G23" s="16"/>
      <c r="H23" s="16"/>
      <c r="I23" s="16"/>
      <c r="J23" s="16"/>
      <c r="K23" s="16"/>
      <c r="L23" s="16"/>
      <c r="M23" s="16"/>
      <c r="N23" s="16"/>
      <c r="O23" s="16"/>
      <c r="P23" s="16"/>
      <c r="Q23" s="16"/>
    </row>
    <row r="24" spans="2:17" x14ac:dyDescent="0.25">
      <c r="B24" s="4" t="s">
        <v>135</v>
      </c>
      <c r="C24" s="74">
        <f>C20-C22</f>
        <v>1750.6</v>
      </c>
      <c r="D24" s="74">
        <f t="shared" ref="D24:Q24" si="4">D20-D22</f>
        <v>3000.74</v>
      </c>
      <c r="E24" s="74">
        <f t="shared" si="4"/>
        <v>150.78999999999994</v>
      </c>
      <c r="F24" s="74">
        <f t="shared" si="4"/>
        <v>1055.48</v>
      </c>
      <c r="G24" s="74">
        <f t="shared" si="4"/>
        <v>1658.6499999999999</v>
      </c>
      <c r="H24" s="74">
        <f t="shared" si="4"/>
        <v>2346.2000777338885</v>
      </c>
      <c r="I24" s="74">
        <f t="shared" si="4"/>
        <v>3243.4062644181463</v>
      </c>
      <c r="J24" s="74">
        <f t="shared" si="4"/>
        <v>4235.5074649570388</v>
      </c>
      <c r="K24" s="74">
        <f t="shared" si="4"/>
        <v>5271.3975755993515</v>
      </c>
      <c r="L24" s="74">
        <f t="shared" si="4"/>
        <v>6303.2993888091178</v>
      </c>
      <c r="M24" s="74">
        <f t="shared" si="4"/>
        <v>7290.3686109424443</v>
      </c>
      <c r="N24" s="74">
        <f t="shared" si="4"/>
        <v>8203.1823538332646</v>
      </c>
      <c r="O24" s="74">
        <f t="shared" si="4"/>
        <v>9025.3170489622735</v>
      </c>
      <c r="P24" s="74">
        <f t="shared" si="4"/>
        <v>9748.9247830389613</v>
      </c>
      <c r="Q24" s="74">
        <f t="shared" si="4"/>
        <v>10373.757693559826</v>
      </c>
    </row>
    <row r="25" spans="2:17" x14ac:dyDescent="0.25">
      <c r="B25" s="78"/>
      <c r="C25" s="79"/>
      <c r="D25" s="79"/>
      <c r="E25" s="79"/>
      <c r="F25" s="79"/>
      <c r="G25" s="79"/>
      <c r="H25" s="79"/>
      <c r="I25" s="79"/>
      <c r="J25" s="79"/>
      <c r="K25" s="79"/>
      <c r="L25" s="79"/>
      <c r="M25" s="79"/>
      <c r="N25" s="79"/>
      <c r="O25" s="79"/>
      <c r="P25" s="79"/>
      <c r="Q25" s="79"/>
    </row>
    <row r="26" spans="2:17" x14ac:dyDescent="0.25">
      <c r="B26" t="s">
        <v>139</v>
      </c>
      <c r="C26" s="208">
        <f>Revenue_BuildUp!C25</f>
        <v>124.69</v>
      </c>
      <c r="D26" s="208">
        <f>Revenue_BuildUp!D25</f>
        <v>185.46</v>
      </c>
      <c r="E26" s="208">
        <f>Revenue_BuildUp!E25</f>
        <v>188.17</v>
      </c>
      <c r="F26" s="208">
        <f>Revenue_BuildUp!F25</f>
        <v>247.22</v>
      </c>
      <c r="G26" s="208">
        <f>Revenue_BuildUp!G25</f>
        <v>185.66</v>
      </c>
      <c r="H26" s="208">
        <f>Revenue_BuildUp!H25</f>
        <v>461.96171092353819</v>
      </c>
      <c r="I26" s="208">
        <f>Revenue_BuildUp!I25</f>
        <v>638.52797426975008</v>
      </c>
      <c r="J26" s="208">
        <f>Revenue_BuildUp!J25</f>
        <v>833.7692607970597</v>
      </c>
      <c r="K26" s="208">
        <f>Revenue_BuildUp!K25</f>
        <v>1037.7210871283794</v>
      </c>
      <c r="L26" s="208">
        <f>Revenue_BuildUp!L25</f>
        <v>1240.7941634756933</v>
      </c>
      <c r="M26" s="208">
        <f>Revenue_BuildUp!M25</f>
        <v>1435.0443457384949</v>
      </c>
      <c r="N26" s="208">
        <f>Revenue_BuildUp!N25</f>
        <v>1614.7728673066845</v>
      </c>
      <c r="O26" s="208">
        <f>Revenue_BuildUp!O25</f>
        <v>1776.5634020570817</v>
      </c>
      <c r="P26" s="208">
        <f>Revenue_BuildUp!P25</f>
        <v>1918.964181092322</v>
      </c>
      <c r="Q26" s="208">
        <f>Revenue_BuildUp!Q25</f>
        <v>2042.0161336483</v>
      </c>
    </row>
    <row r="27" spans="2:17" x14ac:dyDescent="0.25">
      <c r="B27" t="s">
        <v>13</v>
      </c>
      <c r="C27" s="208">
        <f>Revenue_BuildUp!C22</f>
        <v>11446.14</v>
      </c>
      <c r="D27" s="208">
        <f>Revenue_BuildUp!D22</f>
        <v>42760.92</v>
      </c>
      <c r="E27" s="208">
        <f>Revenue_BuildUp!E22</f>
        <v>22153.14</v>
      </c>
      <c r="F27" s="208">
        <f>Revenue_BuildUp!F22</f>
        <v>18121.32</v>
      </c>
      <c r="G27" s="208">
        <f>Revenue_BuildUp!G22</f>
        <v>25453.08</v>
      </c>
      <c r="H27" s="208">
        <f>Revenue_BuildUp!H22</f>
        <v>26806.142239527624</v>
      </c>
      <c r="I27" s="208">
        <f>Revenue_BuildUp!I22</f>
        <v>37051.71077484687</v>
      </c>
      <c r="J27" s="208">
        <f>Revenue_BuildUp!J22</f>
        <v>48380.930435100665</v>
      </c>
      <c r="K27" s="208">
        <f>Revenue_BuildUp!K22</f>
        <v>60215.59451520165</v>
      </c>
      <c r="L27" s="208">
        <f>Revenue_BuildUp!L22</f>
        <v>71999.267579148611</v>
      </c>
      <c r="M27" s="208">
        <f>Revenue_BuildUp!M22</f>
        <v>83270.976668157251</v>
      </c>
      <c r="N27" s="208">
        <f>Revenue_BuildUp!N22</f>
        <v>93700.040808614373</v>
      </c>
      <c r="O27" s="208">
        <f>Revenue_BuildUp!O22</f>
        <v>103088.22165775455</v>
      </c>
      <c r="P27" s="208">
        <f>Revenue_BuildUp!P22</f>
        <v>111351.27776733329</v>
      </c>
      <c r="Q27" s="208">
        <f>Revenue_BuildUp!Q22</f>
        <v>118491.58412837955</v>
      </c>
    </row>
    <row r="28" spans="2:17" x14ac:dyDescent="0.25">
      <c r="B28" s="78"/>
      <c r="C28" s="79"/>
      <c r="D28" s="79"/>
      <c r="E28" s="79"/>
      <c r="F28" s="79"/>
      <c r="G28" s="79"/>
      <c r="H28" s="79"/>
      <c r="I28" s="79"/>
      <c r="J28" s="79"/>
      <c r="K28" s="79"/>
      <c r="L28" s="79"/>
      <c r="M28" s="79"/>
      <c r="N28" s="79"/>
      <c r="O28" s="79"/>
      <c r="P28" s="79"/>
      <c r="Q28" s="79"/>
    </row>
    <row r="29" spans="2:17" ht="5.0999999999999996" customHeight="1" x14ac:dyDescent="0.25">
      <c r="C29" s="16"/>
      <c r="D29" s="16"/>
      <c r="E29" s="16"/>
      <c r="F29" s="16"/>
      <c r="G29" s="16"/>
      <c r="H29" s="16"/>
      <c r="I29" s="16"/>
      <c r="J29" s="16"/>
      <c r="K29" s="16"/>
      <c r="L29" s="16"/>
      <c r="M29" s="16"/>
      <c r="N29" s="16"/>
      <c r="O29" s="16"/>
      <c r="P29" s="16"/>
      <c r="Q29" s="16"/>
    </row>
    <row r="30" spans="2:17" x14ac:dyDescent="0.25">
      <c r="B30" s="4" t="s">
        <v>136</v>
      </c>
      <c r="C30" s="74">
        <f>C24+C26+C27</f>
        <v>13321.43</v>
      </c>
      <c r="D30" s="74">
        <f t="shared" ref="D30:Q30" si="5">D24+D26+D27</f>
        <v>45947.119999999995</v>
      </c>
      <c r="E30" s="74">
        <f t="shared" si="5"/>
        <v>22492.1</v>
      </c>
      <c r="F30" s="74">
        <f t="shared" si="5"/>
        <v>19424.02</v>
      </c>
      <c r="G30" s="74">
        <f t="shared" si="5"/>
        <v>27297.390000000003</v>
      </c>
      <c r="H30" s="74">
        <f t="shared" si="5"/>
        <v>29614.304028185052</v>
      </c>
      <c r="I30" s="74">
        <f t="shared" si="5"/>
        <v>40933.64501353477</v>
      </c>
      <c r="J30" s="74">
        <f t="shared" si="5"/>
        <v>53450.207160854763</v>
      </c>
      <c r="K30" s="74">
        <f t="shared" si="5"/>
        <v>66524.713177929385</v>
      </c>
      <c r="L30" s="74">
        <f t="shared" si="5"/>
        <v>79543.361131433427</v>
      </c>
      <c r="M30" s="74">
        <f t="shared" si="5"/>
        <v>91996.389624838193</v>
      </c>
      <c r="N30" s="74">
        <f t="shared" si="5"/>
        <v>103517.99602975431</v>
      </c>
      <c r="O30" s="74">
        <f t="shared" si="5"/>
        <v>113890.10210877391</v>
      </c>
      <c r="P30" s="74">
        <f t="shared" si="5"/>
        <v>123019.16673146457</v>
      </c>
      <c r="Q30" s="74">
        <f t="shared" si="5"/>
        <v>130907.35795558768</v>
      </c>
    </row>
    <row r="31" spans="2:17" ht="5.0999999999999996" customHeight="1" x14ac:dyDescent="0.25">
      <c r="C31" s="16"/>
      <c r="D31" s="16"/>
      <c r="E31" s="16"/>
      <c r="F31" s="16"/>
      <c r="G31" s="16"/>
      <c r="H31" s="16"/>
      <c r="I31" s="16"/>
      <c r="J31" s="16"/>
      <c r="K31" s="16"/>
      <c r="L31" s="16"/>
      <c r="M31" s="16"/>
      <c r="N31" s="16"/>
      <c r="O31" s="16"/>
      <c r="P31" s="16"/>
      <c r="Q31" s="16"/>
    </row>
    <row r="32" spans="2:17" x14ac:dyDescent="0.25">
      <c r="B32" t="s">
        <v>137</v>
      </c>
      <c r="C32" s="70">
        <f>'Historical P&amp;L'!C31</f>
        <v>370.28000000000003</v>
      </c>
      <c r="D32" s="70">
        <f>'Historical P&amp;L'!D31</f>
        <v>3039.2999999999997</v>
      </c>
      <c r="E32" s="70">
        <f>'Historical P&amp;L'!E31</f>
        <v>-351.16</v>
      </c>
      <c r="F32" s="70">
        <f>'Historical P&amp;L'!F31</f>
        <v>935.96</v>
      </c>
      <c r="G32" s="70">
        <f>'Historical P&amp;L'!G31</f>
        <v>1497.02</v>
      </c>
      <c r="H32" s="70">
        <f>H30*Cost_BuildUp!H19</f>
        <v>1772.1537278638459</v>
      </c>
      <c r="I32" s="70">
        <f>I30*Cost_BuildUp!I19</f>
        <v>2449.5160020222402</v>
      </c>
      <c r="J32" s="70">
        <f>J30*Cost_BuildUp!J19</f>
        <v>3465.7723917359581</v>
      </c>
      <c r="K32" s="70">
        <f>K30*Cost_BuildUp!K19</f>
        <v>4313.5382732262897</v>
      </c>
      <c r="L32" s="70">
        <f>L30*Cost_BuildUp!L19</f>
        <v>5555.3990598263108</v>
      </c>
      <c r="M32" s="70">
        <f>M30*Cost_BuildUp!M19</f>
        <v>6425.1327723600198</v>
      </c>
      <c r="N32" s="70">
        <f>N30*Cost_BuildUp!N19</f>
        <v>7747.4048841048862</v>
      </c>
      <c r="O32" s="70">
        <f>O30*Cost_BuildUp!O19</f>
        <v>8523.6651323418537</v>
      </c>
      <c r="P32" s="70">
        <f>P30*Cost_BuildUp!P19</f>
        <v>9821.9905739681508</v>
      </c>
      <c r="Q32" s="70">
        <f>Q30*Cost_BuildUp!Q19</f>
        <v>10451.792757705254</v>
      </c>
    </row>
    <row r="33" spans="2:17" ht="5.0999999999999996" customHeight="1" x14ac:dyDescent="0.25">
      <c r="C33" s="16"/>
      <c r="D33" s="16"/>
      <c r="E33" s="16"/>
      <c r="F33" s="16"/>
      <c r="G33" s="16"/>
      <c r="H33" s="16"/>
      <c r="I33" s="16"/>
      <c r="J33" s="16"/>
      <c r="K33" s="16"/>
      <c r="L33" s="16"/>
      <c r="M33" s="16"/>
      <c r="N33" s="16"/>
      <c r="O33" s="16"/>
      <c r="P33" s="16"/>
      <c r="Q33" s="16"/>
    </row>
    <row r="34" spans="2:17" ht="15.75" thickBot="1" x14ac:dyDescent="0.3">
      <c r="B34" s="6" t="s">
        <v>138</v>
      </c>
      <c r="C34" s="75">
        <f>C30-C32</f>
        <v>12951.15</v>
      </c>
      <c r="D34" s="75">
        <f t="shared" ref="D34:G34" si="6">D30-D32</f>
        <v>42907.819999999992</v>
      </c>
      <c r="E34" s="75">
        <f t="shared" si="6"/>
        <v>22843.26</v>
      </c>
      <c r="F34" s="75">
        <f t="shared" si="6"/>
        <v>18488.060000000001</v>
      </c>
      <c r="G34" s="75">
        <f t="shared" si="6"/>
        <v>25800.370000000003</v>
      </c>
      <c r="H34" s="75">
        <f>H30-H32</f>
        <v>27842.150300321206</v>
      </c>
      <c r="I34" s="75">
        <f t="shared" ref="I34:Q34" si="7">I30-I32</f>
        <v>38484.12901151253</v>
      </c>
      <c r="J34" s="75">
        <f t="shared" si="7"/>
        <v>49984.434769118801</v>
      </c>
      <c r="K34" s="75">
        <f t="shared" si="7"/>
        <v>62211.174904703097</v>
      </c>
      <c r="L34" s="75">
        <f t="shared" si="7"/>
        <v>73987.962071607122</v>
      </c>
      <c r="M34" s="75">
        <f t="shared" si="7"/>
        <v>85571.256852478167</v>
      </c>
      <c r="N34" s="75">
        <f t="shared" si="7"/>
        <v>95770.591145649436</v>
      </c>
      <c r="O34" s="75">
        <f t="shared" si="7"/>
        <v>105366.43697643206</v>
      </c>
      <c r="P34" s="75">
        <f t="shared" si="7"/>
        <v>113197.17615749642</v>
      </c>
      <c r="Q34" s="75">
        <f t="shared" si="7"/>
        <v>120455.56519788242</v>
      </c>
    </row>
    <row r="35" spans="2:17" x14ac:dyDescent="0.25">
      <c r="B35" s="80" t="s">
        <v>144</v>
      </c>
      <c r="C35" s="81">
        <f t="shared" ref="C35:Q35" si="8">C34/C13</f>
        <v>6.5459108116714093</v>
      </c>
      <c r="D35" s="81">
        <f t="shared" si="8"/>
        <v>12.967201075869987</v>
      </c>
      <c r="E35" s="81">
        <f t="shared" si="8"/>
        <v>38.819372928880959</v>
      </c>
      <c r="F35" s="81">
        <f t="shared" si="8"/>
        <v>12.407011468798025</v>
      </c>
      <c r="G35" s="81">
        <f t="shared" si="8"/>
        <v>11.327776363045636</v>
      </c>
      <c r="H35" s="81">
        <f t="shared" si="8"/>
        <v>8.2721225806645666</v>
      </c>
      <c r="I35" s="81">
        <f t="shared" si="8"/>
        <v>8.2722166883081716</v>
      </c>
      <c r="J35" s="81">
        <f t="shared" si="8"/>
        <v>8.2282802435709712</v>
      </c>
      <c r="K35" s="81">
        <f t="shared" si="8"/>
        <v>8.2282585624800628</v>
      </c>
      <c r="L35" s="81">
        <f t="shared" si="8"/>
        <v>8.1842990944941221</v>
      </c>
      <c r="M35" s="81">
        <f t="shared" si="8"/>
        <v>8.1843229468852883</v>
      </c>
      <c r="N35" s="81">
        <f t="shared" si="8"/>
        <v>8.1403090548542067</v>
      </c>
      <c r="O35" s="81">
        <f t="shared" si="8"/>
        <v>8.140325146322505</v>
      </c>
      <c r="P35" s="81">
        <f t="shared" si="8"/>
        <v>8.0963429040698465</v>
      </c>
      <c r="Q35" s="81">
        <f t="shared" si="8"/>
        <v>8.0963238158255244</v>
      </c>
    </row>
    <row r="36" spans="2:17" ht="5.0999999999999996" customHeight="1" x14ac:dyDescent="0.25"/>
    <row r="37" spans="2:17" x14ac:dyDescent="0.25">
      <c r="B37" s="1" t="s">
        <v>140</v>
      </c>
      <c r="C37" s="209">
        <f>-'Cash flow'!C44</f>
        <v>2.31</v>
      </c>
      <c r="D37" s="209">
        <f>-'Cash flow'!D44</f>
        <v>159.58000000000001</v>
      </c>
      <c r="E37" s="209">
        <f>-'Cash flow'!E44</f>
        <v>159.49</v>
      </c>
      <c r="F37" s="209">
        <f>-'Cash flow'!F44</f>
        <v>160.22</v>
      </c>
      <c r="G37" s="209">
        <f>-'Cash flow'!G44</f>
        <v>160.46</v>
      </c>
      <c r="H37" s="71">
        <f>H38*H34</f>
        <v>143.46976874666794</v>
      </c>
      <c r="I37" s="71">
        <f t="shared" ref="I37:Q37" si="9">I38*I34</f>
        <v>198.3075671290712</v>
      </c>
      <c r="J37" s="71">
        <f t="shared" si="9"/>
        <v>257.56829914015839</v>
      </c>
      <c r="K37" s="71">
        <f t="shared" si="9"/>
        <v>320.57232579960947</v>
      </c>
      <c r="L37" s="71">
        <f t="shared" si="9"/>
        <v>381.25775825325712</v>
      </c>
      <c r="M37" s="71">
        <f t="shared" si="9"/>
        <v>440.94613022203004</v>
      </c>
      <c r="N37" s="71">
        <f t="shared" si="9"/>
        <v>493.50299514184763</v>
      </c>
      <c r="O37" s="71">
        <f t="shared" si="9"/>
        <v>542.95010204347147</v>
      </c>
      <c r="P37" s="71">
        <f t="shared" si="9"/>
        <v>583.30166710954381</v>
      </c>
      <c r="Q37" s="71">
        <f t="shared" si="9"/>
        <v>620.70392899897524</v>
      </c>
    </row>
    <row r="38" spans="2:17" x14ac:dyDescent="0.25">
      <c r="B38" s="18" t="s">
        <v>141</v>
      </c>
      <c r="C38" s="76">
        <f>C37/C34</f>
        <v>1.7836253923396764E-4</v>
      </c>
      <c r="D38" s="76">
        <f t="shared" ref="D38:G38" si="10">D37/D34</f>
        <v>3.719135579481783E-3</v>
      </c>
      <c r="E38" s="76">
        <f t="shared" si="10"/>
        <v>6.9819281486092621E-3</v>
      </c>
      <c r="F38" s="76">
        <f t="shared" si="10"/>
        <v>8.6661337100809917E-3</v>
      </c>
      <c r="G38" s="76">
        <f t="shared" si="10"/>
        <v>6.2192906535836496E-3</v>
      </c>
      <c r="H38" s="77">
        <f>AVERAGE(C38:G38)</f>
        <v>5.1529701261979312E-3</v>
      </c>
      <c r="I38" s="77">
        <f>H38</f>
        <v>5.1529701261979312E-3</v>
      </c>
      <c r="J38" s="77">
        <f t="shared" ref="J38:Q38" si="11">I38</f>
        <v>5.1529701261979312E-3</v>
      </c>
      <c r="K38" s="77">
        <f t="shared" si="11"/>
        <v>5.1529701261979312E-3</v>
      </c>
      <c r="L38" s="77">
        <f t="shared" si="11"/>
        <v>5.1529701261979312E-3</v>
      </c>
      <c r="M38" s="77">
        <f t="shared" si="11"/>
        <v>5.1529701261979312E-3</v>
      </c>
      <c r="N38" s="77">
        <f t="shared" si="11"/>
        <v>5.1529701261979312E-3</v>
      </c>
      <c r="O38" s="77">
        <f t="shared" si="11"/>
        <v>5.1529701261979312E-3</v>
      </c>
      <c r="P38" s="77">
        <f t="shared" si="11"/>
        <v>5.1529701261979312E-3</v>
      </c>
      <c r="Q38" s="77">
        <f t="shared" si="11"/>
        <v>5.1529701261979312E-3</v>
      </c>
    </row>
    <row r="39" spans="2:17" ht="5.0999999999999996" customHeight="1" x14ac:dyDescent="0.25"/>
    <row r="40" spans="2:17" x14ac:dyDescent="0.25">
      <c r="B40" s="78" t="s">
        <v>142</v>
      </c>
      <c r="C40" s="79">
        <f>C34-C37</f>
        <v>12948.84</v>
      </c>
      <c r="D40" s="79">
        <f t="shared" ref="D40:Q40" si="12">D34-D37</f>
        <v>42748.239999999991</v>
      </c>
      <c r="E40" s="79">
        <f t="shared" si="12"/>
        <v>22683.769999999997</v>
      </c>
      <c r="F40" s="79">
        <f t="shared" si="12"/>
        <v>18327.84</v>
      </c>
      <c r="G40" s="79">
        <f t="shared" si="12"/>
        <v>25639.910000000003</v>
      </c>
      <c r="H40" s="79">
        <f t="shared" si="12"/>
        <v>27698.680531574537</v>
      </c>
      <c r="I40" s="79">
        <f t="shared" si="12"/>
        <v>38285.821444383459</v>
      </c>
      <c r="J40" s="79">
        <f t="shared" si="12"/>
        <v>49726.866469978646</v>
      </c>
      <c r="K40" s="79">
        <f t="shared" si="12"/>
        <v>61890.60257890349</v>
      </c>
      <c r="L40" s="79">
        <f t="shared" si="12"/>
        <v>73606.704313353868</v>
      </c>
      <c r="M40" s="79">
        <f t="shared" si="12"/>
        <v>85130.310722256138</v>
      </c>
      <c r="N40" s="79">
        <f t="shared" si="12"/>
        <v>95277.088150507581</v>
      </c>
      <c r="O40" s="79">
        <f t="shared" si="12"/>
        <v>104823.48687438859</v>
      </c>
      <c r="P40" s="79">
        <f t="shared" si="12"/>
        <v>112613.87449038688</v>
      </c>
      <c r="Q40" s="79">
        <f t="shared" si="12"/>
        <v>119834.86126888344</v>
      </c>
    </row>
    <row r="41" spans="2:17" x14ac:dyDescent="0.25">
      <c r="B41" s="19" t="s">
        <v>143</v>
      </c>
      <c r="C41" s="76">
        <f>C40/C34</f>
        <v>0.99982163746076602</v>
      </c>
      <c r="D41" s="76">
        <f t="shared" ref="D41:Q41" si="13">D40/D34</f>
        <v>0.99628086442051822</v>
      </c>
      <c r="E41" s="76">
        <f t="shared" si="13"/>
        <v>0.99301807185139068</v>
      </c>
      <c r="F41" s="76">
        <f t="shared" si="13"/>
        <v>0.99133386628991893</v>
      </c>
      <c r="G41" s="76">
        <f t="shared" si="13"/>
        <v>0.99378070934641638</v>
      </c>
      <c r="H41" s="76">
        <f t="shared" si="13"/>
        <v>0.99484702987380202</v>
      </c>
      <c r="I41" s="76">
        <f t="shared" si="13"/>
        <v>0.99484702987380202</v>
      </c>
      <c r="J41" s="76">
        <f t="shared" si="13"/>
        <v>0.99484702987380214</v>
      </c>
      <c r="K41" s="76">
        <f t="shared" si="13"/>
        <v>0.99484702987380214</v>
      </c>
      <c r="L41" s="76">
        <f t="shared" si="13"/>
        <v>0.99484702987380214</v>
      </c>
      <c r="M41" s="76">
        <f t="shared" si="13"/>
        <v>0.99484702987380202</v>
      </c>
      <c r="N41" s="76">
        <f t="shared" si="13"/>
        <v>0.99484702987380202</v>
      </c>
      <c r="O41" s="76">
        <f t="shared" si="13"/>
        <v>0.99484702987380214</v>
      </c>
      <c r="P41" s="76">
        <f t="shared" si="13"/>
        <v>0.99484702987380214</v>
      </c>
      <c r="Q41" s="76">
        <f t="shared" si="13"/>
        <v>0.99484702987380202</v>
      </c>
    </row>
    <row r="51" spans="6:6" x14ac:dyDescent="0.25">
      <c r="F51" s="16"/>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Q41"/>
  <sheetViews>
    <sheetView showGridLines="0" workbookViewId="0">
      <selection activeCell="B4" sqref="B4"/>
    </sheetView>
  </sheetViews>
  <sheetFormatPr defaultRowHeight="15" x14ac:dyDescent="0.25"/>
  <cols>
    <col min="1" max="1" width="1.85546875" customWidth="1"/>
    <col min="2" max="2" width="60" bestFit="1" customWidth="1"/>
    <col min="3" max="3" width="10.7109375" bestFit="1" customWidth="1"/>
  </cols>
  <sheetData>
    <row r="6" spans="2:17" x14ac:dyDescent="0.25">
      <c r="B6" s="235" t="s">
        <v>279</v>
      </c>
    </row>
    <row r="7" spans="2:17" x14ac:dyDescent="0.25">
      <c r="B7" s="11" t="s">
        <v>0</v>
      </c>
      <c r="C7" s="13">
        <v>2021</v>
      </c>
      <c r="D7" s="13">
        <f>C7+1</f>
        <v>2022</v>
      </c>
      <c r="E7" s="13">
        <f t="shared" ref="E7:Q7" si="0">D7+1</f>
        <v>2023</v>
      </c>
      <c r="F7" s="13">
        <f t="shared" si="0"/>
        <v>2024</v>
      </c>
      <c r="G7" s="13">
        <f t="shared" si="0"/>
        <v>2025</v>
      </c>
      <c r="H7" s="14">
        <f t="shared" si="0"/>
        <v>2026</v>
      </c>
      <c r="I7" s="14">
        <f t="shared" si="0"/>
        <v>2027</v>
      </c>
      <c r="J7" s="14">
        <f t="shared" si="0"/>
        <v>2028</v>
      </c>
      <c r="K7" s="14">
        <f t="shared" si="0"/>
        <v>2029</v>
      </c>
      <c r="L7" s="14">
        <f t="shared" si="0"/>
        <v>2030</v>
      </c>
      <c r="M7" s="14">
        <f t="shared" si="0"/>
        <v>2031</v>
      </c>
      <c r="N7" s="14">
        <f t="shared" si="0"/>
        <v>2032</v>
      </c>
      <c r="O7" s="14">
        <f t="shared" si="0"/>
        <v>2033</v>
      </c>
      <c r="P7" s="14">
        <f t="shared" si="0"/>
        <v>2034</v>
      </c>
      <c r="Q7" s="14">
        <f t="shared" si="0"/>
        <v>2035</v>
      </c>
    </row>
    <row r="9" spans="2:17" x14ac:dyDescent="0.25">
      <c r="B9" s="1" t="s">
        <v>22</v>
      </c>
    </row>
    <row r="10" spans="2:17" x14ac:dyDescent="0.25">
      <c r="B10" s="1" t="s">
        <v>23</v>
      </c>
    </row>
    <row r="11" spans="2:17" x14ac:dyDescent="0.25">
      <c r="B11" s="66" t="s">
        <v>28</v>
      </c>
      <c r="C11" s="70">
        <f>'Historical B_Sheet'!C15</f>
        <v>577.04999999999995</v>
      </c>
      <c r="D11" s="70">
        <f>'Historical B_Sheet'!D15</f>
        <v>230.41</v>
      </c>
      <c r="E11" s="70">
        <f>'Historical B_Sheet'!E15</f>
        <v>262.69</v>
      </c>
      <c r="F11" s="70">
        <f>'Historical B_Sheet'!F15</f>
        <v>252.58</v>
      </c>
      <c r="G11" s="70">
        <f>'Historical B_Sheet'!G15</f>
        <v>199.46</v>
      </c>
      <c r="H11" s="16">
        <f>H12*Revenue_BuildUp!H$9</f>
        <v>716.76127463803959</v>
      </c>
      <c r="I11" s="16">
        <f>I12*Revenue_BuildUp!I$9</f>
        <v>990.7144118387406</v>
      </c>
      <c r="J11" s="16">
        <f>J12*Revenue_BuildUp!J$9</f>
        <v>1293.6429664878242</v>
      </c>
      <c r="K11" s="16">
        <f>K12*Revenue_BuildUp!K$9</f>
        <v>1610.0864455669564</v>
      </c>
      <c r="L11" s="16">
        <f>L12*Revenue_BuildUp!L$9</f>
        <v>1925.1664913923564</v>
      </c>
      <c r="M11" s="16">
        <f>M12*Revenue_BuildUp!M$9</f>
        <v>2226.5572883893878</v>
      </c>
      <c r="N11" s="16">
        <f>N12*Revenue_BuildUp!N$9</f>
        <v>2505.4168586998544</v>
      </c>
      <c r="O11" s="16">
        <f>O12*Revenue_BuildUp!O$9</f>
        <v>2756.44456764186</v>
      </c>
      <c r="P11" s="16">
        <f>P12*Revenue_BuildUp!P$9</f>
        <v>2977.3879087830533</v>
      </c>
      <c r="Q11" s="16">
        <f>Q12*Revenue_BuildUp!Q$9</f>
        <v>3168.3103862853513</v>
      </c>
    </row>
    <row r="12" spans="2:17" x14ac:dyDescent="0.25">
      <c r="B12" s="67" t="s">
        <v>103</v>
      </c>
      <c r="C12" s="68">
        <f>C11/Revenue_BuildUp!C$9</f>
        <v>0.29165887460765927</v>
      </c>
      <c r="D12" s="68">
        <f>D11/Revenue_BuildUp!D$9</f>
        <v>6.9632360718656985E-2</v>
      </c>
      <c r="E12" s="68">
        <f>E11/Revenue_BuildUp!E$9</f>
        <v>0.44641006032798036</v>
      </c>
      <c r="F12" s="68">
        <f>F11/Revenue_BuildUp!F$9</f>
        <v>0.16950198975928274</v>
      </c>
      <c r="G12" s="68">
        <f>G11/Revenue_BuildUp!G$9</f>
        <v>8.7573870970574549E-2</v>
      </c>
      <c r="H12" s="69">
        <f>AVERAGE(C12:G12)</f>
        <v>0.21295543127683078</v>
      </c>
      <c r="I12" s="69">
        <f>H12</f>
        <v>0.21295543127683078</v>
      </c>
      <c r="J12" s="69">
        <f t="shared" ref="J12:Q12" si="1">I12</f>
        <v>0.21295543127683078</v>
      </c>
      <c r="K12" s="69">
        <f t="shared" si="1"/>
        <v>0.21295543127683078</v>
      </c>
      <c r="L12" s="69">
        <f t="shared" si="1"/>
        <v>0.21295543127683078</v>
      </c>
      <c r="M12" s="69">
        <f t="shared" si="1"/>
        <v>0.21295543127683078</v>
      </c>
      <c r="N12" s="69">
        <f t="shared" si="1"/>
        <v>0.21295543127683078</v>
      </c>
      <c r="O12" s="69">
        <f t="shared" si="1"/>
        <v>0.21295543127683078</v>
      </c>
      <c r="P12" s="69">
        <f t="shared" si="1"/>
        <v>0.21295543127683078</v>
      </c>
      <c r="Q12" s="69">
        <f t="shared" si="1"/>
        <v>0.21295543127683078</v>
      </c>
    </row>
    <row r="14" spans="2:17" x14ac:dyDescent="0.25">
      <c r="B14" s="66" t="s">
        <v>30</v>
      </c>
      <c r="C14" s="70">
        <f>'Historical B_Sheet'!C18</f>
        <v>1572.52</v>
      </c>
      <c r="D14" s="70">
        <f>'Historical B_Sheet'!D18</f>
        <v>609.67999999999995</v>
      </c>
      <c r="E14" s="70">
        <f>'Historical B_Sheet'!E18</f>
        <v>445.01</v>
      </c>
      <c r="F14" s="70">
        <f>'Historical B_Sheet'!F18</f>
        <v>227.74</v>
      </c>
      <c r="G14" s="70">
        <f>'Historical B_Sheet'!G18</f>
        <v>41.66</v>
      </c>
      <c r="H14" s="16">
        <f>H15*Revenue_BuildUp!H$9</f>
        <v>1283.3157784516704</v>
      </c>
      <c r="I14" s="16">
        <f>I15*Revenue_BuildUp!I$9</f>
        <v>1773.811562704991</v>
      </c>
      <c r="J14" s="16">
        <f>J15*Revenue_BuildUp!J$9</f>
        <v>2316.1860012808561</v>
      </c>
      <c r="K14" s="16">
        <f>K15*Revenue_BuildUp!K$9</f>
        <v>2882.7580581982279</v>
      </c>
      <c r="L14" s="16">
        <f>L15*Revenue_BuildUp!L$9</f>
        <v>3446.8889740142426</v>
      </c>
      <c r="M14" s="16">
        <f>M15*Revenue_BuildUp!M$9</f>
        <v>3986.510154667084</v>
      </c>
      <c r="N14" s="16">
        <f>N15*Revenue_BuildUp!N$9</f>
        <v>4485.7905974231389</v>
      </c>
      <c r="O14" s="16">
        <f>O15*Revenue_BuildUp!O$9</f>
        <v>4935.2398507697744</v>
      </c>
      <c r="P14" s="16">
        <f>P15*Revenue_BuildUp!P$9</f>
        <v>5330.8249442494816</v>
      </c>
      <c r="Q14" s="16">
        <f>Q15*Revenue_BuildUp!Q$9</f>
        <v>5672.6595780520884</v>
      </c>
    </row>
    <row r="15" spans="2:17" x14ac:dyDescent="0.25">
      <c r="B15" s="67" t="s">
        <v>103</v>
      </c>
      <c r="C15" s="68">
        <f>C14/Revenue_BuildUp!C$9</f>
        <v>0.7948001273685753</v>
      </c>
      <c r="D15" s="68">
        <f>D14/Revenue_BuildUp!D$9</f>
        <v>0.1842518019311262</v>
      </c>
      <c r="E15" s="68">
        <f>E14/Revenue_BuildUp!E$9</f>
        <v>0.75624097204520357</v>
      </c>
      <c r="F15" s="68">
        <f>F14/Revenue_BuildUp!F$9</f>
        <v>0.15283230322186656</v>
      </c>
      <c r="G15" s="68">
        <f>G14/Revenue_BuildUp!G$9</f>
        <v>1.8291023085501533E-2</v>
      </c>
      <c r="H15" s="69">
        <f>AVERAGE(C15:G15)</f>
        <v>0.38128324553045467</v>
      </c>
      <c r="I15" s="69">
        <f>H15</f>
        <v>0.38128324553045467</v>
      </c>
      <c r="J15" s="69">
        <f t="shared" ref="J15:Q15" si="2">I15</f>
        <v>0.38128324553045467</v>
      </c>
      <c r="K15" s="69">
        <f t="shared" si="2"/>
        <v>0.38128324553045467</v>
      </c>
      <c r="L15" s="69">
        <f t="shared" si="2"/>
        <v>0.38128324553045467</v>
      </c>
      <c r="M15" s="69">
        <f t="shared" si="2"/>
        <v>0.38128324553045467</v>
      </c>
      <c r="N15" s="69">
        <f t="shared" si="2"/>
        <v>0.38128324553045467</v>
      </c>
      <c r="O15" s="69">
        <f t="shared" si="2"/>
        <v>0.38128324553045467</v>
      </c>
      <c r="P15" s="69">
        <f t="shared" si="2"/>
        <v>0.38128324553045467</v>
      </c>
      <c r="Q15" s="69">
        <f t="shared" si="2"/>
        <v>0.38128324553045467</v>
      </c>
    </row>
    <row r="17" spans="2:17" x14ac:dyDescent="0.25">
      <c r="B17" s="1" t="s">
        <v>32</v>
      </c>
    </row>
    <row r="18" spans="2:17" x14ac:dyDescent="0.25">
      <c r="B18" s="66" t="s">
        <v>33</v>
      </c>
      <c r="C18" s="70">
        <f>'Historical B_Sheet'!C23</f>
        <v>0</v>
      </c>
      <c r="D18" s="70">
        <f>'Historical B_Sheet'!D23</f>
        <v>105.2</v>
      </c>
      <c r="E18" s="70">
        <f>'Historical B_Sheet'!E23</f>
        <v>306.77</v>
      </c>
      <c r="F18" s="70">
        <f>'Historical B_Sheet'!F23</f>
        <v>533.01</v>
      </c>
      <c r="G18" s="70">
        <f>'Historical B_Sheet'!G23</f>
        <v>373.39</v>
      </c>
      <c r="H18" s="16">
        <f>H19*Revenue_BuildUp!H$9</f>
        <v>723.47023257771991</v>
      </c>
      <c r="I18" s="16">
        <f>I19*Revenue_BuildUp!I$9</f>
        <v>999.98759881807018</v>
      </c>
      <c r="J18" s="16">
        <f>J19*Revenue_BuildUp!J$9</f>
        <v>1305.7515953412912</v>
      </c>
      <c r="K18" s="16">
        <f>K19*Revenue_BuildUp!K$9</f>
        <v>1625.1570173525388</v>
      </c>
      <c r="L18" s="16">
        <f>L19*Revenue_BuildUp!L$9</f>
        <v>1943.1862442370614</v>
      </c>
      <c r="M18" s="16">
        <f>M19*Revenue_BuildUp!M$9</f>
        <v>2247.3980895412587</v>
      </c>
      <c r="N18" s="16">
        <f>N19*Revenue_BuildUp!N$9</f>
        <v>2528.8678136009426</v>
      </c>
      <c r="O18" s="16">
        <f>O19*Revenue_BuildUp!O$9</f>
        <v>2782.2451672581101</v>
      </c>
      <c r="P18" s="16">
        <f>P19*Revenue_BuildUp!P$9</f>
        <v>3005.25656039265</v>
      </c>
      <c r="Q18" s="16">
        <f>Q19*Revenue_BuildUp!Q$9</f>
        <v>3197.9660915718496</v>
      </c>
    </row>
    <row r="19" spans="2:17" x14ac:dyDescent="0.25">
      <c r="B19" s="67" t="s">
        <v>103</v>
      </c>
      <c r="C19" s="68">
        <f>C18/Revenue_BuildUp!C$9</f>
        <v>0</v>
      </c>
      <c r="D19" s="68">
        <f>D18/Revenue_BuildUp!D$9</f>
        <v>3.1792562595385244E-2</v>
      </c>
      <c r="E19" s="68">
        <f>E18/Revenue_BuildUp!E$9</f>
        <v>0.52131871866768631</v>
      </c>
      <c r="F19" s="68">
        <f>F18/Revenue_BuildUp!F$9</f>
        <v>0.35769362404622412</v>
      </c>
      <c r="G19" s="68">
        <f>G18/Revenue_BuildUp!G$9</f>
        <v>0.16393867282514205</v>
      </c>
      <c r="H19" s="69">
        <f>AVERAGE(C19:G19)</f>
        <v>0.21494871562688753</v>
      </c>
      <c r="I19" s="69">
        <f>H19</f>
        <v>0.21494871562688753</v>
      </c>
      <c r="J19" s="69">
        <f t="shared" ref="J19:Q19" si="3">I19</f>
        <v>0.21494871562688753</v>
      </c>
      <c r="K19" s="69">
        <f t="shared" si="3"/>
        <v>0.21494871562688753</v>
      </c>
      <c r="L19" s="69">
        <f t="shared" si="3"/>
        <v>0.21494871562688753</v>
      </c>
      <c r="M19" s="69">
        <f t="shared" si="3"/>
        <v>0.21494871562688753</v>
      </c>
      <c r="N19" s="69">
        <f t="shared" si="3"/>
        <v>0.21494871562688753</v>
      </c>
      <c r="O19" s="69">
        <f t="shared" si="3"/>
        <v>0.21494871562688753</v>
      </c>
      <c r="P19" s="69">
        <f t="shared" si="3"/>
        <v>0.21494871562688753</v>
      </c>
      <c r="Q19" s="69">
        <f t="shared" si="3"/>
        <v>0.21494871562688753</v>
      </c>
    </row>
    <row r="21" spans="2:17" x14ac:dyDescent="0.25">
      <c r="B21" s="296" t="s">
        <v>34</v>
      </c>
      <c r="C21" s="297">
        <f>'Historical B_Sheet'!C24</f>
        <v>3913.66</v>
      </c>
      <c r="D21" s="297">
        <f>'Historical B_Sheet'!D24</f>
        <v>2415.08</v>
      </c>
      <c r="E21" s="297">
        <f>'Historical B_Sheet'!E24</f>
        <v>1813.25</v>
      </c>
      <c r="F21" s="297">
        <f>'Historical B_Sheet'!F24</f>
        <v>1098.4000000000001</v>
      </c>
      <c r="G21" s="297">
        <f>'Historical B_Sheet'!G24</f>
        <v>223.85</v>
      </c>
      <c r="H21" s="300">
        <f>H22*Revenue_BuildUp!H$9</f>
        <v>330.79706161641013</v>
      </c>
      <c r="I21" s="16">
        <f>I22*Revenue_BuildUp!I$9</f>
        <v>457.23091904314288</v>
      </c>
      <c r="J21" s="16">
        <f>J22*Revenue_BuildUp!J$9</f>
        <v>597.03740594943861</v>
      </c>
      <c r="K21" s="16">
        <f>K22*Revenue_BuildUp!K$9</f>
        <v>743.08125171930533</v>
      </c>
      <c r="L21" s="16">
        <f>L22*Revenue_BuildUp!L$9</f>
        <v>888.49585072319337</v>
      </c>
      <c r="M21" s="16">
        <f>M22*Revenue_BuildUp!M$9</f>
        <v>1027.5926372999979</v>
      </c>
      <c r="N21" s="16">
        <f>N22*Revenue_BuildUp!N$9</f>
        <v>1156.2908939251215</v>
      </c>
      <c r="O21" s="16">
        <f>O22*Revenue_BuildUp!O$9</f>
        <v>1272.1442909215612</v>
      </c>
      <c r="P21" s="16">
        <f>P22*Revenue_BuildUp!P$9</f>
        <v>1374.1132596972914</v>
      </c>
      <c r="Q21" s="16">
        <f>Q22*Revenue_BuildUp!Q$9</f>
        <v>1462.2271084625991</v>
      </c>
    </row>
    <row r="22" spans="2:17" x14ac:dyDescent="0.25">
      <c r="B22" s="298" t="s">
        <v>103</v>
      </c>
      <c r="C22" s="299">
        <f>C21/Revenue_BuildUp!C$9</f>
        <v>1.9780845181474949</v>
      </c>
      <c r="D22" s="299">
        <f>D21/Revenue_BuildUp!D$9</f>
        <v>0.72986294746067482</v>
      </c>
      <c r="E22" s="299">
        <f>E21/Revenue_BuildUp!E$9</f>
        <v>3.081400288894554</v>
      </c>
      <c r="F22" s="299">
        <f>F21/Revenue_BuildUp!F$9</f>
        <v>0.73711689584130247</v>
      </c>
      <c r="G22" s="299">
        <f>G21/Revenue_BuildUp!G$9</f>
        <v>9.8282417611366246E-2</v>
      </c>
      <c r="H22" s="69">
        <f>G22</f>
        <v>9.8282417611366246E-2</v>
      </c>
      <c r="I22" s="69">
        <f>H22</f>
        <v>9.8282417611366246E-2</v>
      </c>
      <c r="J22" s="69">
        <f t="shared" ref="J22:Q22" si="4">I22</f>
        <v>9.8282417611366246E-2</v>
      </c>
      <c r="K22" s="69">
        <f t="shared" si="4"/>
        <v>9.8282417611366246E-2</v>
      </c>
      <c r="L22" s="69">
        <f t="shared" si="4"/>
        <v>9.8282417611366246E-2</v>
      </c>
      <c r="M22" s="69">
        <f t="shared" si="4"/>
        <v>9.8282417611366246E-2</v>
      </c>
      <c r="N22" s="69">
        <f t="shared" si="4"/>
        <v>9.8282417611366246E-2</v>
      </c>
      <c r="O22" s="69">
        <f t="shared" si="4"/>
        <v>9.8282417611366246E-2</v>
      </c>
      <c r="P22" s="69">
        <f t="shared" si="4"/>
        <v>9.8282417611366246E-2</v>
      </c>
      <c r="Q22" s="69">
        <f t="shared" si="4"/>
        <v>9.8282417611366246E-2</v>
      </c>
    </row>
    <row r="24" spans="2:17" x14ac:dyDescent="0.25">
      <c r="B24" s="66" t="s">
        <v>36</v>
      </c>
      <c r="C24" s="70">
        <f>'Historical B_Sheet'!C26</f>
        <v>24.73</v>
      </c>
      <c r="D24" s="70">
        <f>'Historical B_Sheet'!D26</f>
        <v>9.9499999999999993</v>
      </c>
      <c r="E24" s="70">
        <f>'Historical B_Sheet'!E26</f>
        <v>11.88</v>
      </c>
      <c r="F24" s="70">
        <f>'Historical B_Sheet'!F26</f>
        <v>10.09</v>
      </c>
      <c r="G24" s="70">
        <f>'Historical B_Sheet'!G26</f>
        <v>10.94</v>
      </c>
      <c r="H24" s="16">
        <f>H25*Revenue_BuildUp!H$9</f>
        <v>31.819695470568853</v>
      </c>
      <c r="I24" s="16">
        <f>I25*Revenue_BuildUp!I$9</f>
        <v>43.981492860272084</v>
      </c>
      <c r="J24" s="16">
        <f>J25*Revenue_BuildUp!J$9</f>
        <v>57.429616662916281</v>
      </c>
      <c r="K24" s="16">
        <f>K25*Revenue_BuildUp!K$9</f>
        <v>71.477718163698626</v>
      </c>
      <c r="L24" s="16">
        <f>L25*Revenue_BuildUp!L$9</f>
        <v>85.465291797723509</v>
      </c>
      <c r="M24" s="16">
        <f>M25*Revenue_BuildUp!M$9</f>
        <v>98.845148826021457</v>
      </c>
      <c r="N24" s="16">
        <f>N25*Revenue_BuildUp!N$9</f>
        <v>111.22476100695808</v>
      </c>
      <c r="O24" s="16">
        <f>O25*Revenue_BuildUp!O$9</f>
        <v>122.36881347720755</v>
      </c>
      <c r="P24" s="16">
        <f>P25*Revenue_BuildUp!P$9</f>
        <v>132.17730910905243</v>
      </c>
      <c r="Q24" s="16">
        <f>Q25*Revenue_BuildUp!Q$9</f>
        <v>140.65306708813347</v>
      </c>
    </row>
    <row r="25" spans="2:17" x14ac:dyDescent="0.25">
      <c r="B25" s="67" t="s">
        <v>103</v>
      </c>
      <c r="C25" s="68">
        <f>C24/Revenue_BuildUp!C$9</f>
        <v>1.249930503257502E-2</v>
      </c>
      <c r="D25" s="68">
        <f>D24/Revenue_BuildUp!D$9</f>
        <v>3.0069961770350108E-3</v>
      </c>
      <c r="E25" s="68">
        <f>E24/Revenue_BuildUp!E$9</f>
        <v>2.018863114963039E-2</v>
      </c>
      <c r="F25" s="68">
        <f>F24/Revenue_BuildUp!F$9</f>
        <v>6.7712213028393491E-3</v>
      </c>
      <c r="G25" s="68">
        <f>G24/Revenue_BuildUp!G$9</f>
        <v>4.8032595428561392E-3</v>
      </c>
      <c r="H25" s="69">
        <f>AVERAGE(C25:G25)</f>
        <v>9.453882640987182E-3</v>
      </c>
      <c r="I25" s="69">
        <f>H25</f>
        <v>9.453882640987182E-3</v>
      </c>
      <c r="J25" s="69">
        <f t="shared" ref="J25:Q25" si="5">I25</f>
        <v>9.453882640987182E-3</v>
      </c>
      <c r="K25" s="69">
        <f t="shared" si="5"/>
        <v>9.453882640987182E-3</v>
      </c>
      <c r="L25" s="69">
        <f t="shared" si="5"/>
        <v>9.453882640987182E-3</v>
      </c>
      <c r="M25" s="69">
        <f t="shared" si="5"/>
        <v>9.453882640987182E-3</v>
      </c>
      <c r="N25" s="69">
        <f t="shared" si="5"/>
        <v>9.453882640987182E-3</v>
      </c>
      <c r="O25" s="69">
        <f t="shared" si="5"/>
        <v>9.453882640987182E-3</v>
      </c>
      <c r="P25" s="69">
        <f t="shared" si="5"/>
        <v>9.453882640987182E-3</v>
      </c>
      <c r="Q25" s="69">
        <f t="shared" si="5"/>
        <v>9.453882640987182E-3</v>
      </c>
    </row>
    <row r="26" spans="2:17" x14ac:dyDescent="0.25">
      <c r="B26" s="1"/>
    </row>
    <row r="27" spans="2:17" x14ac:dyDescent="0.25">
      <c r="B27" s="1" t="s">
        <v>40</v>
      </c>
    </row>
    <row r="28" spans="2:17" x14ac:dyDescent="0.25">
      <c r="B28" s="1" t="s">
        <v>41</v>
      </c>
    </row>
    <row r="29" spans="2:17" x14ac:dyDescent="0.25">
      <c r="B29" s="66" t="s">
        <v>46</v>
      </c>
      <c r="C29" s="70">
        <f>'Historical B_Sheet'!C39</f>
        <v>81.27</v>
      </c>
      <c r="D29" s="70">
        <f>'Historical B_Sheet'!D39</f>
        <v>18.350000000000001</v>
      </c>
      <c r="E29" s="70">
        <f>'Historical B_Sheet'!E39</f>
        <v>13.46</v>
      </c>
      <c r="F29" s="70">
        <f>'Historical B_Sheet'!F39</f>
        <v>16.600000000000001</v>
      </c>
      <c r="G29" s="70">
        <f>'Historical B_Sheet'!G39</f>
        <v>7</v>
      </c>
      <c r="H29" s="16">
        <f>H30*Revenue_BuildUp!H$9</f>
        <v>56.349182263539433</v>
      </c>
      <c r="I29" s="16">
        <f>I30*Revenue_BuildUp!I$9</f>
        <v>77.886388312493935</v>
      </c>
      <c r="J29" s="16">
        <f>J30*Revenue_BuildUp!J$9</f>
        <v>101.70153701367329</v>
      </c>
      <c r="K29" s="16">
        <f>K30*Revenue_BuildUp!K$9</f>
        <v>126.57918025373712</v>
      </c>
      <c r="L29" s="16">
        <f>L30*Revenue_BuildUp!L$9</f>
        <v>151.34963529650676</v>
      </c>
      <c r="M29" s="16">
        <f>M30*Revenue_BuildUp!M$9</f>
        <v>175.04389104590604</v>
      </c>
      <c r="N29" s="16">
        <f>N30*Revenue_BuildUp!N$9</f>
        <v>196.96682314249844</v>
      </c>
      <c r="O29" s="16">
        <f>O30*Revenue_BuildUp!O$9</f>
        <v>216.70171483501497</v>
      </c>
      <c r="P29" s="16">
        <f>P30*Revenue_BuildUp!P$9</f>
        <v>234.07148220444719</v>
      </c>
      <c r="Q29" s="16">
        <f>Q30*Revenue_BuildUp!Q$9</f>
        <v>249.0811177186097</v>
      </c>
    </row>
    <row r="30" spans="2:17" x14ac:dyDescent="0.25">
      <c r="B30" s="67" t="s">
        <v>103</v>
      </c>
      <c r="C30" s="68">
        <f>C29/Revenue_BuildUp!C$9</f>
        <v>4.1076365547811231E-2</v>
      </c>
      <c r="D30" s="68">
        <f>D29/Revenue_BuildUp!D$9</f>
        <v>5.545565813928891E-3</v>
      </c>
      <c r="E30" s="68">
        <f>E29/Revenue_BuildUp!E$9</f>
        <v>2.2873651117342172E-2</v>
      </c>
      <c r="F30" s="68">
        <f>F29/Revenue_BuildUp!F$9</f>
        <v>1.1139967653828861E-2</v>
      </c>
      <c r="G30" s="68">
        <f>G29/Revenue_BuildUp!G$9</f>
        <v>3.0733836197434166E-3</v>
      </c>
      <c r="H30" s="69">
        <f>AVERAGE(C30:G30)</f>
        <v>1.6741786750530917E-2</v>
      </c>
      <c r="I30" s="69">
        <f>H30</f>
        <v>1.6741786750530917E-2</v>
      </c>
      <c r="J30" s="69">
        <f t="shared" ref="J30:Q30" si="6">I30</f>
        <v>1.6741786750530917E-2</v>
      </c>
      <c r="K30" s="69">
        <f t="shared" si="6"/>
        <v>1.6741786750530917E-2</v>
      </c>
      <c r="L30" s="69">
        <f t="shared" si="6"/>
        <v>1.6741786750530917E-2</v>
      </c>
      <c r="M30" s="69">
        <f t="shared" si="6"/>
        <v>1.6741786750530917E-2</v>
      </c>
      <c r="N30" s="69">
        <f t="shared" si="6"/>
        <v>1.6741786750530917E-2</v>
      </c>
      <c r="O30" s="69">
        <f t="shared" si="6"/>
        <v>1.6741786750530917E-2</v>
      </c>
      <c r="P30" s="69">
        <f t="shared" si="6"/>
        <v>1.6741786750530917E-2</v>
      </c>
      <c r="Q30" s="69">
        <f t="shared" si="6"/>
        <v>1.6741786750530917E-2</v>
      </c>
    </row>
    <row r="32" spans="2:17" x14ac:dyDescent="0.25">
      <c r="B32" s="1" t="s">
        <v>48</v>
      </c>
    </row>
    <row r="33" spans="2:17" x14ac:dyDescent="0.25">
      <c r="B33" s="66" t="s">
        <v>50</v>
      </c>
      <c r="C33" s="70">
        <f>'Historical B_Sheet'!C45</f>
        <v>2.9</v>
      </c>
      <c r="D33" s="70">
        <f>'Historical B_Sheet'!D45</f>
        <v>1.55</v>
      </c>
      <c r="E33" s="70">
        <f>'Historical B_Sheet'!E45</f>
        <v>5.52</v>
      </c>
      <c r="F33" s="70">
        <f>'Historical B_Sheet'!F45</f>
        <v>3.11</v>
      </c>
      <c r="G33" s="70">
        <f>'Historical B_Sheet'!G45</f>
        <v>6.75</v>
      </c>
      <c r="H33" s="16">
        <f>H34*Revenue_BuildUp!H$9</f>
        <v>11.016495155039472</v>
      </c>
      <c r="I33" s="16">
        <f>I34*Revenue_BuildUp!I$9</f>
        <v>15.227106854455656</v>
      </c>
      <c r="J33" s="16">
        <f>J34*Revenue_BuildUp!J$9</f>
        <v>19.883065641152122</v>
      </c>
      <c r="K33" s="16">
        <f>K34*Revenue_BuildUp!K$9</f>
        <v>24.746746447400415</v>
      </c>
      <c r="L33" s="16">
        <f>L34*Revenue_BuildUp!L$9</f>
        <v>29.58947152352567</v>
      </c>
      <c r="M33" s="16">
        <f>M34*Revenue_BuildUp!M$9</f>
        <v>34.221795244653038</v>
      </c>
      <c r="N33" s="16">
        <f>N34*Revenue_BuildUp!N$9</f>
        <v>38.507817960951449</v>
      </c>
      <c r="O33" s="16">
        <f>O34*Revenue_BuildUp!O$9</f>
        <v>42.366069846471909</v>
      </c>
      <c r="P33" s="16">
        <f>P34*Revenue_BuildUp!P$9</f>
        <v>45.761930272175512</v>
      </c>
      <c r="Q33" s="16">
        <f>Q34*Revenue_BuildUp!Q$9</f>
        <v>48.69637528589972</v>
      </c>
    </row>
    <row r="34" spans="2:17" x14ac:dyDescent="0.25">
      <c r="B34" s="67" t="s">
        <v>103</v>
      </c>
      <c r="C34" s="68">
        <f>C33/Revenue_BuildUp!C$9</f>
        <v>1.4657494781426426E-3</v>
      </c>
      <c r="D34" s="68">
        <f>D33/Revenue_BuildUp!D$9</f>
        <v>4.6842654014113243E-4</v>
      </c>
      <c r="E34" s="68">
        <f>E33/Revenue_BuildUp!E$9</f>
        <v>9.3805760897272498E-3</v>
      </c>
      <c r="F34" s="68">
        <f>F33/Revenue_BuildUp!F$9</f>
        <v>2.087066229120949E-3</v>
      </c>
      <c r="G34" s="68">
        <f>G33/Revenue_BuildUp!G$9</f>
        <v>2.9636199190382945E-3</v>
      </c>
      <c r="H34" s="69">
        <f>AVERAGE(C34:G34)</f>
        <v>3.2730876512340537E-3</v>
      </c>
      <c r="I34" s="69">
        <f>H34</f>
        <v>3.2730876512340537E-3</v>
      </c>
      <c r="J34" s="69">
        <f t="shared" ref="J34:Q34" si="7">I34</f>
        <v>3.2730876512340537E-3</v>
      </c>
      <c r="K34" s="69">
        <f t="shared" si="7"/>
        <v>3.2730876512340537E-3</v>
      </c>
      <c r="L34" s="69">
        <f t="shared" si="7"/>
        <v>3.2730876512340537E-3</v>
      </c>
      <c r="M34" s="69">
        <f t="shared" si="7"/>
        <v>3.2730876512340537E-3</v>
      </c>
      <c r="N34" s="69">
        <f t="shared" si="7"/>
        <v>3.2730876512340537E-3</v>
      </c>
      <c r="O34" s="69">
        <f t="shared" si="7"/>
        <v>3.2730876512340537E-3</v>
      </c>
      <c r="P34" s="69">
        <f t="shared" si="7"/>
        <v>3.2730876512340537E-3</v>
      </c>
      <c r="Q34" s="69">
        <f t="shared" si="7"/>
        <v>3.2730876512340537E-3</v>
      </c>
    </row>
    <row r="36" spans="2:17" x14ac:dyDescent="0.25">
      <c r="B36" s="66" t="s">
        <v>51</v>
      </c>
      <c r="C36" s="70">
        <f>'Historical B_Sheet'!C46</f>
        <v>27.11</v>
      </c>
      <c r="D36" s="70">
        <f>'Historical B_Sheet'!D46</f>
        <v>47.65</v>
      </c>
      <c r="E36" s="70">
        <f>'Historical B_Sheet'!E46</f>
        <v>90.95</v>
      </c>
      <c r="F36" s="70">
        <f>'Historical B_Sheet'!F46</f>
        <v>40.090000000000003</v>
      </c>
      <c r="G36" s="70">
        <f>'Historical B_Sheet'!G46</f>
        <v>39.1</v>
      </c>
      <c r="H36" s="16">
        <f>H37*Revenue_BuildUp!H$9</f>
        <v>152.62596317670619</v>
      </c>
      <c r="I36" s="16">
        <f>I37*Revenue_BuildUp!I$9</f>
        <v>210.96109219389859</v>
      </c>
      <c r="J36" s="16">
        <f>J37*Revenue_BuildUp!J$9</f>
        <v>275.4661987935711</v>
      </c>
      <c r="K36" s="16">
        <f>K37*Revenue_BuildUp!K$9</f>
        <v>342.84915110196749</v>
      </c>
      <c r="L36" s="16">
        <f>L37*Revenue_BuildUp!L$9</f>
        <v>409.94177618295731</v>
      </c>
      <c r="M36" s="16">
        <f>M37*Revenue_BuildUp!M$9</f>
        <v>474.11943520547749</v>
      </c>
      <c r="N36" s="16">
        <f>N37*Revenue_BuildUp!N$9</f>
        <v>533.49933199352665</v>
      </c>
      <c r="O36" s="16">
        <f>O37*Revenue_BuildUp!O$9</f>
        <v>586.95275814390493</v>
      </c>
      <c r="P36" s="16">
        <f>P37*Revenue_BuildUp!P$9</f>
        <v>634.00006865350736</v>
      </c>
      <c r="Q36" s="16">
        <f>Q37*Revenue_BuildUp!Q$9</f>
        <v>674.65478599379151</v>
      </c>
    </row>
    <row r="37" spans="2:17" x14ac:dyDescent="0.25">
      <c r="B37" s="67" t="s">
        <v>103</v>
      </c>
      <c r="C37" s="68">
        <f>C36/Revenue_BuildUp!C$9</f>
        <v>1.370223046636105E-2</v>
      </c>
      <c r="D37" s="68">
        <f>D36/Revenue_BuildUp!D$9</f>
        <v>1.4400338475951586E-2</v>
      </c>
      <c r="E37" s="68">
        <f>E36/Revenue_BuildUp!E$9</f>
        <v>0.15455858611606765</v>
      </c>
      <c r="F37" s="68">
        <f>F36/Revenue_BuildUp!F$9</f>
        <v>2.6903692966385482E-2</v>
      </c>
      <c r="G37" s="68">
        <f>G36/Revenue_BuildUp!G$9</f>
        <v>1.7167042790281084E-2</v>
      </c>
      <c r="H37" s="69">
        <f>AVERAGE(C37:G37)</f>
        <v>4.534637816300937E-2</v>
      </c>
      <c r="I37" s="69">
        <f>H37</f>
        <v>4.534637816300937E-2</v>
      </c>
      <c r="J37" s="69">
        <f t="shared" ref="J37:Q37" si="8">I37</f>
        <v>4.534637816300937E-2</v>
      </c>
      <c r="K37" s="69">
        <f t="shared" si="8"/>
        <v>4.534637816300937E-2</v>
      </c>
      <c r="L37" s="69">
        <f t="shared" si="8"/>
        <v>4.534637816300937E-2</v>
      </c>
      <c r="M37" s="69">
        <f t="shared" si="8"/>
        <v>4.534637816300937E-2</v>
      </c>
      <c r="N37" s="69">
        <f t="shared" si="8"/>
        <v>4.534637816300937E-2</v>
      </c>
      <c r="O37" s="69">
        <f t="shared" si="8"/>
        <v>4.534637816300937E-2</v>
      </c>
      <c r="P37" s="69">
        <f t="shared" si="8"/>
        <v>4.534637816300937E-2</v>
      </c>
      <c r="Q37" s="69">
        <f t="shared" si="8"/>
        <v>4.534637816300937E-2</v>
      </c>
    </row>
    <row r="41" spans="2:17" x14ac:dyDescent="0.25">
      <c r="C41" s="16"/>
      <c r="D41" s="16"/>
      <c r="E41" s="16"/>
      <c r="F41" s="16"/>
      <c r="G41" s="16"/>
      <c r="H41" s="16"/>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7:Q45"/>
  <sheetViews>
    <sheetView showGridLines="0" topLeftCell="A18" workbookViewId="0">
      <selection activeCell="D24" sqref="D24"/>
    </sheetView>
  </sheetViews>
  <sheetFormatPr defaultRowHeight="15" x14ac:dyDescent="0.25"/>
  <cols>
    <col min="1" max="1" width="1.85546875" customWidth="1"/>
    <col min="2" max="2" width="41.28515625" bestFit="1" customWidth="1"/>
    <col min="4" max="4" width="9.85546875" bestFit="1" customWidth="1"/>
  </cols>
  <sheetData>
    <row r="7" spans="2:17" ht="15.75" thickBot="1" x14ac:dyDescent="0.3">
      <c r="B7" s="405" t="s">
        <v>411</v>
      </c>
      <c r="C7" s="405"/>
      <c r="D7" s="405"/>
      <c r="E7" s="405"/>
      <c r="F7" s="405"/>
      <c r="G7" s="405"/>
      <c r="H7" s="405"/>
      <c r="I7" s="405"/>
      <c r="J7" s="405"/>
      <c r="K7" s="405"/>
      <c r="L7" s="405"/>
      <c r="M7" s="405"/>
      <c r="N7" s="405"/>
      <c r="O7" s="405"/>
      <c r="P7" s="405"/>
      <c r="Q7" s="405"/>
    </row>
    <row r="8" spans="2:17" x14ac:dyDescent="0.25">
      <c r="B8" s="235" t="s">
        <v>279</v>
      </c>
    </row>
    <row r="9" spans="2:17" x14ac:dyDescent="0.25">
      <c r="B9" s="11" t="s">
        <v>0</v>
      </c>
      <c r="C9" s="13">
        <v>2021</v>
      </c>
      <c r="D9" s="13">
        <f>C9+1</f>
        <v>2022</v>
      </c>
      <c r="E9" s="13">
        <f t="shared" ref="E9:Q9" si="0">D9+1</f>
        <v>2023</v>
      </c>
      <c r="F9" s="13">
        <f t="shared" si="0"/>
        <v>2024</v>
      </c>
      <c r="G9" s="13">
        <f t="shared" si="0"/>
        <v>2025</v>
      </c>
      <c r="H9" s="14">
        <f t="shared" si="0"/>
        <v>2026</v>
      </c>
      <c r="I9" s="14">
        <f t="shared" si="0"/>
        <v>2027</v>
      </c>
      <c r="J9" s="14">
        <f t="shared" si="0"/>
        <v>2028</v>
      </c>
      <c r="K9" s="14">
        <f t="shared" si="0"/>
        <v>2029</v>
      </c>
      <c r="L9" s="14">
        <f t="shared" si="0"/>
        <v>2030</v>
      </c>
      <c r="M9" s="14">
        <f t="shared" si="0"/>
        <v>2031</v>
      </c>
      <c r="N9" s="14">
        <f t="shared" si="0"/>
        <v>2032</v>
      </c>
      <c r="O9" s="14">
        <f t="shared" si="0"/>
        <v>2033</v>
      </c>
      <c r="P9" s="14">
        <f t="shared" si="0"/>
        <v>2034</v>
      </c>
      <c r="Q9" s="14">
        <f t="shared" si="0"/>
        <v>2035</v>
      </c>
    </row>
    <row r="10" spans="2:17" x14ac:dyDescent="0.25">
      <c r="B10" s="1" t="s">
        <v>23</v>
      </c>
    </row>
    <row r="11" spans="2:17" x14ac:dyDescent="0.25">
      <c r="B11" t="s">
        <v>28</v>
      </c>
      <c r="C11" s="16">
        <v>577.04999999999995</v>
      </c>
      <c r="D11" s="16">
        <v>230.41</v>
      </c>
      <c r="E11" s="16">
        <v>262.69</v>
      </c>
      <c r="F11" s="16">
        <v>252.58</v>
      </c>
      <c r="G11" s="16">
        <v>199.46</v>
      </c>
      <c r="H11" s="16">
        <f>'Balance Sheet'!H17</f>
        <v>716.76127463803959</v>
      </c>
      <c r="I11" s="16">
        <f>'Balance Sheet'!I17</f>
        <v>990.7144118387406</v>
      </c>
      <c r="J11" s="16">
        <f>'Balance Sheet'!J17</f>
        <v>1293.6429664878242</v>
      </c>
      <c r="K11" s="16">
        <f>'Balance Sheet'!K17</f>
        <v>1610.0864455669564</v>
      </c>
      <c r="L11" s="16">
        <f>'Balance Sheet'!L17</f>
        <v>1925.1664913923564</v>
      </c>
      <c r="M11" s="16">
        <f>'Balance Sheet'!M17</f>
        <v>2226.5572883893878</v>
      </c>
      <c r="N11" s="16">
        <f>'Balance Sheet'!N17</f>
        <v>2505.4168586998544</v>
      </c>
      <c r="O11" s="16">
        <f>'Balance Sheet'!O17</f>
        <v>2756.44456764186</v>
      </c>
      <c r="P11" s="16">
        <f>'Balance Sheet'!P17</f>
        <v>2977.3879087830533</v>
      </c>
      <c r="Q11" s="16">
        <f>'Balance Sheet'!Q17</f>
        <v>3168.3103862853513</v>
      </c>
    </row>
    <row r="12" spans="2:17" x14ac:dyDescent="0.25">
      <c r="B12" t="s">
        <v>30</v>
      </c>
      <c r="C12" s="16">
        <v>1572.52</v>
      </c>
      <c r="D12" s="16">
        <v>609.67999999999995</v>
      </c>
      <c r="E12" s="16">
        <v>445.01</v>
      </c>
      <c r="F12" s="16">
        <v>227.74</v>
      </c>
      <c r="G12" s="16">
        <v>41.66</v>
      </c>
      <c r="H12" s="16">
        <f>'Balance Sheet'!H20</f>
        <v>1283.3157784516704</v>
      </c>
      <c r="I12" s="16">
        <f>'Balance Sheet'!I20</f>
        <v>1773.811562704991</v>
      </c>
      <c r="J12" s="16">
        <f>'Balance Sheet'!J20</f>
        <v>2316.1860012808561</v>
      </c>
      <c r="K12" s="16">
        <f>'Balance Sheet'!K20</f>
        <v>2882.7580581982279</v>
      </c>
      <c r="L12" s="16">
        <f>'Balance Sheet'!L20</f>
        <v>3446.8889740142426</v>
      </c>
      <c r="M12" s="16">
        <f>'Balance Sheet'!M20</f>
        <v>3986.510154667084</v>
      </c>
      <c r="N12" s="16">
        <f>'Balance Sheet'!N20</f>
        <v>4485.7905974231389</v>
      </c>
      <c r="O12" s="16">
        <f>'Balance Sheet'!O20</f>
        <v>4935.2398507697744</v>
      </c>
      <c r="P12" s="16">
        <f>'Balance Sheet'!P20</f>
        <v>5330.8249442494816</v>
      </c>
      <c r="Q12" s="16">
        <f>'Balance Sheet'!Q20</f>
        <v>5672.6595780520884</v>
      </c>
    </row>
    <row r="13" spans="2:17" x14ac:dyDescent="0.25">
      <c r="B13" t="s">
        <v>407</v>
      </c>
      <c r="C13" s="16">
        <v>2907.29</v>
      </c>
      <c r="D13" s="16">
        <v>20886.95</v>
      </c>
      <c r="E13" s="16">
        <v>5854.29</v>
      </c>
      <c r="F13" s="16">
        <v>7789.29</v>
      </c>
      <c r="G13" s="16">
        <v>11776.92</v>
      </c>
      <c r="H13" s="16">
        <f>H14*Investment!H20</f>
        <v>10152.965068729911</v>
      </c>
      <c r="I13" s="16">
        <f>I14*Investment!I20</f>
        <v>10419.869719333088</v>
      </c>
      <c r="J13" s="16">
        <f>J14*Investment!J20</f>
        <v>10702.008485494593</v>
      </c>
      <c r="K13" s="16">
        <f>K14*Investment!K20</f>
        <v>11000.480068864146</v>
      </c>
      <c r="L13" s="16">
        <f>L14*Investment!L20</f>
        <v>11316.479689840167</v>
      </c>
      <c r="M13" s="16">
        <f>M14*Investment!M20</f>
        <v>11651.309021696394</v>
      </c>
      <c r="N13" s="16">
        <f>N14*Investment!N20</f>
        <v>12006.387290342262</v>
      </c>
      <c r="O13" s="16">
        <f>O14*Investment!O20</f>
        <v>12383.26369280674</v>
      </c>
      <c r="P13" s="16">
        <f>P14*Investment!P20</f>
        <v>12783.631309743443</v>
      </c>
      <c r="Q13" s="16">
        <f>Q14*Investment!Q20</f>
        <v>13209.342712985228</v>
      </c>
    </row>
    <row r="14" spans="2:17" x14ac:dyDescent="0.25">
      <c r="B14" s="312" t="s">
        <v>408</v>
      </c>
      <c r="C14" s="313">
        <f>C13/'Balance Sheet'!C19</f>
        <v>1.3417707696773071E-2</v>
      </c>
      <c r="D14" s="313">
        <f>D13/'Balance Sheet'!D19</f>
        <v>0.46760066131836081</v>
      </c>
      <c r="E14" s="313">
        <f>E13/'Balance Sheet'!E19</f>
        <v>0.13347984836856669</v>
      </c>
      <c r="F14" s="313">
        <f>F13/'Balance Sheet'!F19</f>
        <v>0.1696289100142227</v>
      </c>
      <c r="G14" s="313">
        <f>G13/'Balance Sheet'!G19</f>
        <v>0.24479060356872495</v>
      </c>
      <c r="H14" s="314">
        <f>AVERAGE(C14:G14)</f>
        <v>0.20578354619332967</v>
      </c>
      <c r="I14" s="314">
        <f>H14</f>
        <v>0.20578354619332967</v>
      </c>
      <c r="J14" s="314">
        <f t="shared" ref="J14:Q14" si="1">I14</f>
        <v>0.20578354619332967</v>
      </c>
      <c r="K14" s="314">
        <f t="shared" si="1"/>
        <v>0.20578354619332967</v>
      </c>
      <c r="L14" s="314">
        <f t="shared" si="1"/>
        <v>0.20578354619332967</v>
      </c>
      <c r="M14" s="314">
        <f t="shared" si="1"/>
        <v>0.20578354619332967</v>
      </c>
      <c r="N14" s="314">
        <f t="shared" si="1"/>
        <v>0.20578354619332967</v>
      </c>
      <c r="O14" s="314">
        <f t="shared" si="1"/>
        <v>0.20578354619332967</v>
      </c>
      <c r="P14" s="314">
        <f t="shared" si="1"/>
        <v>0.20578354619332967</v>
      </c>
      <c r="Q14" s="314">
        <f t="shared" si="1"/>
        <v>0.20578354619332967</v>
      </c>
    </row>
    <row r="15" spans="2:17" x14ac:dyDescent="0.25">
      <c r="B15" s="4" t="s">
        <v>409</v>
      </c>
      <c r="C15" s="74">
        <f>SUM(C11:C13)</f>
        <v>5056.8599999999997</v>
      </c>
      <c r="D15" s="74">
        <f t="shared" ref="D15:Q15" si="2">SUM(D11:D13)</f>
        <v>21727.040000000001</v>
      </c>
      <c r="E15" s="74">
        <f t="shared" si="2"/>
        <v>6561.99</v>
      </c>
      <c r="F15" s="74">
        <f t="shared" si="2"/>
        <v>8269.61</v>
      </c>
      <c r="G15" s="74">
        <f t="shared" si="2"/>
        <v>12018.04</v>
      </c>
      <c r="H15" s="74">
        <f t="shared" si="2"/>
        <v>12153.042121819621</v>
      </c>
      <c r="I15" s="74">
        <f t="shared" si="2"/>
        <v>13184.395693876821</v>
      </c>
      <c r="J15" s="74">
        <f t="shared" si="2"/>
        <v>14311.837453263273</v>
      </c>
      <c r="K15" s="74">
        <f t="shared" si="2"/>
        <v>15493.324572629332</v>
      </c>
      <c r="L15" s="74">
        <f t="shared" si="2"/>
        <v>16688.535155246765</v>
      </c>
      <c r="M15" s="74">
        <f t="shared" si="2"/>
        <v>17864.376464752866</v>
      </c>
      <c r="N15" s="74">
        <f t="shared" si="2"/>
        <v>18997.594746465256</v>
      </c>
      <c r="O15" s="74">
        <f t="shared" si="2"/>
        <v>20074.948111218375</v>
      </c>
      <c r="P15" s="74">
        <f t="shared" si="2"/>
        <v>21091.844162775978</v>
      </c>
      <c r="Q15" s="74">
        <f t="shared" si="2"/>
        <v>22050.312677322669</v>
      </c>
    </row>
    <row r="16" spans="2:17" x14ac:dyDescent="0.25">
      <c r="C16" s="12"/>
      <c r="D16" s="12"/>
      <c r="E16" s="12"/>
      <c r="F16" s="12"/>
      <c r="G16" s="12"/>
      <c r="H16" s="84"/>
      <c r="I16" s="84"/>
      <c r="J16" s="84"/>
      <c r="K16" s="84"/>
      <c r="L16" s="84"/>
      <c r="M16" s="84"/>
      <c r="N16" s="84"/>
      <c r="O16" s="84"/>
      <c r="P16" s="84"/>
      <c r="Q16" s="84"/>
    </row>
    <row r="17" spans="2:17" x14ac:dyDescent="0.25">
      <c r="B17" s="1" t="s">
        <v>32</v>
      </c>
    </row>
    <row r="18" spans="2:17" x14ac:dyDescent="0.25">
      <c r="B18" t="s">
        <v>405</v>
      </c>
      <c r="C18" s="16">
        <v>0</v>
      </c>
      <c r="D18" s="16">
        <v>105.2</v>
      </c>
      <c r="E18" s="16">
        <v>306.77</v>
      </c>
      <c r="F18" s="16">
        <v>533.01</v>
      </c>
      <c r="G18" s="16">
        <v>373.39</v>
      </c>
      <c r="H18" s="16">
        <f>'Balance Sheet'!H25</f>
        <v>723.47023257771991</v>
      </c>
      <c r="I18" s="16">
        <f>'Balance Sheet'!I25</f>
        <v>999.98759881807018</v>
      </c>
      <c r="J18" s="16">
        <f>'Balance Sheet'!J25</f>
        <v>1305.7515953412912</v>
      </c>
      <c r="K18" s="16">
        <f>'Balance Sheet'!K25</f>
        <v>1625.1570173525388</v>
      </c>
      <c r="L18" s="16">
        <f>'Balance Sheet'!L25</f>
        <v>1943.1862442370614</v>
      </c>
      <c r="M18" s="16">
        <f>'Balance Sheet'!M25</f>
        <v>2247.3980895412587</v>
      </c>
      <c r="N18" s="16">
        <f>'Balance Sheet'!N25</f>
        <v>2528.8678136009426</v>
      </c>
      <c r="O18" s="16">
        <f>'Balance Sheet'!O25</f>
        <v>2782.2451672581101</v>
      </c>
      <c r="P18" s="16">
        <f>'Balance Sheet'!P25</f>
        <v>3005.25656039265</v>
      </c>
      <c r="Q18" s="16">
        <f>'Balance Sheet'!Q25</f>
        <v>3197.9660915718496</v>
      </c>
    </row>
    <row r="19" spans="2:17" x14ac:dyDescent="0.25">
      <c r="B19" t="s">
        <v>406</v>
      </c>
      <c r="C19" s="16">
        <v>24.73</v>
      </c>
      <c r="D19" s="16">
        <v>9.9499999999999993</v>
      </c>
      <c r="E19" s="16">
        <v>11.88</v>
      </c>
      <c r="F19" s="16">
        <v>10.09</v>
      </c>
      <c r="G19" s="16">
        <v>10.94</v>
      </c>
      <c r="H19" s="16">
        <f>'Balance Sheet'!H28</f>
        <v>31.819695470568853</v>
      </c>
      <c r="I19" s="16">
        <f>'Balance Sheet'!I28</f>
        <v>43.981492860272084</v>
      </c>
      <c r="J19" s="16">
        <f>'Balance Sheet'!J28</f>
        <v>57.429616662916281</v>
      </c>
      <c r="K19" s="16">
        <f>'Balance Sheet'!K28</f>
        <v>71.477718163698626</v>
      </c>
      <c r="L19" s="16">
        <f>'Balance Sheet'!L28</f>
        <v>85.465291797723509</v>
      </c>
      <c r="M19" s="16">
        <f>'Balance Sheet'!M28</f>
        <v>98.845148826021457</v>
      </c>
      <c r="N19" s="16">
        <f>'Balance Sheet'!N28</f>
        <v>111.22476100695808</v>
      </c>
      <c r="O19" s="16">
        <f>'Balance Sheet'!O28</f>
        <v>122.36881347720755</v>
      </c>
      <c r="P19" s="16">
        <f>'Balance Sheet'!P28</f>
        <v>132.17730910905243</v>
      </c>
      <c r="Q19" s="16">
        <f>'Balance Sheet'!Q28</f>
        <v>140.65306708813347</v>
      </c>
    </row>
    <row r="20" spans="2:17" x14ac:dyDescent="0.25">
      <c r="B20" s="4" t="s">
        <v>145</v>
      </c>
      <c r="C20" s="74">
        <f>SUM(C18:C19)</f>
        <v>24.73</v>
      </c>
      <c r="D20" s="74">
        <f t="shared" ref="D20:G20" si="3">SUM(D18:D19)</f>
        <v>115.15</v>
      </c>
      <c r="E20" s="74">
        <f t="shared" si="3"/>
        <v>318.64999999999998</v>
      </c>
      <c r="F20" s="74">
        <f t="shared" si="3"/>
        <v>543.1</v>
      </c>
      <c r="G20" s="74">
        <f t="shared" si="3"/>
        <v>384.33</v>
      </c>
      <c r="H20" s="74">
        <f t="shared" ref="H20" si="4">SUM(H18:H19)</f>
        <v>755.28992804828874</v>
      </c>
      <c r="I20" s="74">
        <f t="shared" ref="I20" si="5">SUM(I18:I19)</f>
        <v>1043.9690916783422</v>
      </c>
      <c r="J20" s="74">
        <f t="shared" ref="J20" si="6">SUM(J18:J19)</f>
        <v>1363.1812120042075</v>
      </c>
      <c r="K20" s="74">
        <f t="shared" ref="K20" si="7">SUM(K18:K19)</f>
        <v>1696.6347355162375</v>
      </c>
      <c r="L20" s="74">
        <f t="shared" ref="L20" si="8">SUM(L18:L19)</f>
        <v>2028.6515360347848</v>
      </c>
      <c r="M20" s="74">
        <f t="shared" ref="M20" si="9">SUM(M18:M19)</f>
        <v>2346.2432383672804</v>
      </c>
      <c r="N20" s="74">
        <f t="shared" ref="N20" si="10">SUM(N18:N19)</f>
        <v>2640.0925746079006</v>
      </c>
      <c r="O20" s="74">
        <f t="shared" ref="O20" si="11">SUM(O18:O19)</f>
        <v>2904.6139807353175</v>
      </c>
      <c r="P20" s="74">
        <f t="shared" ref="P20" si="12">SUM(P18:P19)</f>
        <v>3137.4338695017022</v>
      </c>
      <c r="Q20" s="74">
        <f t="shared" ref="Q20" si="13">SUM(Q18:Q19)</f>
        <v>3338.619158659983</v>
      </c>
    </row>
    <row r="21" spans="2:17" x14ac:dyDescent="0.25">
      <c r="B21" s="78"/>
      <c r="C21" s="79"/>
      <c r="D21" s="79"/>
      <c r="E21" s="79"/>
      <c r="F21" s="79"/>
      <c r="G21" s="79"/>
      <c r="H21" s="79"/>
      <c r="I21" s="79"/>
      <c r="J21" s="79"/>
      <c r="K21" s="79"/>
      <c r="L21" s="79"/>
      <c r="M21" s="79"/>
      <c r="N21" s="79"/>
      <c r="O21" s="79"/>
      <c r="P21" s="79"/>
      <c r="Q21" s="79"/>
    </row>
    <row r="22" spans="2:17" x14ac:dyDescent="0.25">
      <c r="B22" s="151" t="s">
        <v>412</v>
      </c>
      <c r="C22" s="317">
        <f>C20+C15</f>
        <v>5081.5899999999992</v>
      </c>
      <c r="D22" s="317">
        <f t="shared" ref="D22:Q22" si="14">D20+D15</f>
        <v>21842.190000000002</v>
      </c>
      <c r="E22" s="317">
        <f t="shared" si="14"/>
        <v>6880.6399999999994</v>
      </c>
      <c r="F22" s="317">
        <f t="shared" si="14"/>
        <v>8812.7100000000009</v>
      </c>
      <c r="G22" s="317">
        <f t="shared" si="14"/>
        <v>12402.37</v>
      </c>
      <c r="H22" s="317">
        <f t="shared" si="14"/>
        <v>12908.33204986791</v>
      </c>
      <c r="I22" s="317">
        <f t="shared" si="14"/>
        <v>14228.364785555163</v>
      </c>
      <c r="J22" s="317">
        <f t="shared" si="14"/>
        <v>15675.01866526748</v>
      </c>
      <c r="K22" s="317">
        <f t="shared" si="14"/>
        <v>17189.959308145568</v>
      </c>
      <c r="L22" s="317">
        <f t="shared" si="14"/>
        <v>18717.186691281549</v>
      </c>
      <c r="M22" s="317">
        <f t="shared" si="14"/>
        <v>20210.619703120145</v>
      </c>
      <c r="N22" s="317">
        <f t="shared" si="14"/>
        <v>21637.687321073157</v>
      </c>
      <c r="O22" s="317">
        <f t="shared" si="14"/>
        <v>22979.562091953692</v>
      </c>
      <c r="P22" s="317">
        <f t="shared" si="14"/>
        <v>24229.278032277682</v>
      </c>
      <c r="Q22" s="317">
        <f t="shared" si="14"/>
        <v>25388.93183598265</v>
      </c>
    </row>
    <row r="23" spans="2:17" ht="5.0999999999999996" customHeight="1" x14ac:dyDescent="0.25">
      <c r="B23" s="78"/>
      <c r="C23" s="79"/>
      <c r="D23" s="79"/>
      <c r="E23" s="79"/>
      <c r="F23" s="79"/>
      <c r="G23" s="79"/>
      <c r="H23" s="79"/>
      <c r="I23" s="79"/>
      <c r="J23" s="79"/>
      <c r="K23" s="79"/>
      <c r="L23" s="79"/>
      <c r="M23" s="79"/>
      <c r="N23" s="79"/>
      <c r="O23" s="79"/>
      <c r="P23" s="79"/>
      <c r="Q23" s="79"/>
    </row>
    <row r="24" spans="2:17" x14ac:dyDescent="0.25">
      <c r="B24" s="318" t="s">
        <v>414</v>
      </c>
      <c r="C24" s="4"/>
      <c r="D24" s="74">
        <f>C22-D22</f>
        <v>-16760.600000000002</v>
      </c>
      <c r="E24" s="74">
        <f t="shared" ref="E24:Q24" si="15">D22-E22</f>
        <v>14961.550000000003</v>
      </c>
      <c r="F24" s="74">
        <f t="shared" si="15"/>
        <v>-1932.0700000000015</v>
      </c>
      <c r="G24" s="74">
        <f t="shared" si="15"/>
        <v>-3589.66</v>
      </c>
      <c r="H24" s="74">
        <f t="shared" si="15"/>
        <v>-505.96204986790872</v>
      </c>
      <c r="I24" s="74">
        <f t="shared" si="15"/>
        <v>-1320.0327356872531</v>
      </c>
      <c r="J24" s="74">
        <f t="shared" si="15"/>
        <v>-1446.6538797123176</v>
      </c>
      <c r="K24" s="74">
        <f t="shared" si="15"/>
        <v>-1514.9406428780876</v>
      </c>
      <c r="L24" s="74">
        <f t="shared" si="15"/>
        <v>-1527.2273831359817</v>
      </c>
      <c r="M24" s="74">
        <f t="shared" si="15"/>
        <v>-1493.4330118385951</v>
      </c>
      <c r="N24" s="74">
        <f t="shared" si="15"/>
        <v>-1427.0676179530128</v>
      </c>
      <c r="O24" s="74">
        <f t="shared" si="15"/>
        <v>-1341.8747708805349</v>
      </c>
      <c r="P24" s="74">
        <f t="shared" si="15"/>
        <v>-1249.7159403239893</v>
      </c>
      <c r="Q24" s="74">
        <f t="shared" si="15"/>
        <v>-1159.6538037049686</v>
      </c>
    </row>
    <row r="25" spans="2:17" x14ac:dyDescent="0.25">
      <c r="B25" s="155"/>
      <c r="D25" s="16"/>
      <c r="E25" s="16"/>
      <c r="F25" s="16"/>
      <c r="G25" s="16"/>
      <c r="H25" s="16"/>
      <c r="I25" s="16"/>
      <c r="J25" s="16"/>
      <c r="K25" s="16"/>
      <c r="L25" s="16"/>
      <c r="M25" s="16"/>
      <c r="N25" s="16"/>
      <c r="O25" s="16"/>
      <c r="P25" s="16"/>
      <c r="Q25" s="16"/>
    </row>
    <row r="26" spans="2:17" x14ac:dyDescent="0.25">
      <c r="B26" s="1" t="s">
        <v>40</v>
      </c>
      <c r="C26" s="3"/>
    </row>
    <row r="27" spans="2:17" x14ac:dyDescent="0.25">
      <c r="B27" s="1" t="s">
        <v>398</v>
      </c>
      <c r="D27" s="3"/>
    </row>
    <row r="28" spans="2:17" x14ac:dyDescent="0.25">
      <c r="B28" s="27" t="s">
        <v>46</v>
      </c>
      <c r="C28" s="311">
        <f>'Balance Sheet'!C37</f>
        <v>81.27</v>
      </c>
      <c r="D28" s="311">
        <f>'Balance Sheet'!D37</f>
        <v>18.350000000000001</v>
      </c>
      <c r="E28" s="311">
        <f>'Balance Sheet'!E37</f>
        <v>13.46</v>
      </c>
      <c r="F28" s="311">
        <f>'Balance Sheet'!F37</f>
        <v>16.600000000000001</v>
      </c>
      <c r="G28" s="311">
        <f>'Balance Sheet'!G37</f>
        <v>7</v>
      </c>
      <c r="H28" s="311">
        <f>'Balance Sheet'!H37</f>
        <v>56.349182263539433</v>
      </c>
      <c r="I28" s="311">
        <f>'Balance Sheet'!I37</f>
        <v>77.886388312493935</v>
      </c>
      <c r="J28" s="311">
        <f>'Balance Sheet'!J37</f>
        <v>101.70153701367329</v>
      </c>
      <c r="K28" s="311">
        <f>'Balance Sheet'!K37</f>
        <v>126.57918025373712</v>
      </c>
      <c r="L28" s="311">
        <f>'Balance Sheet'!L37</f>
        <v>151.34963529650676</v>
      </c>
      <c r="M28" s="311">
        <f>'Balance Sheet'!M37</f>
        <v>175.04389104590604</v>
      </c>
      <c r="N28" s="311">
        <f>'Balance Sheet'!N37</f>
        <v>196.96682314249844</v>
      </c>
      <c r="O28" s="311">
        <f>'Balance Sheet'!O37</f>
        <v>216.70171483501497</v>
      </c>
      <c r="P28" s="311">
        <f>'Balance Sheet'!P37</f>
        <v>234.07148220444719</v>
      </c>
      <c r="Q28" s="311">
        <f>'Balance Sheet'!Q37</f>
        <v>249.0811177186097</v>
      </c>
    </row>
    <row r="29" spans="2:17" ht="5.0999999999999996" customHeight="1" x14ac:dyDescent="0.25">
      <c r="C29" s="311"/>
      <c r="D29" s="311"/>
      <c r="E29" s="311"/>
      <c r="F29" s="311"/>
      <c r="G29" s="311"/>
    </row>
    <row r="30" spans="2:17" x14ac:dyDescent="0.25">
      <c r="B30" s="4" t="s">
        <v>47</v>
      </c>
      <c r="C30" s="72">
        <f>SUM(C28:C29)</f>
        <v>81.27</v>
      </c>
      <c r="D30" s="72">
        <f t="shared" ref="D30:G30" si="16">SUM(D28:D29)</f>
        <v>18.350000000000001</v>
      </c>
      <c r="E30" s="72">
        <f t="shared" si="16"/>
        <v>13.46</v>
      </c>
      <c r="F30" s="72">
        <f t="shared" si="16"/>
        <v>16.600000000000001</v>
      </c>
      <c r="G30" s="72">
        <f t="shared" si="16"/>
        <v>7</v>
      </c>
      <c r="H30" s="72">
        <f t="shared" ref="H30" si="17">SUM(H28:H29)</f>
        <v>56.349182263539433</v>
      </c>
      <c r="I30" s="72">
        <f t="shared" ref="I30" si="18">SUM(I28:I29)</f>
        <v>77.886388312493935</v>
      </c>
      <c r="J30" s="72">
        <f t="shared" ref="J30" si="19">SUM(J28:J29)</f>
        <v>101.70153701367329</v>
      </c>
      <c r="K30" s="72">
        <f t="shared" ref="K30" si="20">SUM(K28:K29)</f>
        <v>126.57918025373712</v>
      </c>
      <c r="L30" s="72">
        <f t="shared" ref="L30" si="21">SUM(L28:L29)</f>
        <v>151.34963529650676</v>
      </c>
      <c r="M30" s="72">
        <f t="shared" ref="M30" si="22">SUM(M28:M29)</f>
        <v>175.04389104590604</v>
      </c>
      <c r="N30" s="72">
        <f t="shared" ref="N30" si="23">SUM(N28:N29)</f>
        <v>196.96682314249844</v>
      </c>
      <c r="O30" s="72">
        <f t="shared" ref="O30" si="24">SUM(O28:O29)</f>
        <v>216.70171483501497</v>
      </c>
      <c r="P30" s="72">
        <f t="shared" ref="P30" si="25">SUM(P28:P29)</f>
        <v>234.07148220444719</v>
      </c>
      <c r="Q30" s="72">
        <f t="shared" ref="Q30" si="26">SUM(Q28:Q29)</f>
        <v>249.0811177186097</v>
      </c>
    </row>
    <row r="31" spans="2:17" x14ac:dyDescent="0.25">
      <c r="C31" s="311"/>
      <c r="D31" s="311"/>
      <c r="E31" s="311"/>
      <c r="F31" s="311"/>
      <c r="G31" s="311"/>
    </row>
    <row r="32" spans="2:17" x14ac:dyDescent="0.25">
      <c r="B32" s="1" t="s">
        <v>399</v>
      </c>
      <c r="C32" s="311"/>
      <c r="D32" s="311"/>
      <c r="E32" s="311"/>
      <c r="F32" s="311"/>
      <c r="G32" s="311"/>
    </row>
    <row r="33" spans="2:17" x14ac:dyDescent="0.25">
      <c r="B33" t="s">
        <v>49</v>
      </c>
      <c r="C33" s="311">
        <f>'Balance Sheet'!C42</f>
        <v>43.3</v>
      </c>
      <c r="D33" s="311">
        <f>'Balance Sheet'!D42</f>
        <v>0</v>
      </c>
      <c r="E33" s="311">
        <f>'Balance Sheet'!E42</f>
        <v>0</v>
      </c>
      <c r="F33" s="311">
        <f>'Balance Sheet'!F42</f>
        <v>0</v>
      </c>
      <c r="G33" s="311">
        <f>'Balance Sheet'!G42</f>
        <v>0</v>
      </c>
      <c r="H33" s="311">
        <f>'Balance Sheet'!H42</f>
        <v>0</v>
      </c>
      <c r="I33" s="311">
        <f>'Balance Sheet'!I42</f>
        <v>0</v>
      </c>
      <c r="J33" s="311">
        <f>'Balance Sheet'!J42</f>
        <v>0</v>
      </c>
      <c r="K33" s="311">
        <f>'Balance Sheet'!K42</f>
        <v>0</v>
      </c>
      <c r="L33" s="311">
        <f>'Balance Sheet'!L42</f>
        <v>0</v>
      </c>
      <c r="M33" s="311">
        <f>'Balance Sheet'!M42</f>
        <v>0</v>
      </c>
      <c r="N33" s="311">
        <f>'Balance Sheet'!N42</f>
        <v>0</v>
      </c>
      <c r="O33" s="311">
        <f>'Balance Sheet'!O42</f>
        <v>0</v>
      </c>
      <c r="P33" s="311">
        <f>'Balance Sheet'!P42</f>
        <v>0</v>
      </c>
      <c r="Q33" s="311">
        <f>'Balance Sheet'!Q42</f>
        <v>0</v>
      </c>
    </row>
    <row r="34" spans="2:17" x14ac:dyDescent="0.25">
      <c r="B34" s="27" t="s">
        <v>50</v>
      </c>
      <c r="C34" s="311">
        <f>'Balance Sheet'!C43</f>
        <v>2.9</v>
      </c>
      <c r="D34" s="311">
        <f>'Balance Sheet'!D43</f>
        <v>1.55</v>
      </c>
      <c r="E34" s="311">
        <f>'Balance Sheet'!E43</f>
        <v>5.52</v>
      </c>
      <c r="F34" s="311">
        <f>'Balance Sheet'!F43</f>
        <v>3.11</v>
      </c>
      <c r="G34" s="311">
        <f>'Balance Sheet'!G43</f>
        <v>6.75</v>
      </c>
      <c r="H34" s="311">
        <f>'Balance Sheet'!H43</f>
        <v>11.016495155039472</v>
      </c>
      <c r="I34" s="311">
        <f>'Balance Sheet'!I43</f>
        <v>15.227106854455656</v>
      </c>
      <c r="J34" s="311">
        <f>'Balance Sheet'!J43</f>
        <v>19.883065641152122</v>
      </c>
      <c r="K34" s="311">
        <f>'Balance Sheet'!K43</f>
        <v>24.746746447400415</v>
      </c>
      <c r="L34" s="311">
        <f>'Balance Sheet'!L43</f>
        <v>29.58947152352567</v>
      </c>
      <c r="M34" s="311">
        <f>'Balance Sheet'!M43</f>
        <v>34.221795244653038</v>
      </c>
      <c r="N34" s="311">
        <f>'Balance Sheet'!N43</f>
        <v>38.507817960951449</v>
      </c>
      <c r="O34" s="311">
        <f>'Balance Sheet'!O43</f>
        <v>42.366069846471909</v>
      </c>
      <c r="P34" s="311">
        <f>'Balance Sheet'!P43</f>
        <v>45.761930272175512</v>
      </c>
      <c r="Q34" s="311">
        <f>'Balance Sheet'!Q43</f>
        <v>48.69637528589972</v>
      </c>
    </row>
    <row r="35" spans="2:17" x14ac:dyDescent="0.25">
      <c r="B35" s="27" t="s">
        <v>51</v>
      </c>
      <c r="C35" s="311">
        <f>'Balance Sheet'!C44</f>
        <v>27.11</v>
      </c>
      <c r="D35" s="311">
        <f>'Balance Sheet'!D44</f>
        <v>47.65</v>
      </c>
      <c r="E35" s="311">
        <f>'Balance Sheet'!E44</f>
        <v>90.95</v>
      </c>
      <c r="F35" s="311">
        <f>'Balance Sheet'!F44</f>
        <v>40.090000000000003</v>
      </c>
      <c r="G35" s="311">
        <f>'Balance Sheet'!G44</f>
        <v>39.1</v>
      </c>
      <c r="H35" s="311">
        <f>'Balance Sheet'!H44</f>
        <v>152.62596317670619</v>
      </c>
      <c r="I35" s="311">
        <f>'Balance Sheet'!I44</f>
        <v>210.96109219389859</v>
      </c>
      <c r="J35" s="311">
        <f>'Balance Sheet'!J44</f>
        <v>275.4661987935711</v>
      </c>
      <c r="K35" s="311">
        <f>'Balance Sheet'!K44</f>
        <v>342.84915110196749</v>
      </c>
      <c r="L35" s="311">
        <f>'Balance Sheet'!L44</f>
        <v>409.94177618295731</v>
      </c>
      <c r="M35" s="311">
        <f>'Balance Sheet'!M44</f>
        <v>474.11943520547749</v>
      </c>
      <c r="N35" s="311">
        <f>'Balance Sheet'!N44</f>
        <v>533.49933199352665</v>
      </c>
      <c r="O35" s="311">
        <f>'Balance Sheet'!O44</f>
        <v>586.95275814390493</v>
      </c>
      <c r="P35" s="311">
        <f>'Balance Sheet'!P44</f>
        <v>634.00006865350736</v>
      </c>
      <c r="Q35" s="311">
        <f>'Balance Sheet'!Q44</f>
        <v>674.65478599379151</v>
      </c>
    </row>
    <row r="36" spans="2:17" ht="5.0999999999999996" customHeight="1" x14ac:dyDescent="0.25">
      <c r="C36" s="311"/>
      <c r="D36" s="311"/>
      <c r="E36" s="311"/>
      <c r="F36" s="311"/>
      <c r="G36" s="311"/>
    </row>
    <row r="37" spans="2:17" x14ac:dyDescent="0.25">
      <c r="B37" s="4" t="s">
        <v>52</v>
      </c>
      <c r="C37" s="72">
        <f>SUM(C33:C35)</f>
        <v>73.31</v>
      </c>
      <c r="D37" s="72">
        <f t="shared" ref="D37:Q37" si="27">SUM(D33:D35)</f>
        <v>49.199999999999996</v>
      </c>
      <c r="E37" s="72">
        <f t="shared" si="27"/>
        <v>96.47</v>
      </c>
      <c r="F37" s="72">
        <f t="shared" si="27"/>
        <v>43.2</v>
      </c>
      <c r="G37" s="72">
        <f t="shared" si="27"/>
        <v>45.85</v>
      </c>
      <c r="H37" s="72">
        <f t="shared" si="27"/>
        <v>163.64245833174567</v>
      </c>
      <c r="I37" s="72">
        <f t="shared" si="27"/>
        <v>226.18819904835425</v>
      </c>
      <c r="J37" s="72">
        <f t="shared" si="27"/>
        <v>295.34926443472324</v>
      </c>
      <c r="K37" s="72">
        <f t="shared" si="27"/>
        <v>367.59589754936792</v>
      </c>
      <c r="L37" s="72">
        <f t="shared" si="27"/>
        <v>439.53124770648299</v>
      </c>
      <c r="M37" s="72">
        <f t="shared" si="27"/>
        <v>508.34123045013052</v>
      </c>
      <c r="N37" s="72">
        <f t="shared" si="27"/>
        <v>572.00714995447811</v>
      </c>
      <c r="O37" s="72">
        <f t="shared" si="27"/>
        <v>629.3188279903768</v>
      </c>
      <c r="P37" s="72">
        <f t="shared" si="27"/>
        <v>679.76199892568286</v>
      </c>
      <c r="Q37" s="72">
        <f t="shared" si="27"/>
        <v>723.35116127969127</v>
      </c>
    </row>
    <row r="38" spans="2:17" x14ac:dyDescent="0.25">
      <c r="B38" s="78"/>
      <c r="C38" s="316"/>
      <c r="D38" s="316"/>
      <c r="E38" s="316"/>
      <c r="F38" s="316"/>
      <c r="G38" s="316"/>
      <c r="H38" s="316"/>
      <c r="I38" s="316"/>
      <c r="J38" s="316"/>
      <c r="K38" s="316"/>
      <c r="L38" s="316"/>
      <c r="M38" s="316"/>
      <c r="N38" s="316"/>
      <c r="O38" s="316"/>
      <c r="P38" s="316"/>
      <c r="Q38" s="316"/>
    </row>
    <row r="39" spans="2:17" x14ac:dyDescent="0.25">
      <c r="B39" s="151" t="s">
        <v>413</v>
      </c>
      <c r="C39" s="152">
        <f>C37+C30</f>
        <v>154.57999999999998</v>
      </c>
      <c r="D39" s="152">
        <f t="shared" ref="D39:Q39" si="28">D37+D30</f>
        <v>67.55</v>
      </c>
      <c r="E39" s="152">
        <f t="shared" si="28"/>
        <v>109.93</v>
      </c>
      <c r="F39" s="152">
        <f t="shared" si="28"/>
        <v>59.800000000000004</v>
      </c>
      <c r="G39" s="152">
        <f t="shared" si="28"/>
        <v>52.85</v>
      </c>
      <c r="H39" s="152">
        <f t="shared" si="28"/>
        <v>219.99164059528511</v>
      </c>
      <c r="I39" s="152">
        <f t="shared" si="28"/>
        <v>304.07458736084817</v>
      </c>
      <c r="J39" s="152">
        <f t="shared" si="28"/>
        <v>397.05080144839656</v>
      </c>
      <c r="K39" s="152">
        <f t="shared" si="28"/>
        <v>494.17507780310507</v>
      </c>
      <c r="L39" s="152">
        <f t="shared" si="28"/>
        <v>590.88088300298978</v>
      </c>
      <c r="M39" s="152">
        <f t="shared" si="28"/>
        <v>683.38512149603662</v>
      </c>
      <c r="N39" s="152">
        <f t="shared" si="28"/>
        <v>768.97397309697658</v>
      </c>
      <c r="O39" s="152">
        <f t="shared" si="28"/>
        <v>846.02054282539177</v>
      </c>
      <c r="P39" s="152">
        <f t="shared" si="28"/>
        <v>913.83348113013005</v>
      </c>
      <c r="Q39" s="152">
        <f t="shared" si="28"/>
        <v>972.43227899830094</v>
      </c>
    </row>
    <row r="40" spans="2:17" ht="5.0999999999999996" customHeight="1" x14ac:dyDescent="0.25">
      <c r="B40" s="78"/>
      <c r="C40" s="316"/>
      <c r="D40" s="316"/>
      <c r="E40" s="316"/>
      <c r="F40" s="316"/>
      <c r="G40" s="316"/>
      <c r="H40" s="316"/>
      <c r="I40" s="316"/>
      <c r="J40" s="316"/>
      <c r="K40" s="316"/>
      <c r="L40" s="316"/>
      <c r="M40" s="316"/>
      <c r="N40" s="316"/>
      <c r="O40" s="316"/>
      <c r="P40" s="316"/>
      <c r="Q40" s="316"/>
    </row>
    <row r="41" spans="2:17" x14ac:dyDescent="0.25">
      <c r="B41" s="4" t="s">
        <v>415</v>
      </c>
      <c r="C41" s="72"/>
      <c r="D41" s="72">
        <f>D39-C39</f>
        <v>-87.029999999999987</v>
      </c>
      <c r="E41" s="72">
        <f t="shared" ref="E41:Q41" si="29">E39-D39</f>
        <v>42.38000000000001</v>
      </c>
      <c r="F41" s="72">
        <f t="shared" si="29"/>
        <v>-50.13</v>
      </c>
      <c r="G41" s="72">
        <f t="shared" si="29"/>
        <v>-6.9500000000000028</v>
      </c>
      <c r="H41" s="72">
        <f t="shared" si="29"/>
        <v>167.14164059528511</v>
      </c>
      <c r="I41" s="72">
        <f t="shared" si="29"/>
        <v>84.082946765563065</v>
      </c>
      <c r="J41" s="72">
        <f t="shared" si="29"/>
        <v>92.976214087548385</v>
      </c>
      <c r="K41" s="72">
        <f t="shared" si="29"/>
        <v>97.124276354708513</v>
      </c>
      <c r="L41" s="72">
        <f t="shared" si="29"/>
        <v>96.705805199884708</v>
      </c>
      <c r="M41" s="72">
        <f t="shared" si="29"/>
        <v>92.504238493046842</v>
      </c>
      <c r="N41" s="72">
        <f t="shared" si="29"/>
        <v>85.588851600939961</v>
      </c>
      <c r="O41" s="72">
        <f t="shared" si="29"/>
        <v>77.046569728415193</v>
      </c>
      <c r="P41" s="72">
        <f t="shared" si="29"/>
        <v>67.812938304738282</v>
      </c>
      <c r="Q41" s="72">
        <f t="shared" si="29"/>
        <v>58.598797868170891</v>
      </c>
    </row>
    <row r="43" spans="2:17" ht="15.75" thickBot="1" x14ac:dyDescent="0.3">
      <c r="B43" s="6" t="s">
        <v>410</v>
      </c>
      <c r="C43" s="6"/>
      <c r="D43" s="315">
        <f>D24+D41</f>
        <v>-16847.63</v>
      </c>
      <c r="E43" s="315">
        <f t="shared" ref="E43:Q43" si="30">E24+E41</f>
        <v>15003.930000000002</v>
      </c>
      <c r="F43" s="315">
        <f t="shared" si="30"/>
        <v>-1982.2000000000016</v>
      </c>
      <c r="G43" s="315">
        <f t="shared" si="30"/>
        <v>-3596.6099999999997</v>
      </c>
      <c r="H43" s="315">
        <f t="shared" si="30"/>
        <v>-338.82040927262358</v>
      </c>
      <c r="I43" s="315">
        <f t="shared" si="30"/>
        <v>-1235.94978892169</v>
      </c>
      <c r="J43" s="315">
        <f t="shared" si="30"/>
        <v>-1353.6776656247691</v>
      </c>
      <c r="K43" s="315">
        <f t="shared" si="30"/>
        <v>-1417.8163665233792</v>
      </c>
      <c r="L43" s="315">
        <f t="shared" si="30"/>
        <v>-1430.5215779360969</v>
      </c>
      <c r="M43" s="315">
        <f t="shared" si="30"/>
        <v>-1400.9287733455483</v>
      </c>
      <c r="N43" s="315">
        <f t="shared" si="30"/>
        <v>-1341.4787663520729</v>
      </c>
      <c r="O43" s="315">
        <f t="shared" si="30"/>
        <v>-1264.8282011521196</v>
      </c>
      <c r="P43" s="315">
        <f t="shared" si="30"/>
        <v>-1181.9030020192511</v>
      </c>
      <c r="Q43" s="315">
        <f t="shared" si="30"/>
        <v>-1101.0550058367976</v>
      </c>
    </row>
    <row r="45" spans="2:17" x14ac:dyDescent="0.25">
      <c r="D45" s="21"/>
      <c r="E45" s="21"/>
      <c r="F45" s="21"/>
      <c r="G45" s="21"/>
      <c r="H45" s="21"/>
      <c r="I45" s="21"/>
      <c r="J45" s="21"/>
      <c r="K45" s="21"/>
      <c r="L45" s="21"/>
      <c r="M45" s="21"/>
      <c r="N45" s="21"/>
      <c r="O45" s="21"/>
      <c r="P45" s="21"/>
      <c r="Q45" s="21"/>
    </row>
  </sheetData>
  <mergeCells count="1">
    <mergeCell ref="B7:Q7"/>
  </mergeCell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6:Q62"/>
  <sheetViews>
    <sheetView showGridLines="0" topLeftCell="A18" workbookViewId="0">
      <selection activeCell="B18" sqref="B18"/>
    </sheetView>
  </sheetViews>
  <sheetFormatPr defaultRowHeight="15" x14ac:dyDescent="0.25"/>
  <cols>
    <col min="1" max="1" width="1.85546875" customWidth="1"/>
    <col min="2" max="2" width="81.5703125" bestFit="1" customWidth="1"/>
    <col min="3" max="3" width="9.85546875" bestFit="1" customWidth="1"/>
    <col min="4" max="4" width="11.42578125" bestFit="1" customWidth="1"/>
    <col min="5" max="7" width="10.7109375" bestFit="1" customWidth="1"/>
    <col min="8" max="11" width="11.42578125" bestFit="1" customWidth="1"/>
    <col min="12" max="17" width="12.42578125" bestFit="1" customWidth="1"/>
  </cols>
  <sheetData>
    <row r="6" spans="2:17" x14ac:dyDescent="0.25">
      <c r="B6" s="235" t="s">
        <v>279</v>
      </c>
    </row>
    <row r="7" spans="2:17" x14ac:dyDescent="0.25">
      <c r="B7" s="219" t="s">
        <v>268</v>
      </c>
      <c r="C7" s="220" t="str">
        <f>IF(SUM(C57:Q57)=0,"OK","Error")</f>
        <v>OK</v>
      </c>
    </row>
    <row r="8" spans="2:17" x14ac:dyDescent="0.25">
      <c r="B8" s="1"/>
      <c r="C8" s="1"/>
    </row>
    <row r="9" spans="2:17" x14ac:dyDescent="0.25">
      <c r="B9" s="11" t="s">
        <v>0</v>
      </c>
      <c r="C9" s="13">
        <v>2021</v>
      </c>
      <c r="D9" s="13">
        <f>C9+1</f>
        <v>2022</v>
      </c>
      <c r="E9" s="13">
        <f t="shared" ref="E9:Q9" si="0">D9+1</f>
        <v>2023</v>
      </c>
      <c r="F9" s="13">
        <f t="shared" si="0"/>
        <v>2024</v>
      </c>
      <c r="G9" s="13">
        <f t="shared" si="0"/>
        <v>2025</v>
      </c>
      <c r="H9" s="14">
        <f t="shared" si="0"/>
        <v>2026</v>
      </c>
      <c r="I9" s="14">
        <f t="shared" si="0"/>
        <v>2027</v>
      </c>
      <c r="J9" s="14">
        <f t="shared" si="0"/>
        <v>2028</v>
      </c>
      <c r="K9" s="14">
        <f t="shared" si="0"/>
        <v>2029</v>
      </c>
      <c r="L9" s="14">
        <f t="shared" si="0"/>
        <v>2030</v>
      </c>
      <c r="M9" s="14">
        <f t="shared" si="0"/>
        <v>2031</v>
      </c>
      <c r="N9" s="14">
        <f t="shared" si="0"/>
        <v>2032</v>
      </c>
      <c r="O9" s="14">
        <f t="shared" si="0"/>
        <v>2033</v>
      </c>
      <c r="P9" s="14">
        <f t="shared" si="0"/>
        <v>2034</v>
      </c>
      <c r="Q9" s="14">
        <f t="shared" si="0"/>
        <v>2035</v>
      </c>
    </row>
    <row r="10" spans="2:17" x14ac:dyDescent="0.25">
      <c r="C10" s="21"/>
      <c r="D10" s="21"/>
      <c r="E10" s="21"/>
      <c r="F10" s="21"/>
      <c r="G10" s="21"/>
      <c r="H10" s="21"/>
      <c r="I10" s="21"/>
      <c r="J10" s="21"/>
      <c r="K10" s="21"/>
      <c r="L10" s="21"/>
      <c r="M10" s="21"/>
      <c r="N10" s="21"/>
      <c r="O10" s="21"/>
      <c r="P10" s="21"/>
      <c r="Q10" s="21"/>
    </row>
    <row r="11" spans="2:17" x14ac:dyDescent="0.25">
      <c r="B11" s="1" t="s">
        <v>22</v>
      </c>
      <c r="C11" s="21"/>
      <c r="D11" s="21"/>
      <c r="E11" s="21"/>
      <c r="F11" s="21"/>
      <c r="G11" s="21"/>
      <c r="H11" s="21"/>
      <c r="I11" s="21"/>
      <c r="J11" s="21"/>
      <c r="K11" s="21"/>
      <c r="L11" s="21"/>
      <c r="M11" s="21"/>
      <c r="N11" s="21"/>
      <c r="O11" s="21"/>
      <c r="P11" s="21"/>
      <c r="Q11" s="21"/>
    </row>
    <row r="12" spans="2:17" x14ac:dyDescent="0.25">
      <c r="B12" s="1" t="s">
        <v>400</v>
      </c>
      <c r="C12" s="21"/>
      <c r="D12" s="21"/>
      <c r="E12" s="21"/>
      <c r="F12" s="21"/>
      <c r="G12" s="21"/>
      <c r="H12" s="21"/>
      <c r="I12" s="21"/>
      <c r="J12" s="21"/>
      <c r="K12" s="21"/>
      <c r="L12" s="21"/>
      <c r="M12" s="21"/>
      <c r="N12" s="21"/>
      <c r="O12" s="21"/>
      <c r="P12" s="21"/>
      <c r="Q12" s="21"/>
    </row>
    <row r="13" spans="2:17" x14ac:dyDescent="0.25">
      <c r="B13" t="s">
        <v>24</v>
      </c>
      <c r="C13" s="83">
        <f>'Historical B_Sheet'!C11</f>
        <v>7638.83</v>
      </c>
      <c r="D13" s="83">
        <f>'Historical B_Sheet'!D11</f>
        <v>120.99</v>
      </c>
      <c r="E13" s="83">
        <f>'Historical B_Sheet'!E11</f>
        <v>294.74</v>
      </c>
      <c r="F13" s="83">
        <f>'Historical B_Sheet'!F11</f>
        <v>284.7</v>
      </c>
      <c r="G13" s="83">
        <f>'Historical B_Sheet'!G11</f>
        <v>49.18</v>
      </c>
      <c r="H13" s="83">
        <f>'Cash flow'!H50</f>
        <v>2644.9597717350293</v>
      </c>
      <c r="I13" s="83">
        <f>'Cash flow'!I50</f>
        <v>14237.527830999734</v>
      </c>
      <c r="J13" s="83">
        <f>'Cash flow'!J50</f>
        <v>34227.830891761871</v>
      </c>
      <c r="K13" s="83">
        <f>'Cash flow'!K50</f>
        <v>62976.39528796541</v>
      </c>
      <c r="L13" s="83">
        <f>'Cash flow'!L50</f>
        <v>99596.427991695324</v>
      </c>
      <c r="M13" s="83">
        <f>'Cash flow'!M50</f>
        <v>143358.03759700287</v>
      </c>
      <c r="N13" s="83">
        <f>'Cash flow'!N50</f>
        <v>192226.88317046128</v>
      </c>
      <c r="O13" s="83">
        <f>'Cash flow'!O50</f>
        <v>244800.98822100289</v>
      </c>
      <c r="P13" s="83">
        <f>'Cash flow'!P50</f>
        <v>298354.42437158833</v>
      </c>
      <c r="Q13" s="83">
        <f>'Cash flow'!Q50</f>
        <v>351148.19670698053</v>
      </c>
    </row>
    <row r="14" spans="2:17" x14ac:dyDescent="0.25">
      <c r="B14" t="s">
        <v>25</v>
      </c>
      <c r="C14" s="83">
        <f>'Historical B_Sheet'!C12</f>
        <v>9.7899999999999991</v>
      </c>
      <c r="D14" s="83">
        <f>'Historical B_Sheet'!D12</f>
        <v>152.78</v>
      </c>
      <c r="E14" s="83">
        <f>'Historical B_Sheet'!E12</f>
        <v>106.02</v>
      </c>
      <c r="F14" s="83">
        <f>'Historical B_Sheet'!F12</f>
        <v>98.22</v>
      </c>
      <c r="G14" s="83">
        <f>'Historical B_Sheet'!G12</f>
        <v>102.77</v>
      </c>
      <c r="H14" s="83">
        <f>G14</f>
        <v>102.77</v>
      </c>
      <c r="I14" s="83">
        <f t="shared" ref="I14:Q14" si="1">H14</f>
        <v>102.77</v>
      </c>
      <c r="J14" s="83">
        <f t="shared" si="1"/>
        <v>102.77</v>
      </c>
      <c r="K14" s="83">
        <f t="shared" si="1"/>
        <v>102.77</v>
      </c>
      <c r="L14" s="83">
        <f t="shared" si="1"/>
        <v>102.77</v>
      </c>
      <c r="M14" s="83">
        <f t="shared" si="1"/>
        <v>102.77</v>
      </c>
      <c r="N14" s="83">
        <f t="shared" si="1"/>
        <v>102.77</v>
      </c>
      <c r="O14" s="83">
        <f t="shared" si="1"/>
        <v>102.77</v>
      </c>
      <c r="P14" s="83">
        <f t="shared" si="1"/>
        <v>102.77</v>
      </c>
      <c r="Q14" s="83">
        <f t="shared" si="1"/>
        <v>102.77</v>
      </c>
    </row>
    <row r="15" spans="2:17" x14ac:dyDescent="0.25">
      <c r="B15" t="s">
        <v>26</v>
      </c>
      <c r="C15" s="3"/>
      <c r="D15" s="3"/>
      <c r="E15" s="3"/>
      <c r="F15" s="3"/>
      <c r="G15" s="3"/>
    </row>
    <row r="16" spans="2:17" x14ac:dyDescent="0.25">
      <c r="B16" s="7" t="s">
        <v>27</v>
      </c>
      <c r="C16" s="21"/>
      <c r="D16" s="21"/>
      <c r="E16" s="21"/>
      <c r="F16" s="21"/>
      <c r="G16" s="21"/>
      <c r="H16" s="21"/>
      <c r="I16" s="21"/>
      <c r="J16" s="21"/>
      <c r="K16" s="21"/>
      <c r="L16" s="21"/>
      <c r="M16" s="21"/>
      <c r="N16" s="21"/>
      <c r="O16" s="21"/>
      <c r="P16" s="21"/>
      <c r="Q16" s="21"/>
    </row>
    <row r="17" spans="2:17" x14ac:dyDescent="0.25">
      <c r="B17" s="82" t="s">
        <v>28</v>
      </c>
      <c r="C17" s="83">
        <f>'Historical B_Sheet'!C15</f>
        <v>577.04999999999995</v>
      </c>
      <c r="D17" s="83">
        <f>'Historical B_Sheet'!D15</f>
        <v>230.41</v>
      </c>
      <c r="E17" s="83">
        <f>'Historical B_Sheet'!E15</f>
        <v>262.69</v>
      </c>
      <c r="F17" s="83">
        <f>'Historical B_Sheet'!F15</f>
        <v>252.58</v>
      </c>
      <c r="G17" s="83">
        <f>'Historical B_Sheet'!G15</f>
        <v>199.46</v>
      </c>
      <c r="H17" s="70">
        <f>Balance_Sheet_Forecast!H11</f>
        <v>716.76127463803959</v>
      </c>
      <c r="I17" s="70">
        <f>Balance_Sheet_Forecast!I11</f>
        <v>990.7144118387406</v>
      </c>
      <c r="J17" s="70">
        <f>Balance_Sheet_Forecast!J11</f>
        <v>1293.6429664878242</v>
      </c>
      <c r="K17" s="70">
        <f>Balance_Sheet_Forecast!K11</f>
        <v>1610.0864455669564</v>
      </c>
      <c r="L17" s="70">
        <f>Balance_Sheet_Forecast!L11</f>
        <v>1925.1664913923564</v>
      </c>
      <c r="M17" s="70">
        <f>Balance_Sheet_Forecast!M11</f>
        <v>2226.5572883893878</v>
      </c>
      <c r="N17" s="70">
        <f>Balance_Sheet_Forecast!N11</f>
        <v>2505.4168586998544</v>
      </c>
      <c r="O17" s="70">
        <f>Balance_Sheet_Forecast!O11</f>
        <v>2756.44456764186</v>
      </c>
      <c r="P17" s="70">
        <f>Balance_Sheet_Forecast!P11</f>
        <v>2977.3879087830533</v>
      </c>
      <c r="Q17" s="70">
        <f>Balance_Sheet_Forecast!Q11</f>
        <v>3168.3103862853513</v>
      </c>
    </row>
    <row r="18" spans="2:17" x14ac:dyDescent="0.25">
      <c r="B18" t="s">
        <v>58</v>
      </c>
      <c r="C18" s="83">
        <f>'Historical B_Sheet'!C16</f>
        <v>0</v>
      </c>
      <c r="D18" s="83">
        <f>'Historical B_Sheet'!D16</f>
        <v>229117.91</v>
      </c>
      <c r="E18" s="83">
        <f>'Historical B_Sheet'!E16</f>
        <v>262650.13</v>
      </c>
      <c r="F18" s="83">
        <f>'Historical B_Sheet'!F16</f>
        <v>281033.31</v>
      </c>
      <c r="G18" s="83">
        <f>'Historical B_Sheet'!G16</f>
        <v>304669.13</v>
      </c>
      <c r="H18" s="83">
        <f>Investment!H12</f>
        <v>326475.6147681892</v>
      </c>
      <c r="I18" s="83">
        <f>Investment!I12</f>
        <v>350777.57454157626</v>
      </c>
      <c r="J18" s="83">
        <f>Investment!J12</f>
        <v>377932.9435955474</v>
      </c>
      <c r="K18" s="83">
        <f>Investment!K12</f>
        <v>408360.84343315609</v>
      </c>
      <c r="L18" s="83">
        <f>Investment!L12</f>
        <v>442553.64290786459</v>
      </c>
      <c r="M18" s="83">
        <f>Investment!M12</f>
        <v>481091.70095278695</v>
      </c>
      <c r="N18" s="83">
        <f>Investment!N12</f>
        <v>524661.45526641968</v>
      </c>
      <c r="O18" s="83">
        <f>Investment!O12</f>
        <v>574077.70062018372</v>
      </c>
      <c r="P18" s="83">
        <f>Investment!P12</f>
        <v>630311.13418017118</v>
      </c>
      <c r="Q18" s="83">
        <f>Investment!Q12</f>
        <v>694522.54949496186</v>
      </c>
    </row>
    <row r="19" spans="2:17" x14ac:dyDescent="0.25">
      <c r="B19" t="s">
        <v>29</v>
      </c>
      <c r="C19" s="83">
        <f>'Historical B_Sheet'!C17</f>
        <v>216675.61</v>
      </c>
      <c r="D19" s="83">
        <f>'Historical B_Sheet'!D17</f>
        <v>44668.35</v>
      </c>
      <c r="E19" s="83">
        <f>'Historical B_Sheet'!E17</f>
        <v>43858.98</v>
      </c>
      <c r="F19" s="83">
        <f>'Historical B_Sheet'!F17</f>
        <v>45919.59</v>
      </c>
      <c r="G19" s="83">
        <f>'Historical B_Sheet'!G17</f>
        <v>48110.18</v>
      </c>
      <c r="H19" s="70">
        <f>Investment!H20</f>
        <v>49338.080019242137</v>
      </c>
      <c r="I19" s="70">
        <f>Investment!I20</f>
        <v>50635.096498647283</v>
      </c>
      <c r="J19" s="70">
        <f>Investment!J20</f>
        <v>52006.142781893075</v>
      </c>
      <c r="K19" s="70">
        <f>Investment!K20</f>
        <v>53456.557982188759</v>
      </c>
      <c r="L19" s="70">
        <f>Investment!L20</f>
        <v>54992.150243190743</v>
      </c>
      <c r="M19" s="70">
        <f>Investment!M20</f>
        <v>56619.2450136427</v>
      </c>
      <c r="N19" s="70">
        <f>Investment!N20</f>
        <v>58344.738986383745</v>
      </c>
      <c r="O19" s="70">
        <f>Investment!O20</f>
        <v>60176.160445660236</v>
      </c>
      <c r="P19" s="70">
        <f>Investment!P20</f>
        <v>62121.736874596711</v>
      </c>
      <c r="Q19" s="70">
        <f>Investment!Q20</f>
        <v>64190.470799717412</v>
      </c>
    </row>
    <row r="20" spans="2:17" x14ac:dyDescent="0.25">
      <c r="B20" s="27" t="s">
        <v>30</v>
      </c>
      <c r="C20" s="83">
        <f>'Historical B_Sheet'!C18</f>
        <v>1572.52</v>
      </c>
      <c r="D20" s="83">
        <f>'Historical B_Sheet'!D18</f>
        <v>609.67999999999995</v>
      </c>
      <c r="E20" s="83">
        <f>'Historical B_Sheet'!E18</f>
        <v>445.01</v>
      </c>
      <c r="F20" s="83">
        <f>'Historical B_Sheet'!F18</f>
        <v>227.74</v>
      </c>
      <c r="G20" s="83">
        <f>'Historical B_Sheet'!G18</f>
        <v>41.66</v>
      </c>
      <c r="H20" s="70">
        <f>Balance_Sheet_Forecast!H14</f>
        <v>1283.3157784516704</v>
      </c>
      <c r="I20" s="70">
        <f>Balance_Sheet_Forecast!I14</f>
        <v>1773.811562704991</v>
      </c>
      <c r="J20" s="70">
        <f>Balance_Sheet_Forecast!J14</f>
        <v>2316.1860012808561</v>
      </c>
      <c r="K20" s="70">
        <f>Balance_Sheet_Forecast!K14</f>
        <v>2882.7580581982279</v>
      </c>
      <c r="L20" s="70">
        <f>Balance_Sheet_Forecast!L14</f>
        <v>3446.8889740142426</v>
      </c>
      <c r="M20" s="70">
        <f>Balance_Sheet_Forecast!M14</f>
        <v>3986.510154667084</v>
      </c>
      <c r="N20" s="70">
        <f>Balance_Sheet_Forecast!N14</f>
        <v>4485.7905974231389</v>
      </c>
      <c r="O20" s="70">
        <f>Balance_Sheet_Forecast!O14</f>
        <v>4935.2398507697744</v>
      </c>
      <c r="P20" s="70">
        <f>Balance_Sheet_Forecast!P14</f>
        <v>5330.8249442494816</v>
      </c>
      <c r="Q20" s="70">
        <f>Balance_Sheet_Forecast!Q14</f>
        <v>5672.6595780520884</v>
      </c>
    </row>
    <row r="21" spans="2:17" x14ac:dyDescent="0.25">
      <c r="C21" s="21"/>
      <c r="D21" s="21"/>
      <c r="E21" s="21"/>
      <c r="F21" s="21"/>
      <c r="G21" s="21"/>
    </row>
    <row r="22" spans="2:17" x14ac:dyDescent="0.25">
      <c r="B22" s="4" t="s">
        <v>31</v>
      </c>
      <c r="C22" s="72">
        <f>SUM(C13:C20)</f>
        <v>226473.8</v>
      </c>
      <c r="D22" s="72">
        <f t="shared" ref="D22:Q22" si="2">SUM(D13:D20)</f>
        <v>274900.12</v>
      </c>
      <c r="E22" s="72">
        <f t="shared" si="2"/>
        <v>307617.57</v>
      </c>
      <c r="F22" s="72">
        <f t="shared" si="2"/>
        <v>327816.14</v>
      </c>
      <c r="G22" s="72">
        <f t="shared" si="2"/>
        <v>353172.37999999995</v>
      </c>
      <c r="H22" s="72">
        <f t="shared" si="2"/>
        <v>380561.50161225611</v>
      </c>
      <c r="I22" s="72">
        <f t="shared" si="2"/>
        <v>418517.49484576698</v>
      </c>
      <c r="J22" s="72">
        <f t="shared" si="2"/>
        <v>467879.51623697102</v>
      </c>
      <c r="K22" s="72">
        <f t="shared" si="2"/>
        <v>529389.41120707546</v>
      </c>
      <c r="L22" s="72">
        <f t="shared" si="2"/>
        <v>602617.04660815722</v>
      </c>
      <c r="M22" s="72">
        <f t="shared" si="2"/>
        <v>687384.82100648899</v>
      </c>
      <c r="N22" s="72">
        <f t="shared" si="2"/>
        <v>782327.05487938761</v>
      </c>
      <c r="O22" s="72">
        <f t="shared" si="2"/>
        <v>886849.30370525841</v>
      </c>
      <c r="P22" s="72">
        <f t="shared" si="2"/>
        <v>999198.27827938867</v>
      </c>
      <c r="Q22" s="72">
        <f t="shared" si="2"/>
        <v>1118804.9569659973</v>
      </c>
    </row>
    <row r="23" spans="2:17" x14ac:dyDescent="0.25">
      <c r="C23" s="21"/>
      <c r="D23" s="12"/>
      <c r="E23" s="12"/>
      <c r="F23" s="12"/>
      <c r="G23" s="12"/>
      <c r="H23" s="12"/>
      <c r="I23" s="12"/>
      <c r="J23" s="12"/>
      <c r="K23" s="12"/>
    </row>
    <row r="24" spans="2:17" x14ac:dyDescent="0.25">
      <c r="B24" s="1" t="s">
        <v>401</v>
      </c>
      <c r="C24" s="21"/>
      <c r="D24" s="21"/>
      <c r="E24" s="21"/>
      <c r="F24" s="21"/>
      <c r="G24" s="21"/>
    </row>
    <row r="25" spans="2:17" x14ac:dyDescent="0.25">
      <c r="B25" s="27" t="s">
        <v>33</v>
      </c>
      <c r="C25" s="83">
        <f>'Historical B_Sheet'!C23</f>
        <v>0</v>
      </c>
      <c r="D25" s="83">
        <f>'Historical B_Sheet'!D23</f>
        <v>105.2</v>
      </c>
      <c r="E25" s="83">
        <f>'Historical B_Sheet'!E23</f>
        <v>306.77</v>
      </c>
      <c r="F25" s="83">
        <f>'Historical B_Sheet'!F23</f>
        <v>533.01</v>
      </c>
      <c r="G25" s="83">
        <f>'Historical B_Sheet'!G23</f>
        <v>373.39</v>
      </c>
      <c r="H25" s="70">
        <f>Balance_Sheet_Forecast!H18</f>
        <v>723.47023257771991</v>
      </c>
      <c r="I25" s="70">
        <f>Balance_Sheet_Forecast!I18</f>
        <v>999.98759881807018</v>
      </c>
      <c r="J25" s="70">
        <f>Balance_Sheet_Forecast!J18</f>
        <v>1305.7515953412912</v>
      </c>
      <c r="K25" s="70">
        <f>Balance_Sheet_Forecast!K18</f>
        <v>1625.1570173525388</v>
      </c>
      <c r="L25" s="70">
        <f>Balance_Sheet_Forecast!L18</f>
        <v>1943.1862442370614</v>
      </c>
      <c r="M25" s="70">
        <f>Balance_Sheet_Forecast!M18</f>
        <v>2247.3980895412587</v>
      </c>
      <c r="N25" s="70">
        <f>Balance_Sheet_Forecast!N18</f>
        <v>2528.8678136009426</v>
      </c>
      <c r="O25" s="70">
        <f>Balance_Sheet_Forecast!O18</f>
        <v>2782.2451672581101</v>
      </c>
      <c r="P25" s="70">
        <f>Balance_Sheet_Forecast!P18</f>
        <v>3005.25656039265</v>
      </c>
      <c r="Q25" s="70">
        <f>Balance_Sheet_Forecast!Q18</f>
        <v>3197.9660915718496</v>
      </c>
    </row>
    <row r="26" spans="2:17" x14ac:dyDescent="0.25">
      <c r="B26" t="s">
        <v>34</v>
      </c>
      <c r="C26" s="83">
        <f>'Historical B_Sheet'!C24</f>
        <v>3913.66</v>
      </c>
      <c r="D26" s="83">
        <f>'Historical B_Sheet'!D24</f>
        <v>2415.08</v>
      </c>
      <c r="E26" s="83">
        <f>'Historical B_Sheet'!E24</f>
        <v>1813.25</v>
      </c>
      <c r="F26" s="83">
        <f>'Historical B_Sheet'!F24</f>
        <v>1098.4000000000001</v>
      </c>
      <c r="G26" s="83">
        <f>'Historical B_Sheet'!G24</f>
        <v>223.85</v>
      </c>
      <c r="H26" s="70">
        <f>Balance_Sheet_Forecast!H21</f>
        <v>330.79706161641013</v>
      </c>
      <c r="I26" s="70">
        <f>Balance_Sheet_Forecast!I21</f>
        <v>457.23091904314288</v>
      </c>
      <c r="J26" s="70">
        <f>Balance_Sheet_Forecast!J21</f>
        <v>597.03740594943861</v>
      </c>
      <c r="K26" s="70">
        <f>Balance_Sheet_Forecast!K21</f>
        <v>743.08125171930533</v>
      </c>
      <c r="L26" s="70">
        <f>Balance_Sheet_Forecast!L21</f>
        <v>888.49585072319337</v>
      </c>
      <c r="M26" s="70">
        <f>Balance_Sheet_Forecast!M21</f>
        <v>1027.5926372999979</v>
      </c>
      <c r="N26" s="70">
        <f>Balance_Sheet_Forecast!N21</f>
        <v>1156.2908939251215</v>
      </c>
      <c r="O26" s="70">
        <f>Balance_Sheet_Forecast!O21</f>
        <v>1272.1442909215612</v>
      </c>
      <c r="P26" s="70">
        <f>Balance_Sheet_Forecast!P21</f>
        <v>1374.1132596972914</v>
      </c>
      <c r="Q26" s="70">
        <f>Balance_Sheet_Forecast!Q21</f>
        <v>1462.2271084625991</v>
      </c>
    </row>
    <row r="27" spans="2:17" x14ac:dyDescent="0.25">
      <c r="B27" t="s">
        <v>35</v>
      </c>
      <c r="C27" s="83">
        <f>'Historical B_Sheet'!C25</f>
        <v>321.67</v>
      </c>
      <c r="D27" s="83">
        <f>'Historical B_Sheet'!D25</f>
        <v>320.89999999999998</v>
      </c>
      <c r="E27" s="83">
        <f>'Historical B_Sheet'!E25</f>
        <v>320.18</v>
      </c>
      <c r="F27" s="83">
        <f>'Historical B_Sheet'!F25</f>
        <v>319.45999999999998</v>
      </c>
      <c r="G27" s="83">
        <f>'Historical B_Sheet'!G25</f>
        <v>318.74</v>
      </c>
      <c r="H27" s="70">
        <f>FSA!H13</f>
        <v>317.53357024904591</v>
      </c>
      <c r="I27" s="70">
        <f>FSA!I13</f>
        <v>316.33170683035002</v>
      </c>
      <c r="J27" s="70">
        <f>FSA!J13</f>
        <v>315.13439246036125</v>
      </c>
      <c r="K27" s="70">
        <f>FSA!K13</f>
        <v>313.46890833225609</v>
      </c>
      <c r="L27" s="70">
        <f>FSA!L13</f>
        <v>311.81222628176391</v>
      </c>
      <c r="M27" s="70">
        <f>FSA!M13</f>
        <v>310.16429978993631</v>
      </c>
      <c r="N27" s="70">
        <f>FSA!N13</f>
        <v>308.05983613399241</v>
      </c>
      <c r="O27" s="70">
        <f>FSA!O13</f>
        <v>305.96965125636757</v>
      </c>
      <c r="P27" s="70">
        <f>FSA!P13</f>
        <v>303.8936482756024</v>
      </c>
      <c r="Q27" s="70">
        <f>FSA!Q13</f>
        <v>301.37589049516441</v>
      </c>
    </row>
    <row r="28" spans="2:17" x14ac:dyDescent="0.25">
      <c r="B28" s="27" t="s">
        <v>36</v>
      </c>
      <c r="C28" s="83">
        <f>'Historical B_Sheet'!C26</f>
        <v>24.73</v>
      </c>
      <c r="D28" s="83">
        <f>'Historical B_Sheet'!D26</f>
        <v>9.9499999999999993</v>
      </c>
      <c r="E28" s="83">
        <f>'Historical B_Sheet'!E26</f>
        <v>11.88</v>
      </c>
      <c r="F28" s="83">
        <f>'Historical B_Sheet'!F26</f>
        <v>10.09</v>
      </c>
      <c r="G28" s="83">
        <f>'Historical B_Sheet'!G26</f>
        <v>10.94</v>
      </c>
      <c r="H28" s="70">
        <f>Balance_Sheet_Forecast!H24</f>
        <v>31.819695470568853</v>
      </c>
      <c r="I28" s="70">
        <f>Balance_Sheet_Forecast!I24</f>
        <v>43.981492860272084</v>
      </c>
      <c r="J28" s="70">
        <f>Balance_Sheet_Forecast!J24</f>
        <v>57.429616662916281</v>
      </c>
      <c r="K28" s="70">
        <f>Balance_Sheet_Forecast!K24</f>
        <v>71.477718163698626</v>
      </c>
      <c r="L28" s="70">
        <f>Balance_Sheet_Forecast!L24</f>
        <v>85.465291797723509</v>
      </c>
      <c r="M28" s="70">
        <f>Balance_Sheet_Forecast!M24</f>
        <v>98.845148826021457</v>
      </c>
      <c r="N28" s="70">
        <f>Balance_Sheet_Forecast!N24</f>
        <v>111.22476100695808</v>
      </c>
      <c r="O28" s="70">
        <f>Balance_Sheet_Forecast!O24</f>
        <v>122.36881347720755</v>
      </c>
      <c r="P28" s="70">
        <f>Balance_Sheet_Forecast!P24</f>
        <v>132.17730910905243</v>
      </c>
      <c r="Q28" s="70">
        <f>Balance_Sheet_Forecast!Q24</f>
        <v>140.65306708813347</v>
      </c>
    </row>
    <row r="29" spans="2:17" x14ac:dyDescent="0.25">
      <c r="C29" s="21"/>
      <c r="D29" s="21"/>
      <c r="E29" s="21"/>
      <c r="F29" s="21"/>
      <c r="G29" s="21"/>
    </row>
    <row r="30" spans="2:17" x14ac:dyDescent="0.25">
      <c r="B30" s="4" t="s">
        <v>37</v>
      </c>
      <c r="C30" s="72">
        <f>SUM(C25:C28)</f>
        <v>4260.0599999999995</v>
      </c>
      <c r="D30" s="72">
        <f t="shared" ref="D30:Q30" si="3">SUM(D25:D28)</f>
        <v>2851.1299999999997</v>
      </c>
      <c r="E30" s="72">
        <f t="shared" si="3"/>
        <v>2452.08</v>
      </c>
      <c r="F30" s="72">
        <f t="shared" si="3"/>
        <v>1960.96</v>
      </c>
      <c r="G30" s="72">
        <f t="shared" si="3"/>
        <v>926.92000000000007</v>
      </c>
      <c r="H30" s="72">
        <f t="shared" si="3"/>
        <v>1403.6205599137447</v>
      </c>
      <c r="I30" s="72">
        <f t="shared" si="3"/>
        <v>1817.5317175518351</v>
      </c>
      <c r="J30" s="72">
        <f t="shared" si="3"/>
        <v>2275.3530104140077</v>
      </c>
      <c r="K30" s="72">
        <f t="shared" si="3"/>
        <v>2753.1848955677988</v>
      </c>
      <c r="L30" s="72">
        <f t="shared" si="3"/>
        <v>3228.9596130397422</v>
      </c>
      <c r="M30" s="72">
        <f t="shared" si="3"/>
        <v>3684.0001754572145</v>
      </c>
      <c r="N30" s="72">
        <f t="shared" si="3"/>
        <v>4104.4433046670147</v>
      </c>
      <c r="O30" s="72">
        <f t="shared" si="3"/>
        <v>4482.7279229132464</v>
      </c>
      <c r="P30" s="72">
        <f t="shared" si="3"/>
        <v>4815.4407774745969</v>
      </c>
      <c r="Q30" s="72">
        <f t="shared" si="3"/>
        <v>5102.2221576177471</v>
      </c>
    </row>
    <row r="31" spans="2:17" x14ac:dyDescent="0.25">
      <c r="C31" s="21"/>
      <c r="D31" s="21"/>
      <c r="E31" s="21"/>
      <c r="F31" s="21"/>
      <c r="G31" s="21"/>
    </row>
    <row r="32" spans="2:17" x14ac:dyDescent="0.25">
      <c r="B32" s="9" t="s">
        <v>38</v>
      </c>
      <c r="C32" s="73">
        <f>C30+C22</f>
        <v>230733.86</v>
      </c>
      <c r="D32" s="73">
        <f t="shared" ref="D32:Q32" si="4">D30+D22</f>
        <v>277751.25</v>
      </c>
      <c r="E32" s="73">
        <f t="shared" si="4"/>
        <v>310069.65000000002</v>
      </c>
      <c r="F32" s="73">
        <f t="shared" si="4"/>
        <v>329777.10000000003</v>
      </c>
      <c r="G32" s="73">
        <f t="shared" si="4"/>
        <v>354099.29999999993</v>
      </c>
      <c r="H32" s="73">
        <f t="shared" si="4"/>
        <v>381965.12217216985</v>
      </c>
      <c r="I32" s="73">
        <f t="shared" si="4"/>
        <v>420335.0265633188</v>
      </c>
      <c r="J32" s="73">
        <f t="shared" si="4"/>
        <v>470154.86924738501</v>
      </c>
      <c r="K32" s="73">
        <f t="shared" si="4"/>
        <v>532142.59610264329</v>
      </c>
      <c r="L32" s="73">
        <f t="shared" si="4"/>
        <v>605846.00622119696</v>
      </c>
      <c r="M32" s="73">
        <f t="shared" si="4"/>
        <v>691068.8211819462</v>
      </c>
      <c r="N32" s="73">
        <f t="shared" si="4"/>
        <v>786431.49818405462</v>
      </c>
      <c r="O32" s="73">
        <f t="shared" si="4"/>
        <v>891332.03162817168</v>
      </c>
      <c r="P32" s="73">
        <f t="shared" si="4"/>
        <v>1004013.7190568632</v>
      </c>
      <c r="Q32" s="73">
        <f t="shared" si="4"/>
        <v>1123907.1791236151</v>
      </c>
    </row>
    <row r="33" spans="2:17" x14ac:dyDescent="0.25">
      <c r="C33" s="21"/>
      <c r="D33" s="12">
        <f>D32/C32-1</f>
        <v>0.20377325633957666</v>
      </c>
      <c r="E33" s="12">
        <f t="shared" ref="E33:K33" si="5">E32/D32-1</f>
        <v>0.11635735212712817</v>
      </c>
      <c r="F33" s="12">
        <f t="shared" si="5"/>
        <v>6.3558139276127079E-2</v>
      </c>
      <c r="G33" s="12">
        <f t="shared" si="5"/>
        <v>7.3753453469024732E-2</v>
      </c>
      <c r="H33" s="12">
        <f t="shared" si="5"/>
        <v>7.8694937189002889E-2</v>
      </c>
      <c r="I33" s="12">
        <f t="shared" si="5"/>
        <v>0.10045394766136218</v>
      </c>
      <c r="J33" s="12">
        <f t="shared" si="5"/>
        <v>0.11852412845866267</v>
      </c>
      <c r="K33" s="12">
        <f t="shared" si="5"/>
        <v>0.13184533631330253</v>
      </c>
    </row>
    <row r="34" spans="2:17" x14ac:dyDescent="0.25">
      <c r="B34" s="1" t="s">
        <v>39</v>
      </c>
      <c r="C34" s="21"/>
      <c r="D34" s="21"/>
      <c r="E34" s="21"/>
      <c r="F34" s="21"/>
      <c r="G34" s="21"/>
    </row>
    <row r="35" spans="2:17" x14ac:dyDescent="0.25">
      <c r="B35" s="1" t="s">
        <v>40</v>
      </c>
      <c r="C35" s="21"/>
      <c r="D35" s="21"/>
      <c r="E35" s="21"/>
      <c r="F35" s="21"/>
      <c r="G35" s="21"/>
    </row>
    <row r="36" spans="2:17" x14ac:dyDescent="0.25">
      <c r="B36" s="1" t="s">
        <v>398</v>
      </c>
      <c r="C36" s="21"/>
      <c r="D36" s="21"/>
      <c r="E36" s="21"/>
      <c r="F36" s="21"/>
      <c r="G36" s="21"/>
    </row>
    <row r="37" spans="2:17" x14ac:dyDescent="0.25">
      <c r="B37" s="27" t="s">
        <v>46</v>
      </c>
      <c r="C37" s="83">
        <f>'Historical B_Sheet'!C39</f>
        <v>81.27</v>
      </c>
      <c r="D37" s="83">
        <f>'Historical B_Sheet'!D39</f>
        <v>18.350000000000001</v>
      </c>
      <c r="E37" s="83">
        <f>'Historical B_Sheet'!E39</f>
        <v>13.46</v>
      </c>
      <c r="F37" s="83">
        <f>'Historical B_Sheet'!F39</f>
        <v>16.600000000000001</v>
      </c>
      <c r="G37" s="83">
        <f>'Historical B_Sheet'!G39</f>
        <v>7</v>
      </c>
      <c r="H37" s="70">
        <f>Balance_Sheet_Forecast!H29</f>
        <v>56.349182263539433</v>
      </c>
      <c r="I37" s="70">
        <f>Balance_Sheet_Forecast!I29</f>
        <v>77.886388312493935</v>
      </c>
      <c r="J37" s="70">
        <f>Balance_Sheet_Forecast!J29</f>
        <v>101.70153701367329</v>
      </c>
      <c r="K37" s="70">
        <f>Balance_Sheet_Forecast!K29</f>
        <v>126.57918025373712</v>
      </c>
      <c r="L37" s="70">
        <f>Balance_Sheet_Forecast!L29</f>
        <v>151.34963529650676</v>
      </c>
      <c r="M37" s="70">
        <f>Balance_Sheet_Forecast!M29</f>
        <v>175.04389104590604</v>
      </c>
      <c r="N37" s="70">
        <f>Balance_Sheet_Forecast!N29</f>
        <v>196.96682314249844</v>
      </c>
      <c r="O37" s="70">
        <f>Balance_Sheet_Forecast!O29</f>
        <v>216.70171483501497</v>
      </c>
      <c r="P37" s="70">
        <f>Balance_Sheet_Forecast!P29</f>
        <v>234.07148220444719</v>
      </c>
      <c r="Q37" s="70">
        <f>Balance_Sheet_Forecast!Q29</f>
        <v>249.0811177186097</v>
      </c>
    </row>
    <row r="38" spans="2:17" x14ac:dyDescent="0.25">
      <c r="C38" s="21"/>
      <c r="D38" s="21"/>
      <c r="E38" s="21"/>
      <c r="F38" s="21"/>
      <c r="G38" s="21"/>
    </row>
    <row r="39" spans="2:17" x14ac:dyDescent="0.25">
      <c r="B39" s="4" t="s">
        <v>47</v>
      </c>
      <c r="C39" s="72">
        <f>SUM(C37)</f>
        <v>81.27</v>
      </c>
      <c r="D39" s="72">
        <f t="shared" ref="D39:Q39" si="6">SUM(D37)</f>
        <v>18.350000000000001</v>
      </c>
      <c r="E39" s="72">
        <f t="shared" si="6"/>
        <v>13.46</v>
      </c>
      <c r="F39" s="72">
        <f t="shared" si="6"/>
        <v>16.600000000000001</v>
      </c>
      <c r="G39" s="72">
        <f t="shared" si="6"/>
        <v>7</v>
      </c>
      <c r="H39" s="72">
        <f t="shared" si="6"/>
        <v>56.349182263539433</v>
      </c>
      <c r="I39" s="72">
        <f t="shared" si="6"/>
        <v>77.886388312493935</v>
      </c>
      <c r="J39" s="72">
        <f t="shared" si="6"/>
        <v>101.70153701367329</v>
      </c>
      <c r="K39" s="72">
        <f t="shared" si="6"/>
        <v>126.57918025373712</v>
      </c>
      <c r="L39" s="72">
        <f t="shared" si="6"/>
        <v>151.34963529650676</v>
      </c>
      <c r="M39" s="72">
        <f t="shared" si="6"/>
        <v>175.04389104590604</v>
      </c>
      <c r="N39" s="72">
        <f t="shared" si="6"/>
        <v>196.96682314249844</v>
      </c>
      <c r="O39" s="72">
        <f t="shared" si="6"/>
        <v>216.70171483501497</v>
      </c>
      <c r="P39" s="72">
        <f t="shared" si="6"/>
        <v>234.07148220444719</v>
      </c>
      <c r="Q39" s="72">
        <f t="shared" si="6"/>
        <v>249.0811177186097</v>
      </c>
    </row>
    <row r="40" spans="2:17" x14ac:dyDescent="0.25">
      <c r="C40" s="21"/>
      <c r="D40" s="21"/>
      <c r="E40" s="21"/>
      <c r="F40" s="21"/>
      <c r="G40" s="21"/>
    </row>
    <row r="41" spans="2:17" x14ac:dyDescent="0.25">
      <c r="B41" s="1" t="s">
        <v>399</v>
      </c>
      <c r="C41" s="21"/>
      <c r="D41" s="21"/>
      <c r="E41" s="21"/>
      <c r="F41" s="21"/>
      <c r="G41" s="21"/>
    </row>
    <row r="42" spans="2:17" x14ac:dyDescent="0.25">
      <c r="B42" t="s">
        <v>49</v>
      </c>
      <c r="C42" s="83">
        <f>'Historical B_Sheet'!C44</f>
        <v>43.3</v>
      </c>
      <c r="D42" s="83">
        <f>'Historical B_Sheet'!D44</f>
        <v>0</v>
      </c>
      <c r="E42" s="83">
        <f>'Historical B_Sheet'!E44</f>
        <v>0</v>
      </c>
      <c r="F42" s="83">
        <f>'Historical B_Sheet'!F44</f>
        <v>0</v>
      </c>
      <c r="G42" s="83">
        <f>'Historical B_Sheet'!G44</f>
        <v>0</v>
      </c>
      <c r="H42" s="21">
        <f>G42</f>
        <v>0</v>
      </c>
      <c r="I42" s="21">
        <f t="shared" ref="I42:Q42" si="7">H42</f>
        <v>0</v>
      </c>
      <c r="J42" s="21">
        <f t="shared" si="7"/>
        <v>0</v>
      </c>
      <c r="K42" s="21">
        <f t="shared" si="7"/>
        <v>0</v>
      </c>
      <c r="L42" s="21">
        <f t="shared" si="7"/>
        <v>0</v>
      </c>
      <c r="M42" s="21">
        <f t="shared" si="7"/>
        <v>0</v>
      </c>
      <c r="N42" s="21">
        <f t="shared" si="7"/>
        <v>0</v>
      </c>
      <c r="O42" s="21">
        <f t="shared" si="7"/>
        <v>0</v>
      </c>
      <c r="P42" s="21">
        <f t="shared" si="7"/>
        <v>0</v>
      </c>
      <c r="Q42" s="21">
        <f t="shared" si="7"/>
        <v>0</v>
      </c>
    </row>
    <row r="43" spans="2:17" x14ac:dyDescent="0.25">
      <c r="B43" s="27" t="s">
        <v>50</v>
      </c>
      <c r="C43" s="83">
        <f>'Historical B_Sheet'!C45</f>
        <v>2.9</v>
      </c>
      <c r="D43" s="83">
        <f>'Historical B_Sheet'!D45</f>
        <v>1.55</v>
      </c>
      <c r="E43" s="83">
        <f>'Historical B_Sheet'!E45</f>
        <v>5.52</v>
      </c>
      <c r="F43" s="83">
        <f>'Historical B_Sheet'!F45</f>
        <v>3.11</v>
      </c>
      <c r="G43" s="83">
        <f>'Historical B_Sheet'!G45</f>
        <v>6.75</v>
      </c>
      <c r="H43" s="70">
        <f>Balance_Sheet_Forecast!H33</f>
        <v>11.016495155039472</v>
      </c>
      <c r="I43" s="70">
        <f>Balance_Sheet_Forecast!I33</f>
        <v>15.227106854455656</v>
      </c>
      <c r="J43" s="70">
        <f>Balance_Sheet_Forecast!J33</f>
        <v>19.883065641152122</v>
      </c>
      <c r="K43" s="70">
        <f>Balance_Sheet_Forecast!K33</f>
        <v>24.746746447400415</v>
      </c>
      <c r="L43" s="70">
        <f>Balance_Sheet_Forecast!L33</f>
        <v>29.58947152352567</v>
      </c>
      <c r="M43" s="70">
        <f>Balance_Sheet_Forecast!M33</f>
        <v>34.221795244653038</v>
      </c>
      <c r="N43" s="70">
        <f>Balance_Sheet_Forecast!N33</f>
        <v>38.507817960951449</v>
      </c>
      <c r="O43" s="70">
        <f>Balance_Sheet_Forecast!O33</f>
        <v>42.366069846471909</v>
      </c>
      <c r="P43" s="70">
        <f>Balance_Sheet_Forecast!P33</f>
        <v>45.761930272175512</v>
      </c>
      <c r="Q43" s="70">
        <f>Balance_Sheet_Forecast!Q33</f>
        <v>48.69637528589972</v>
      </c>
    </row>
    <row r="44" spans="2:17" x14ac:dyDescent="0.25">
      <c r="B44" s="27" t="s">
        <v>51</v>
      </c>
      <c r="C44" s="83">
        <f>'Historical B_Sheet'!C46</f>
        <v>27.11</v>
      </c>
      <c r="D44" s="83">
        <f>'Historical B_Sheet'!D46</f>
        <v>47.65</v>
      </c>
      <c r="E44" s="83">
        <f>'Historical B_Sheet'!E46</f>
        <v>90.95</v>
      </c>
      <c r="F44" s="83">
        <f>'Historical B_Sheet'!F46</f>
        <v>40.090000000000003</v>
      </c>
      <c r="G44" s="83">
        <f>'Historical B_Sheet'!G46</f>
        <v>39.1</v>
      </c>
      <c r="H44" s="70">
        <f>Balance_Sheet_Forecast!H36</f>
        <v>152.62596317670619</v>
      </c>
      <c r="I44" s="70">
        <f>Balance_Sheet_Forecast!I36</f>
        <v>210.96109219389859</v>
      </c>
      <c r="J44" s="70">
        <f>Balance_Sheet_Forecast!J36</f>
        <v>275.4661987935711</v>
      </c>
      <c r="K44" s="70">
        <f>Balance_Sheet_Forecast!K36</f>
        <v>342.84915110196749</v>
      </c>
      <c r="L44" s="70">
        <f>Balance_Sheet_Forecast!L36</f>
        <v>409.94177618295731</v>
      </c>
      <c r="M44" s="70">
        <f>Balance_Sheet_Forecast!M36</f>
        <v>474.11943520547749</v>
      </c>
      <c r="N44" s="70">
        <f>Balance_Sheet_Forecast!N36</f>
        <v>533.49933199352665</v>
      </c>
      <c r="O44" s="70">
        <f>Balance_Sheet_Forecast!O36</f>
        <v>586.95275814390493</v>
      </c>
      <c r="P44" s="70">
        <f>Balance_Sheet_Forecast!P36</f>
        <v>634.00006865350736</v>
      </c>
      <c r="Q44" s="70">
        <f>Balance_Sheet_Forecast!Q36</f>
        <v>674.65478599379151</v>
      </c>
    </row>
    <row r="45" spans="2:17" x14ac:dyDescent="0.25">
      <c r="C45" s="21"/>
      <c r="D45" s="21"/>
      <c r="E45" s="21"/>
      <c r="F45" s="21"/>
      <c r="G45" s="21"/>
    </row>
    <row r="46" spans="2:17" x14ac:dyDescent="0.25">
      <c r="B46" s="4" t="s">
        <v>52</v>
      </c>
      <c r="C46" s="72">
        <f>SUM(C42:C44)</f>
        <v>73.31</v>
      </c>
      <c r="D46" s="72">
        <f t="shared" ref="D46:Q46" si="8">SUM(D42:D44)</f>
        <v>49.199999999999996</v>
      </c>
      <c r="E46" s="72">
        <f t="shared" si="8"/>
        <v>96.47</v>
      </c>
      <c r="F46" s="72">
        <f t="shared" si="8"/>
        <v>43.2</v>
      </c>
      <c r="G46" s="72">
        <f t="shared" si="8"/>
        <v>45.85</v>
      </c>
      <c r="H46" s="72">
        <f t="shared" si="8"/>
        <v>163.64245833174567</v>
      </c>
      <c r="I46" s="72">
        <f t="shared" si="8"/>
        <v>226.18819904835425</v>
      </c>
      <c r="J46" s="72">
        <f t="shared" si="8"/>
        <v>295.34926443472324</v>
      </c>
      <c r="K46" s="72">
        <f t="shared" si="8"/>
        <v>367.59589754936792</v>
      </c>
      <c r="L46" s="72">
        <f t="shared" si="8"/>
        <v>439.53124770648299</v>
      </c>
      <c r="M46" s="72">
        <f t="shared" si="8"/>
        <v>508.34123045013052</v>
      </c>
      <c r="N46" s="72">
        <f t="shared" si="8"/>
        <v>572.00714995447811</v>
      </c>
      <c r="O46" s="72">
        <f t="shared" si="8"/>
        <v>629.3188279903768</v>
      </c>
      <c r="P46" s="72">
        <f t="shared" si="8"/>
        <v>679.76199892568286</v>
      </c>
      <c r="Q46" s="72">
        <f t="shared" si="8"/>
        <v>723.35116127969127</v>
      </c>
    </row>
    <row r="47" spans="2:17" x14ac:dyDescent="0.25">
      <c r="C47" s="21"/>
      <c r="D47" s="21"/>
      <c r="E47" s="21"/>
      <c r="F47" s="21"/>
      <c r="G47" s="21"/>
    </row>
    <row r="48" spans="2:17" x14ac:dyDescent="0.25">
      <c r="B48" s="1" t="s">
        <v>53</v>
      </c>
      <c r="C48" s="21"/>
      <c r="D48" s="21"/>
      <c r="E48" s="21"/>
      <c r="F48" s="21"/>
      <c r="G48" s="21"/>
    </row>
    <row r="49" spans="2:17" x14ac:dyDescent="0.25">
      <c r="B49" t="s">
        <v>54</v>
      </c>
      <c r="C49" s="21">
        <f>'Historical B_Sheet'!C51</f>
        <v>319.24</v>
      </c>
      <c r="D49" s="21">
        <f>'Historical B_Sheet'!D51</f>
        <v>319.24</v>
      </c>
      <c r="E49" s="21">
        <f>'Historical B_Sheet'!E51</f>
        <v>319.24</v>
      </c>
      <c r="F49" s="21">
        <f>'Historical B_Sheet'!F51</f>
        <v>319.24</v>
      </c>
      <c r="G49" s="21">
        <f>'Historical B_Sheet'!G51</f>
        <v>319.24</v>
      </c>
      <c r="H49" s="21">
        <f>G49</f>
        <v>319.24</v>
      </c>
      <c r="I49" s="21">
        <f t="shared" ref="I49:Q49" si="9">H49</f>
        <v>319.24</v>
      </c>
      <c r="J49" s="21">
        <f t="shared" si="9"/>
        <v>319.24</v>
      </c>
      <c r="K49" s="21">
        <f t="shared" si="9"/>
        <v>319.24</v>
      </c>
      <c r="L49" s="21">
        <f t="shared" si="9"/>
        <v>319.24</v>
      </c>
      <c r="M49" s="21">
        <f t="shared" si="9"/>
        <v>319.24</v>
      </c>
      <c r="N49" s="21">
        <f t="shared" si="9"/>
        <v>319.24</v>
      </c>
      <c r="O49" s="21">
        <f t="shared" si="9"/>
        <v>319.24</v>
      </c>
      <c r="P49" s="21">
        <f t="shared" si="9"/>
        <v>319.24</v>
      </c>
      <c r="Q49" s="21">
        <f t="shared" si="9"/>
        <v>319.24</v>
      </c>
    </row>
    <row r="50" spans="2:17" x14ac:dyDescent="0.25">
      <c r="B50" t="s">
        <v>55</v>
      </c>
      <c r="C50" s="21">
        <f>'Historical B_Sheet'!C52</f>
        <v>230260.04</v>
      </c>
      <c r="D50" s="21">
        <f>'Historical B_Sheet'!D52</f>
        <v>277364.46000000002</v>
      </c>
      <c r="E50" s="21">
        <f>'Historical B_Sheet'!E52</f>
        <v>309640.48</v>
      </c>
      <c r="F50" s="21">
        <f>'Historical B_Sheet'!F52</f>
        <v>329398.06</v>
      </c>
      <c r="G50" s="21">
        <f>'Historical B_Sheet'!G52</f>
        <v>353727.21</v>
      </c>
      <c r="H50" s="21">
        <f>G50+'Income Statement'!H34-'Income Statement'!H37</f>
        <v>381425.89053157461</v>
      </c>
      <c r="I50" s="21">
        <f>H50+'Income Statement'!I34-'Income Statement'!I37</f>
        <v>419711.71197595802</v>
      </c>
      <c r="J50" s="21">
        <f>I50+'Income Statement'!J34-'Income Statement'!J37</f>
        <v>469438.57844593667</v>
      </c>
      <c r="K50" s="21">
        <f>J50+'Income Statement'!K34-'Income Statement'!K37</f>
        <v>531329.1810248401</v>
      </c>
      <c r="L50" s="21">
        <f>K50+'Income Statement'!L34-'Income Statement'!L37</f>
        <v>604935.88533819397</v>
      </c>
      <c r="M50" s="21">
        <f>L50+'Income Statement'!M34-'Income Statement'!M37</f>
        <v>690066.19606045005</v>
      </c>
      <c r="N50" s="21">
        <f>M50+'Income Statement'!N34-'Income Statement'!N37</f>
        <v>785343.28421095759</v>
      </c>
      <c r="O50" s="21">
        <f>N50+'Income Statement'!O34-'Income Statement'!O37</f>
        <v>890166.77108534623</v>
      </c>
      <c r="P50" s="21">
        <f>O50+'Income Statement'!P34-'Income Statement'!P37</f>
        <v>1002780.645575733</v>
      </c>
      <c r="Q50" s="21">
        <f>P50+'Income Statement'!Q34-'Income Statement'!Q37</f>
        <v>1122615.5068446165</v>
      </c>
    </row>
    <row r="51" spans="2:17" x14ac:dyDescent="0.25">
      <c r="C51" s="21"/>
      <c r="D51" s="21"/>
      <c r="E51" s="21"/>
      <c r="F51" s="21"/>
      <c r="G51" s="21"/>
    </row>
    <row r="52" spans="2:17" x14ac:dyDescent="0.25">
      <c r="B52" s="4" t="s">
        <v>56</v>
      </c>
      <c r="C52" s="72">
        <f>SUM(C49:C50)</f>
        <v>230579.28</v>
      </c>
      <c r="D52" s="72">
        <f t="shared" ref="D52:H52" si="10">SUM(D49:D50)</f>
        <v>277683.7</v>
      </c>
      <c r="E52" s="72">
        <f t="shared" si="10"/>
        <v>309959.71999999997</v>
      </c>
      <c r="F52" s="72">
        <f t="shared" si="10"/>
        <v>329717.3</v>
      </c>
      <c r="G52" s="72">
        <f t="shared" si="10"/>
        <v>354046.45</v>
      </c>
      <c r="H52" s="72">
        <f t="shared" si="10"/>
        <v>381745.1305315746</v>
      </c>
      <c r="I52" s="72">
        <f t="shared" ref="I52:Q52" si="11">SUM(I49:I50)</f>
        <v>420030.95197595801</v>
      </c>
      <c r="J52" s="72">
        <f t="shared" si="11"/>
        <v>469757.81844593666</v>
      </c>
      <c r="K52" s="72">
        <f t="shared" si="11"/>
        <v>531648.42102484009</v>
      </c>
      <c r="L52" s="72">
        <f t="shared" si="11"/>
        <v>605255.12533819396</v>
      </c>
      <c r="M52" s="72">
        <f t="shared" si="11"/>
        <v>690385.43606045004</v>
      </c>
      <c r="N52" s="72">
        <f t="shared" si="11"/>
        <v>785662.52421095758</v>
      </c>
      <c r="O52" s="72">
        <f t="shared" si="11"/>
        <v>890486.01108534622</v>
      </c>
      <c r="P52" s="72">
        <f t="shared" si="11"/>
        <v>1003099.885575733</v>
      </c>
      <c r="Q52" s="72">
        <f t="shared" si="11"/>
        <v>1122934.7468446165</v>
      </c>
    </row>
    <row r="53" spans="2:17" x14ac:dyDescent="0.25">
      <c r="C53" s="21"/>
      <c r="D53" s="21"/>
      <c r="E53" s="21"/>
      <c r="F53" s="21"/>
      <c r="G53" s="21"/>
    </row>
    <row r="54" spans="2:17" x14ac:dyDescent="0.25">
      <c r="B54" s="9" t="s">
        <v>57</v>
      </c>
      <c r="C54" s="73">
        <f>C52+C46+C39</f>
        <v>230733.86</v>
      </c>
      <c r="D54" s="73">
        <f t="shared" ref="D54:H54" si="12">D52+D46+D39</f>
        <v>277751.25</v>
      </c>
      <c r="E54" s="73">
        <f t="shared" si="12"/>
        <v>310069.64999999997</v>
      </c>
      <c r="F54" s="73">
        <f t="shared" si="12"/>
        <v>329777.09999999998</v>
      </c>
      <c r="G54" s="73">
        <f t="shared" si="12"/>
        <v>354099.3</v>
      </c>
      <c r="H54" s="73">
        <f t="shared" si="12"/>
        <v>381965.12217216991</v>
      </c>
      <c r="I54" s="73">
        <f t="shared" ref="I54:Q54" si="13">I52+I46+I39</f>
        <v>420335.02656331885</v>
      </c>
      <c r="J54" s="73">
        <f t="shared" si="13"/>
        <v>470154.86924738507</v>
      </c>
      <c r="K54" s="73">
        <f t="shared" si="13"/>
        <v>532142.59610264329</v>
      </c>
      <c r="L54" s="73">
        <f t="shared" si="13"/>
        <v>605846.00622119696</v>
      </c>
      <c r="M54" s="73">
        <f t="shared" si="13"/>
        <v>691068.82118194608</v>
      </c>
      <c r="N54" s="73">
        <f t="shared" si="13"/>
        <v>786431.49818405451</v>
      </c>
      <c r="O54" s="73">
        <f t="shared" si="13"/>
        <v>891332.03162817156</v>
      </c>
      <c r="P54" s="73">
        <f t="shared" si="13"/>
        <v>1004013.7190568632</v>
      </c>
      <c r="Q54" s="73">
        <f t="shared" si="13"/>
        <v>1123907.1791236149</v>
      </c>
    </row>
    <row r="55" spans="2:17" x14ac:dyDescent="0.25">
      <c r="C55" s="21"/>
      <c r="D55" s="21"/>
      <c r="E55" s="21"/>
      <c r="F55" s="21"/>
      <c r="G55" s="21"/>
    </row>
    <row r="56" spans="2:17" ht="15.75" thickBot="1" x14ac:dyDescent="0.3">
      <c r="B56" s="4"/>
      <c r="C56" s="72"/>
      <c r="D56" s="72"/>
      <c r="E56" s="72"/>
      <c r="F56" s="72"/>
      <c r="G56" s="72"/>
      <c r="H56" s="72"/>
      <c r="I56" s="72"/>
      <c r="J56" s="72"/>
      <c r="K56" s="72"/>
      <c r="L56" s="72"/>
      <c r="M56" s="72"/>
      <c r="N56" s="72"/>
      <c r="O56" s="72"/>
      <c r="P56" s="72"/>
      <c r="Q56" s="72"/>
    </row>
    <row r="57" spans="2:17" ht="16.5" thickTop="1" thickBot="1" x14ac:dyDescent="0.3">
      <c r="B57" s="217" t="s">
        <v>132</v>
      </c>
      <c r="C57" s="218">
        <f>C54-C32</f>
        <v>0</v>
      </c>
      <c r="D57" s="218">
        <f t="shared" ref="D57:Q57" si="14">D54-D32</f>
        <v>0</v>
      </c>
      <c r="E57" s="218">
        <f t="shared" si="14"/>
        <v>0</v>
      </c>
      <c r="F57" s="218">
        <f t="shared" si="14"/>
        <v>0</v>
      </c>
      <c r="G57" s="218">
        <f t="shared" si="14"/>
        <v>0</v>
      </c>
      <c r="H57" s="218">
        <f t="shared" si="14"/>
        <v>0</v>
      </c>
      <c r="I57" s="218">
        <f t="shared" si="14"/>
        <v>0</v>
      </c>
      <c r="J57" s="218">
        <f t="shared" si="14"/>
        <v>0</v>
      </c>
      <c r="K57" s="218">
        <f t="shared" si="14"/>
        <v>0</v>
      </c>
      <c r="L57" s="218">
        <f t="shared" si="14"/>
        <v>0</v>
      </c>
      <c r="M57" s="218">
        <f t="shared" si="14"/>
        <v>0</v>
      </c>
      <c r="N57" s="218">
        <f t="shared" si="14"/>
        <v>0</v>
      </c>
      <c r="O57" s="218">
        <f t="shared" si="14"/>
        <v>0</v>
      </c>
      <c r="P57" s="218">
        <f t="shared" si="14"/>
        <v>0</v>
      </c>
      <c r="Q57" s="218">
        <f t="shared" si="14"/>
        <v>0</v>
      </c>
    </row>
    <row r="58" spans="2:17" ht="15.75" thickTop="1" x14ac:dyDescent="0.25">
      <c r="C58" s="21"/>
      <c r="D58" s="21"/>
      <c r="E58" s="21"/>
      <c r="F58" s="21"/>
      <c r="G58" s="21"/>
    </row>
    <row r="59" spans="2:17" x14ac:dyDescent="0.25">
      <c r="C59" s="21"/>
      <c r="D59" s="21"/>
      <c r="E59" s="21"/>
      <c r="F59" s="21"/>
      <c r="G59" s="21"/>
    </row>
    <row r="60" spans="2:17" x14ac:dyDescent="0.25">
      <c r="C60" s="21"/>
      <c r="D60" s="21"/>
      <c r="E60" s="21"/>
      <c r="F60" s="21"/>
      <c r="G60" s="21"/>
    </row>
    <row r="61" spans="2:17" x14ac:dyDescent="0.25">
      <c r="C61" s="21"/>
      <c r="D61" s="21"/>
      <c r="E61" s="21"/>
      <c r="F61" s="21"/>
      <c r="G61" s="21"/>
    </row>
    <row r="62" spans="2:17" x14ac:dyDescent="0.25">
      <c r="C62" s="21"/>
      <c r="D62" s="21"/>
      <c r="E62" s="21"/>
      <c r="F62" s="21"/>
      <c r="G62" s="21"/>
    </row>
  </sheetData>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Q54"/>
  <sheetViews>
    <sheetView showGridLines="0" topLeftCell="A24" zoomScale="80" zoomScaleNormal="80" workbookViewId="0">
      <selection activeCell="H53" sqref="H53"/>
    </sheetView>
  </sheetViews>
  <sheetFormatPr defaultRowHeight="15" x14ac:dyDescent="0.25"/>
  <cols>
    <col min="1" max="1" width="1.85546875" customWidth="1"/>
    <col min="2" max="2" width="75.28515625" bestFit="1" customWidth="1"/>
    <col min="3" max="7" width="9.85546875" bestFit="1" customWidth="1"/>
    <col min="8" max="8" width="12.7109375" bestFit="1" customWidth="1"/>
    <col min="9" max="9" width="11.42578125" customWidth="1"/>
    <col min="10" max="11" width="11.42578125" bestFit="1" customWidth="1"/>
    <col min="12" max="17" width="12.42578125" bestFit="1" customWidth="1"/>
  </cols>
  <sheetData>
    <row r="6" spans="2:17" x14ac:dyDescent="0.25">
      <c r="B6" s="235" t="s">
        <v>279</v>
      </c>
    </row>
    <row r="7" spans="2:17" x14ac:dyDescent="0.25">
      <c r="B7" s="11" t="s">
        <v>0</v>
      </c>
      <c r="C7" s="13">
        <v>2021</v>
      </c>
      <c r="D7" s="13">
        <f>C7+1</f>
        <v>2022</v>
      </c>
      <c r="E7" s="13">
        <f t="shared" ref="E7:Q7" si="0">D7+1</f>
        <v>2023</v>
      </c>
      <c r="F7" s="13">
        <f t="shared" si="0"/>
        <v>2024</v>
      </c>
      <c r="G7" s="13">
        <f t="shared" si="0"/>
        <v>2025</v>
      </c>
      <c r="H7" s="14">
        <f t="shared" si="0"/>
        <v>2026</v>
      </c>
      <c r="I7" s="14">
        <f t="shared" si="0"/>
        <v>2027</v>
      </c>
      <c r="J7" s="14">
        <f t="shared" si="0"/>
        <v>2028</v>
      </c>
      <c r="K7" s="14">
        <f t="shared" si="0"/>
        <v>2029</v>
      </c>
      <c r="L7" s="14">
        <f t="shared" si="0"/>
        <v>2030</v>
      </c>
      <c r="M7" s="14">
        <f t="shared" si="0"/>
        <v>2031</v>
      </c>
      <c r="N7" s="14">
        <f t="shared" si="0"/>
        <v>2032</v>
      </c>
      <c r="O7" s="14">
        <f t="shared" si="0"/>
        <v>2033</v>
      </c>
      <c r="P7" s="14">
        <f t="shared" si="0"/>
        <v>2034</v>
      </c>
      <c r="Q7" s="14">
        <f t="shared" si="0"/>
        <v>2035</v>
      </c>
    </row>
    <row r="8" spans="2:17" ht="5.0999999999999996" customHeight="1" x14ac:dyDescent="0.25"/>
    <row r="9" spans="2:17" x14ac:dyDescent="0.25">
      <c r="B9" s="1" t="s">
        <v>60</v>
      </c>
    </row>
    <row r="10" spans="2:17" x14ac:dyDescent="0.25">
      <c r="B10" t="s">
        <v>61</v>
      </c>
      <c r="C10" s="205">
        <v>13321.43</v>
      </c>
      <c r="D10" s="205">
        <v>45947.12</v>
      </c>
      <c r="E10" s="205">
        <v>22492.1</v>
      </c>
      <c r="F10" s="205">
        <v>19424.02</v>
      </c>
      <c r="G10" s="205">
        <v>27297.39</v>
      </c>
      <c r="H10" s="70">
        <f>'Income Statement'!H30</f>
        <v>29614.304028185052</v>
      </c>
      <c r="I10" s="70">
        <f>'Income Statement'!I30</f>
        <v>40933.64501353477</v>
      </c>
      <c r="J10" s="70">
        <f>'Income Statement'!J30</f>
        <v>53450.207160854763</v>
      </c>
      <c r="K10" s="70">
        <f>'Income Statement'!K30</f>
        <v>66524.713177929385</v>
      </c>
      <c r="L10" s="70">
        <f>'Income Statement'!L30</f>
        <v>79543.361131433427</v>
      </c>
      <c r="M10" s="70">
        <f>'Income Statement'!M30</f>
        <v>91996.389624838193</v>
      </c>
      <c r="N10" s="70">
        <f>'Income Statement'!N30</f>
        <v>103517.99602975431</v>
      </c>
      <c r="O10" s="70">
        <f>'Income Statement'!O30</f>
        <v>113890.10210877391</v>
      </c>
      <c r="P10" s="70">
        <f>'Income Statement'!P30</f>
        <v>123019.16673146457</v>
      </c>
      <c r="Q10" s="70">
        <f>'Income Statement'!Q30</f>
        <v>130907.35795558768</v>
      </c>
    </row>
    <row r="11" spans="2:17" x14ac:dyDescent="0.25">
      <c r="B11" s="1" t="s">
        <v>62</v>
      </c>
      <c r="C11" s="205"/>
      <c r="D11" s="205"/>
      <c r="E11" s="205"/>
      <c r="F11" s="205"/>
      <c r="G11" s="205"/>
      <c r="H11" s="70"/>
      <c r="I11" s="70"/>
      <c r="J11" s="70"/>
      <c r="K11" s="70"/>
      <c r="L11" s="70"/>
      <c r="M11" s="70"/>
      <c r="N11" s="70"/>
      <c r="O11" s="70"/>
      <c r="P11" s="70"/>
      <c r="Q11" s="70"/>
    </row>
    <row r="12" spans="2:17" x14ac:dyDescent="0.25">
      <c r="B12" t="s">
        <v>63</v>
      </c>
      <c r="C12" s="205">
        <v>0.88</v>
      </c>
      <c r="D12" s="205">
        <v>0.77</v>
      </c>
      <c r="E12" s="205">
        <v>0.72</v>
      </c>
      <c r="F12" s="205">
        <v>0.72</v>
      </c>
      <c r="G12" s="205">
        <v>0.72</v>
      </c>
      <c r="H12" s="70">
        <f>'Income Statement'!H22</f>
        <v>1.2064297509540971</v>
      </c>
      <c r="I12" s="70">
        <f>'Income Statement'!I22</f>
        <v>1.2018634186958705</v>
      </c>
      <c r="J12" s="70">
        <f>'Income Statement'!J22</f>
        <v>1.1973143699887798</v>
      </c>
      <c r="K12" s="70">
        <f>'Income Statement'!K22</f>
        <v>1.6654841281051882</v>
      </c>
      <c r="L12" s="70">
        <f>'Income Statement'!L22</f>
        <v>1.6566820504921609</v>
      </c>
      <c r="M12" s="70">
        <f>'Income Statement'!M22</f>
        <v>1.6479264918275873</v>
      </c>
      <c r="N12" s="70">
        <f>'Income Statement'!N22</f>
        <v>2.1044636559438969</v>
      </c>
      <c r="O12" s="70">
        <f>'Income Statement'!O22</f>
        <v>2.0901848776248309</v>
      </c>
      <c r="P12" s="70">
        <f>'Income Statement'!P22</f>
        <v>2.0760029807651854</v>
      </c>
      <c r="Q12" s="70">
        <f>'Income Statement'!Q22</f>
        <v>2.5177577804380111</v>
      </c>
    </row>
    <row r="13" spans="2:17" x14ac:dyDescent="0.25">
      <c r="B13" t="s">
        <v>64</v>
      </c>
      <c r="C13" s="205">
        <v>-11446.14</v>
      </c>
      <c r="D13" s="205">
        <v>-42760.92</v>
      </c>
      <c r="E13" s="205">
        <v>-22153.14</v>
      </c>
      <c r="F13" s="205">
        <v>-18121.32</v>
      </c>
      <c r="G13" s="205">
        <v>-25453.08</v>
      </c>
      <c r="H13" s="70">
        <f>-'Income Statement'!H27</f>
        <v>-26806.142239527624</v>
      </c>
      <c r="I13" s="70">
        <f>-'Income Statement'!I27</f>
        <v>-37051.71077484687</v>
      </c>
      <c r="J13" s="70">
        <f>-'Income Statement'!J27</f>
        <v>-48380.930435100665</v>
      </c>
      <c r="K13" s="70">
        <f>-'Income Statement'!K27</f>
        <v>-60215.59451520165</v>
      </c>
      <c r="L13" s="70">
        <f>-'Income Statement'!L27</f>
        <v>-71999.267579148611</v>
      </c>
      <c r="M13" s="70">
        <f>-'Income Statement'!M27</f>
        <v>-83270.976668157251</v>
      </c>
      <c r="N13" s="70">
        <f>-'Income Statement'!N27</f>
        <v>-93700.040808614373</v>
      </c>
      <c r="O13" s="70">
        <f>-'Income Statement'!O27</f>
        <v>-103088.22165775455</v>
      </c>
      <c r="P13" s="70">
        <f>-'Income Statement'!P27</f>
        <v>-111351.27776733329</v>
      </c>
      <c r="Q13" s="70">
        <f>-'Income Statement'!Q27</f>
        <v>-118491.58412837955</v>
      </c>
    </row>
    <row r="14" spans="2:17" x14ac:dyDescent="0.25">
      <c r="B14" t="s">
        <v>65</v>
      </c>
      <c r="C14" s="205">
        <v>-579.16</v>
      </c>
      <c r="D14" s="205">
        <v>-838.7</v>
      </c>
      <c r="E14" s="205">
        <v>-59.77</v>
      </c>
      <c r="F14" s="205">
        <v>-1158.21</v>
      </c>
      <c r="G14" s="205">
        <v>-1932.81</v>
      </c>
      <c r="H14" s="16"/>
      <c r="I14" s="16"/>
      <c r="J14" s="16"/>
      <c r="K14" s="16"/>
      <c r="L14" s="16"/>
      <c r="M14" s="16"/>
      <c r="N14" s="16"/>
      <c r="O14" s="16"/>
      <c r="P14" s="16"/>
      <c r="Q14" s="16"/>
    </row>
    <row r="15" spans="2:17" x14ac:dyDescent="0.25">
      <c r="B15" t="s">
        <v>66</v>
      </c>
      <c r="C15" s="205">
        <v>-613.05999999999995</v>
      </c>
      <c r="D15" s="205">
        <v>-1812.89</v>
      </c>
      <c r="E15" s="205"/>
      <c r="F15" s="205"/>
      <c r="G15" s="205"/>
      <c r="H15" s="16"/>
      <c r="I15" s="16"/>
      <c r="J15" s="16"/>
      <c r="K15" s="16"/>
      <c r="L15" s="16"/>
      <c r="M15" s="16"/>
      <c r="N15" s="16"/>
      <c r="O15" s="16"/>
      <c r="P15" s="16"/>
      <c r="Q15" s="16"/>
    </row>
    <row r="16" spans="2:17" x14ac:dyDescent="0.25">
      <c r="B16" t="s">
        <v>91</v>
      </c>
      <c r="C16" s="205"/>
      <c r="D16" s="205"/>
      <c r="E16" s="205"/>
      <c r="F16" s="205"/>
      <c r="G16" s="205">
        <v>13.89</v>
      </c>
      <c r="H16" s="16"/>
      <c r="I16" s="16"/>
      <c r="J16" s="16"/>
      <c r="K16" s="16"/>
      <c r="L16" s="16"/>
      <c r="M16" s="16"/>
      <c r="N16" s="16"/>
      <c r="O16" s="16"/>
      <c r="P16" s="16"/>
      <c r="Q16" s="16"/>
    </row>
    <row r="17" spans="2:17" x14ac:dyDescent="0.25">
      <c r="B17" t="s">
        <v>88</v>
      </c>
      <c r="C17" s="205"/>
      <c r="D17" s="205"/>
      <c r="E17" s="205"/>
      <c r="F17" s="205">
        <v>46.23</v>
      </c>
      <c r="G17" s="205">
        <v>181.97</v>
      </c>
      <c r="H17" s="16"/>
      <c r="I17" s="16"/>
      <c r="J17" s="16"/>
      <c r="K17" s="16"/>
      <c r="L17" s="16"/>
      <c r="M17" s="16"/>
      <c r="N17" s="16"/>
      <c r="O17" s="16"/>
      <c r="P17" s="16"/>
      <c r="Q17" s="16"/>
    </row>
    <row r="18" spans="2:17" x14ac:dyDescent="0.25">
      <c r="B18" t="s">
        <v>89</v>
      </c>
      <c r="C18" s="205"/>
      <c r="D18" s="205"/>
      <c r="E18" s="205"/>
      <c r="F18" s="205">
        <v>-4.62</v>
      </c>
      <c r="G18" s="205">
        <v>-0.97</v>
      </c>
      <c r="H18" s="16"/>
      <c r="I18" s="16"/>
      <c r="J18" s="16"/>
      <c r="K18" s="16"/>
      <c r="L18" s="16"/>
      <c r="M18" s="16"/>
      <c r="N18" s="16"/>
      <c r="O18" s="16"/>
      <c r="P18" s="16"/>
      <c r="Q18" s="16"/>
    </row>
    <row r="19" spans="2:17" ht="5.0999999999999996" customHeight="1" x14ac:dyDescent="0.25">
      <c r="C19" s="205"/>
      <c r="D19" s="205"/>
      <c r="E19" s="205"/>
      <c r="F19" s="205"/>
      <c r="G19" s="205"/>
      <c r="H19" s="16"/>
      <c r="I19" s="16"/>
      <c r="J19" s="16"/>
      <c r="K19" s="16"/>
      <c r="L19" s="16"/>
      <c r="M19" s="16"/>
      <c r="N19" s="16"/>
      <c r="O19" s="16"/>
      <c r="P19" s="16"/>
      <c r="Q19" s="16"/>
    </row>
    <row r="20" spans="2:17" x14ac:dyDescent="0.25">
      <c r="B20" s="1" t="s">
        <v>67</v>
      </c>
      <c r="C20" s="15">
        <f>SUM(C10:C19)</f>
        <v>683.95000000000027</v>
      </c>
      <c r="D20" s="15">
        <f>SUM(D10:D19)</f>
        <v>535.38000000000125</v>
      </c>
      <c r="E20" s="15">
        <f t="shared" ref="E20" si="1">SUM(E10:E19)</f>
        <v>279.91000000000031</v>
      </c>
      <c r="F20" s="15">
        <f t="shared" ref="F20" si="2">SUM(F10:F19)</f>
        <v>186.82000000000184</v>
      </c>
      <c r="G20" s="15">
        <f t="shared" ref="G20:H20" si="3">SUM(G10:G19)</f>
        <v>107.10999999999889</v>
      </c>
      <c r="H20" s="15">
        <f t="shared" si="3"/>
        <v>2809.3682184083809</v>
      </c>
      <c r="I20" s="15">
        <f t="shared" ref="I20:Q20" si="4">SUM(I10:I19)</f>
        <v>3883.1361021065968</v>
      </c>
      <c r="J20" s="15">
        <f t="shared" si="4"/>
        <v>5070.4740401240851</v>
      </c>
      <c r="K20" s="15">
        <f t="shared" si="4"/>
        <v>6310.7841468558472</v>
      </c>
      <c r="L20" s="15">
        <f t="shared" si="4"/>
        <v>7545.7502343353117</v>
      </c>
      <c r="M20" s="15">
        <f t="shared" si="4"/>
        <v>8727.0608831727732</v>
      </c>
      <c r="N20" s="15">
        <f t="shared" si="4"/>
        <v>9820.0596847958805</v>
      </c>
      <c r="O20" s="15">
        <f t="shared" si="4"/>
        <v>10803.970635896985</v>
      </c>
      <c r="P20" s="15">
        <f t="shared" si="4"/>
        <v>11669.964967112057</v>
      </c>
      <c r="Q20" s="15">
        <f t="shared" si="4"/>
        <v>12418.291584988576</v>
      </c>
    </row>
    <row r="21" spans="2:17" x14ac:dyDescent="0.25">
      <c r="B21" s="1" t="s">
        <v>62</v>
      </c>
      <c r="C21" s="16"/>
      <c r="D21" s="16"/>
      <c r="E21" s="16"/>
      <c r="F21" s="16"/>
      <c r="G21" s="16"/>
      <c r="H21" s="16"/>
      <c r="I21" s="16"/>
      <c r="J21" s="16"/>
      <c r="K21" s="16"/>
      <c r="L21" s="16"/>
      <c r="M21" s="16"/>
      <c r="N21" s="16"/>
      <c r="O21" s="16"/>
      <c r="P21" s="16"/>
      <c r="Q21" s="16"/>
    </row>
    <row r="22" spans="2:17" x14ac:dyDescent="0.25">
      <c r="B22" t="s">
        <v>80</v>
      </c>
      <c r="C22" s="205"/>
      <c r="D22" s="205">
        <v>1081.93</v>
      </c>
      <c r="E22" s="205">
        <v>132.38999999999999</v>
      </c>
      <c r="F22" s="205">
        <v>181.15</v>
      </c>
      <c r="G22" s="205">
        <v>43.34</v>
      </c>
      <c r="H22" s="70">
        <f>SUM('Balance Sheet'!G17,'Balance Sheet'!G20)-SUM('Balance Sheet'!H17,'Balance Sheet'!H20)</f>
        <v>-1758.9570530897099</v>
      </c>
      <c r="I22" s="70">
        <f>SUM('Balance Sheet'!H17,'Balance Sheet'!H20)-SUM('Balance Sheet'!I17,'Balance Sheet'!I20)</f>
        <v>-764.4489214540215</v>
      </c>
      <c r="J22" s="70">
        <f>SUM('Balance Sheet'!I17,'Balance Sheet'!I20)-SUM('Balance Sheet'!J17,'Balance Sheet'!J20)</f>
        <v>-845.30299322494875</v>
      </c>
      <c r="K22" s="70">
        <f>SUM('Balance Sheet'!J17,'Balance Sheet'!J20)-SUM('Balance Sheet'!K17,'Balance Sheet'!K20)</f>
        <v>-883.01553599650424</v>
      </c>
      <c r="L22" s="70">
        <f>SUM('Balance Sheet'!K17,'Balance Sheet'!K20)-SUM('Balance Sheet'!L17,'Balance Sheet'!L20)</f>
        <v>-879.21096164141454</v>
      </c>
      <c r="M22" s="70">
        <f>SUM('Balance Sheet'!L17,'Balance Sheet'!L20)-SUM('Balance Sheet'!M17,'Balance Sheet'!M20)</f>
        <v>-841.01197764987319</v>
      </c>
      <c r="N22" s="70">
        <f>SUM('Balance Sheet'!M17,'Balance Sheet'!M20)-SUM('Balance Sheet'!N17,'Balance Sheet'!N20)</f>
        <v>-778.14001306652062</v>
      </c>
      <c r="O22" s="70">
        <f>SUM('Balance Sheet'!N17,'Balance Sheet'!N20)-SUM('Balance Sheet'!O17,'Balance Sheet'!O20)</f>
        <v>-700.47696228864152</v>
      </c>
      <c r="P22" s="70">
        <f>SUM('Balance Sheet'!O17,'Balance Sheet'!O20)-SUM('Balance Sheet'!P17,'Balance Sheet'!P20)</f>
        <v>-616.52843462090095</v>
      </c>
      <c r="Q22" s="70">
        <f>SUM('Balance Sheet'!P17,'Balance Sheet'!P20)-SUM('Balance Sheet'!Q17,'Balance Sheet'!Q20)</f>
        <v>-532.75711130490527</v>
      </c>
    </row>
    <row r="23" spans="2:17" x14ac:dyDescent="0.25">
      <c r="B23" t="s">
        <v>81</v>
      </c>
      <c r="C23" s="205">
        <v>8146.86</v>
      </c>
      <c r="D23" s="205">
        <v>14.78</v>
      </c>
      <c r="E23" s="205">
        <v>-1.93</v>
      </c>
      <c r="F23" s="205">
        <v>1.79</v>
      </c>
      <c r="G23" s="205">
        <v>-0.85</v>
      </c>
      <c r="H23" s="70">
        <f>SUM('Balance Sheet'!G25:G26,'Balance Sheet'!G28)-SUM('Balance Sheet'!H25:H26,'Balance Sheet'!H28)</f>
        <v>-477.90698966469881</v>
      </c>
      <c r="I23" s="70">
        <f>SUM('Balance Sheet'!H25:H26,'Balance Sheet'!H28)-SUM('Balance Sheet'!I25:I26,'Balance Sheet'!I28)</f>
        <v>-415.11302105678624</v>
      </c>
      <c r="J23" s="70">
        <f>SUM('Balance Sheet'!I25:I26,'Balance Sheet'!I28)-SUM('Balance Sheet'!J25:J26,'Balance Sheet'!J28)</f>
        <v>-459.018607232161</v>
      </c>
      <c r="K23" s="70">
        <f>SUM('Balance Sheet'!J25:J26,'Balance Sheet'!J28)-SUM('Balance Sheet'!K25:K26,'Balance Sheet'!K28)</f>
        <v>-479.49736928189668</v>
      </c>
      <c r="L23" s="70">
        <f>SUM('Balance Sheet'!K25:K26,'Balance Sheet'!K28)-SUM('Balance Sheet'!L25:L26,'Balance Sheet'!L28)</f>
        <v>-477.43139952243564</v>
      </c>
      <c r="M23" s="70">
        <f>SUM('Balance Sheet'!L25:L26,'Balance Sheet'!L28)-SUM('Balance Sheet'!M25:M26,'Balance Sheet'!M28)</f>
        <v>-456.68848890929985</v>
      </c>
      <c r="N23" s="70">
        <f>SUM('Balance Sheet'!M25:M26,'Balance Sheet'!M28)-SUM('Balance Sheet'!N25:N26,'Balance Sheet'!N28)</f>
        <v>-422.54759286574381</v>
      </c>
      <c r="O23" s="70">
        <f>SUM('Balance Sheet'!N25:N26,'Balance Sheet'!N28)-SUM('Balance Sheet'!O25:O26,'Balance Sheet'!O28)</f>
        <v>-380.37480312385651</v>
      </c>
      <c r="P23" s="70">
        <f>SUM('Balance Sheet'!O25:O26,'Balance Sheet'!O28)-SUM('Balance Sheet'!P25:P26,'Balance Sheet'!P28)</f>
        <v>-334.78885754211569</v>
      </c>
      <c r="Q23" s="70">
        <f>SUM('Balance Sheet'!P25:P26,'Balance Sheet'!P28)-SUM('Balance Sheet'!Q25:Q26,'Balance Sheet'!Q28)</f>
        <v>-289.29913792358821</v>
      </c>
    </row>
    <row r="24" spans="2:17" x14ac:dyDescent="0.25">
      <c r="B24" t="s">
        <v>82</v>
      </c>
      <c r="C24" s="205"/>
      <c r="D24" s="205">
        <v>62.92</v>
      </c>
      <c r="E24" s="205">
        <v>-4.8899999999999997</v>
      </c>
      <c r="F24" s="205">
        <v>7.76</v>
      </c>
      <c r="G24" s="205">
        <v>-8.6300000000000008</v>
      </c>
      <c r="H24" s="70">
        <f>'Balance Sheet'!H37-'Balance Sheet'!G37</f>
        <v>49.349182263539433</v>
      </c>
      <c r="I24" s="70">
        <f>'Balance Sheet'!I37-'Balance Sheet'!H37</f>
        <v>21.537206048954502</v>
      </c>
      <c r="J24" s="70">
        <f>'Balance Sheet'!J37-'Balance Sheet'!I37</f>
        <v>23.815148701179353</v>
      </c>
      <c r="K24" s="70">
        <f>'Balance Sheet'!K37-'Balance Sheet'!J37</f>
        <v>24.877643240063833</v>
      </c>
      <c r="L24" s="70">
        <f>'Balance Sheet'!L37-'Balance Sheet'!K37</f>
        <v>24.77045504276964</v>
      </c>
      <c r="M24" s="70">
        <f>'Balance Sheet'!M37-'Balance Sheet'!L37</f>
        <v>23.694255749399275</v>
      </c>
      <c r="N24" s="70">
        <f>'Balance Sheet'!N37-'Balance Sheet'!M37</f>
        <v>21.922932096592405</v>
      </c>
      <c r="O24" s="70">
        <f>'Balance Sheet'!O37-'Balance Sheet'!N37</f>
        <v>19.734891692516527</v>
      </c>
      <c r="P24" s="70">
        <f>'Balance Sheet'!P37-'Balance Sheet'!O37</f>
        <v>17.369767369432225</v>
      </c>
      <c r="Q24" s="70">
        <f>'Balance Sheet'!Q37-'Balance Sheet'!P37</f>
        <v>15.009635514162511</v>
      </c>
    </row>
    <row r="25" spans="2:17" x14ac:dyDescent="0.25">
      <c r="B25" t="s">
        <v>83</v>
      </c>
      <c r="C25" s="205">
        <v>-259.43</v>
      </c>
      <c r="D25" s="205">
        <v>-20.54</v>
      </c>
      <c r="E25" s="205">
        <v>-4.58</v>
      </c>
      <c r="F25" s="205">
        <v>-53.4</v>
      </c>
      <c r="G25" s="205">
        <v>3.3</v>
      </c>
      <c r="H25" s="70">
        <f>SUM('Balance Sheet'!H42:H44)-SUM('Balance Sheet'!G42:G44)</f>
        <v>117.79245833174568</v>
      </c>
      <c r="I25" s="70">
        <f>SUM('Balance Sheet'!I42:I44)-SUM('Balance Sheet'!H42:H44)</f>
        <v>62.545740716608577</v>
      </c>
      <c r="J25" s="70">
        <f>SUM('Balance Sheet'!J42:J44)-SUM('Balance Sheet'!I42:I44)</f>
        <v>69.161065386368989</v>
      </c>
      <c r="K25" s="70">
        <f>SUM('Balance Sheet'!K42:K44)-SUM('Balance Sheet'!J42:J44)</f>
        <v>72.246633114644681</v>
      </c>
      <c r="L25" s="70">
        <f>SUM('Balance Sheet'!L42:L44)-SUM('Balance Sheet'!K42:K44)</f>
        <v>71.935350157115067</v>
      </c>
      <c r="M25" s="70">
        <f>SUM('Balance Sheet'!M42:M44)-SUM('Balance Sheet'!L42:L44)</f>
        <v>68.809982743647538</v>
      </c>
      <c r="N25" s="70">
        <f>SUM('Balance Sheet'!N42:N44)-SUM('Balance Sheet'!M42:M44)</f>
        <v>63.665919504347585</v>
      </c>
      <c r="O25" s="70">
        <f>SUM('Balance Sheet'!O42:O44)-SUM('Balance Sheet'!N42:N44)</f>
        <v>57.311678035898694</v>
      </c>
      <c r="P25" s="70">
        <f>SUM('Balance Sheet'!P42:P44)-SUM('Balance Sheet'!O42:O44)</f>
        <v>50.443170935306057</v>
      </c>
      <c r="Q25" s="70">
        <f>SUM('Balance Sheet'!Q42:Q44)-SUM('Balance Sheet'!P42:P44)</f>
        <v>43.589162354008408</v>
      </c>
    </row>
    <row r="26" spans="2:17" ht="5.0999999999999996" customHeight="1" x14ac:dyDescent="0.25">
      <c r="C26" s="205"/>
      <c r="D26" s="205"/>
      <c r="E26" s="205"/>
      <c r="F26" s="205"/>
      <c r="G26" s="205"/>
      <c r="H26" s="16"/>
      <c r="I26" s="16"/>
      <c r="J26" s="16"/>
      <c r="K26" s="16"/>
      <c r="L26" s="16"/>
      <c r="M26" s="16"/>
      <c r="N26" s="16"/>
      <c r="O26" s="16"/>
      <c r="P26" s="16"/>
      <c r="Q26" s="16"/>
    </row>
    <row r="27" spans="2:17" x14ac:dyDescent="0.25">
      <c r="B27" s="1" t="s">
        <v>68</v>
      </c>
      <c r="C27" s="15">
        <f>SUM(C20:C25)</f>
        <v>8571.3799999999992</v>
      </c>
      <c r="D27" s="15">
        <f t="shared" ref="D27:H27" si="5">SUM(D20:D25)</f>
        <v>1674.4700000000014</v>
      </c>
      <c r="E27" s="15">
        <f t="shared" si="5"/>
        <v>400.90000000000032</v>
      </c>
      <c r="F27" s="15">
        <f t="shared" si="5"/>
        <v>324.12000000000188</v>
      </c>
      <c r="G27" s="15">
        <f t="shared" si="5"/>
        <v>144.26999999999893</v>
      </c>
      <c r="H27" s="15">
        <f t="shared" si="5"/>
        <v>739.64581624925734</v>
      </c>
      <c r="I27" s="15">
        <f t="shared" ref="I27:Q27" si="6">SUM(I20:I25)</f>
        <v>2787.6571063613519</v>
      </c>
      <c r="J27" s="15">
        <f t="shared" si="6"/>
        <v>3859.1286537545238</v>
      </c>
      <c r="K27" s="15">
        <f t="shared" si="6"/>
        <v>5045.3955179321538</v>
      </c>
      <c r="L27" s="15">
        <f t="shared" si="6"/>
        <v>6285.8136783713462</v>
      </c>
      <c r="M27" s="15">
        <f t="shared" si="6"/>
        <v>7521.8646551066468</v>
      </c>
      <c r="N27" s="15">
        <f t="shared" si="6"/>
        <v>8704.9609304645564</v>
      </c>
      <c r="O27" s="15">
        <f t="shared" si="6"/>
        <v>9800.1654402129025</v>
      </c>
      <c r="P27" s="15">
        <f t="shared" si="6"/>
        <v>10786.460613253777</v>
      </c>
      <c r="Q27" s="15">
        <f t="shared" si="6"/>
        <v>11654.834133628254</v>
      </c>
    </row>
    <row r="28" spans="2:17" x14ac:dyDescent="0.25">
      <c r="B28" t="s">
        <v>69</v>
      </c>
      <c r="C28" s="16">
        <v>-357.11</v>
      </c>
      <c r="D28" s="16">
        <v>-2173.7399999999998</v>
      </c>
      <c r="E28" s="16">
        <v>-272.44</v>
      </c>
      <c r="F28" s="16">
        <v>-613.24</v>
      </c>
      <c r="G28" s="16">
        <v>-694.01</v>
      </c>
      <c r="H28" s="70">
        <f>-'Income Statement'!H32</f>
        <v>-1772.1537278638459</v>
      </c>
      <c r="I28" s="70">
        <f>-'Income Statement'!I32</f>
        <v>-2449.5160020222402</v>
      </c>
      <c r="J28" s="70">
        <f>-'Income Statement'!J32</f>
        <v>-3465.7723917359581</v>
      </c>
      <c r="K28" s="70">
        <f>-'Income Statement'!K32</f>
        <v>-4313.5382732262897</v>
      </c>
      <c r="L28" s="70">
        <f>-'Income Statement'!L32</f>
        <v>-5555.3990598263108</v>
      </c>
      <c r="M28" s="70">
        <f>-'Income Statement'!M32</f>
        <v>-6425.1327723600198</v>
      </c>
      <c r="N28" s="70">
        <f>-'Income Statement'!N32</f>
        <v>-7747.4048841048862</v>
      </c>
      <c r="O28" s="70">
        <f>-'Income Statement'!O32</f>
        <v>-8523.6651323418537</v>
      </c>
      <c r="P28" s="70">
        <f>-'Income Statement'!P32</f>
        <v>-9821.9905739681508</v>
      </c>
      <c r="Q28" s="70">
        <f>-'Income Statement'!Q32</f>
        <v>-10451.792757705254</v>
      </c>
    </row>
    <row r="29" spans="2:17" ht="5.0999999999999996" customHeight="1" x14ac:dyDescent="0.25">
      <c r="C29" s="16"/>
      <c r="D29" s="16"/>
      <c r="E29" s="16"/>
      <c r="F29" s="16"/>
      <c r="G29" s="16"/>
      <c r="H29" s="16"/>
      <c r="I29" s="16"/>
      <c r="J29" s="16"/>
      <c r="K29" s="16"/>
      <c r="L29" s="16"/>
      <c r="M29" s="16"/>
      <c r="N29" s="16"/>
      <c r="O29" s="16"/>
      <c r="P29" s="16"/>
      <c r="Q29" s="16"/>
    </row>
    <row r="30" spans="2:17" x14ac:dyDescent="0.25">
      <c r="B30" s="4" t="s">
        <v>70</v>
      </c>
      <c r="C30" s="74">
        <f>SUM(C27:C28)</f>
        <v>8214.2699999999986</v>
      </c>
      <c r="D30" s="74">
        <f t="shared" ref="D30:H30" si="7">SUM(D27:D28)</f>
        <v>-499.26999999999839</v>
      </c>
      <c r="E30" s="74">
        <f t="shared" si="7"/>
        <v>128.46000000000032</v>
      </c>
      <c r="F30" s="74">
        <f t="shared" si="7"/>
        <v>-289.11999999999813</v>
      </c>
      <c r="G30" s="74">
        <f t="shared" si="7"/>
        <v>-549.74000000000103</v>
      </c>
      <c r="H30" s="74">
        <f t="shared" si="7"/>
        <v>-1032.5079116145885</v>
      </c>
      <c r="I30" s="74">
        <f t="shared" ref="I30:Q30" si="8">SUM(I27:I28)</f>
        <v>338.14110433911173</v>
      </c>
      <c r="J30" s="74">
        <f t="shared" si="8"/>
        <v>393.35626201856576</v>
      </c>
      <c r="K30" s="74">
        <f t="shared" si="8"/>
        <v>731.8572447058641</v>
      </c>
      <c r="L30" s="74">
        <f t="shared" si="8"/>
        <v>730.41461854503541</v>
      </c>
      <c r="M30" s="74">
        <f t="shared" si="8"/>
        <v>1096.731882746627</v>
      </c>
      <c r="N30" s="74">
        <f t="shared" si="8"/>
        <v>957.55604635967029</v>
      </c>
      <c r="O30" s="74">
        <f t="shared" si="8"/>
        <v>1276.5003078710488</v>
      </c>
      <c r="P30" s="74">
        <f t="shared" si="8"/>
        <v>964.47003928562663</v>
      </c>
      <c r="Q30" s="74">
        <f t="shared" si="8"/>
        <v>1203.0413759229996</v>
      </c>
    </row>
    <row r="31" spans="2:17" x14ac:dyDescent="0.25">
      <c r="C31" s="16"/>
      <c r="D31" s="16"/>
      <c r="E31" s="16"/>
      <c r="F31" s="16"/>
      <c r="G31" s="16"/>
      <c r="H31" s="16"/>
      <c r="I31" s="16"/>
      <c r="J31" s="16"/>
      <c r="K31" s="16"/>
      <c r="L31" s="16"/>
      <c r="M31" s="16"/>
      <c r="N31" s="16"/>
      <c r="O31" s="16"/>
      <c r="P31" s="16"/>
      <c r="Q31" s="16"/>
    </row>
    <row r="32" spans="2:17" x14ac:dyDescent="0.25">
      <c r="B32" s="1" t="s">
        <v>71</v>
      </c>
      <c r="C32" s="16"/>
      <c r="D32" s="16"/>
      <c r="E32" s="16"/>
      <c r="F32" s="16"/>
      <c r="G32" s="16"/>
      <c r="H32" s="16"/>
      <c r="I32" s="16"/>
      <c r="J32" s="16"/>
      <c r="K32" s="16"/>
      <c r="L32" s="16"/>
      <c r="M32" s="16"/>
      <c r="N32" s="16"/>
      <c r="O32" s="16"/>
      <c r="P32" s="16"/>
      <c r="Q32" s="16"/>
    </row>
    <row r="33" spans="2:17" x14ac:dyDescent="0.25">
      <c r="B33" t="s">
        <v>84</v>
      </c>
      <c r="C33" s="205">
        <v>-8909.84</v>
      </c>
      <c r="D33" s="205">
        <v>-70.86</v>
      </c>
      <c r="E33" s="205">
        <v>-9506.7199999999993</v>
      </c>
      <c r="F33" s="205">
        <v>-3038.3</v>
      </c>
      <c r="G33" s="205">
        <v>-1245.5</v>
      </c>
      <c r="H33" s="70">
        <f>'Balance Sheet'!G18-'Balance Sheet'!H18</f>
        <v>-21806.484768189199</v>
      </c>
      <c r="I33" s="70">
        <f>'Balance Sheet'!H18-'Balance Sheet'!I18</f>
        <v>-24301.959773387061</v>
      </c>
      <c r="J33" s="70">
        <f>'Balance Sheet'!I18-'Balance Sheet'!J18</f>
        <v>-27155.369053971139</v>
      </c>
      <c r="K33" s="70">
        <f>'Balance Sheet'!J18-'Balance Sheet'!K18</f>
        <v>-30427.899837608682</v>
      </c>
      <c r="L33" s="70">
        <f>'Balance Sheet'!K18-'Balance Sheet'!L18</f>
        <v>-34192.799474708503</v>
      </c>
      <c r="M33" s="70">
        <f>'Balance Sheet'!L18-'Balance Sheet'!M18</f>
        <v>-38538.058044922363</v>
      </c>
      <c r="N33" s="70">
        <f>'Balance Sheet'!M18-'Balance Sheet'!N18</f>
        <v>-43569.754313632729</v>
      </c>
      <c r="O33" s="70">
        <f>'Balance Sheet'!N18-'Balance Sheet'!O18</f>
        <v>-49416.245353764039</v>
      </c>
      <c r="P33" s="70">
        <f>'Balance Sheet'!O18-'Balance Sheet'!P18</f>
        <v>-56233.433559987461</v>
      </c>
      <c r="Q33" s="70">
        <f>'Balance Sheet'!P18-'Balance Sheet'!Q18</f>
        <v>-64211.415314790676</v>
      </c>
    </row>
    <row r="34" spans="2:17" x14ac:dyDescent="0.25">
      <c r="B34" t="s">
        <v>85</v>
      </c>
      <c r="C34" s="205"/>
      <c r="D34" s="205">
        <v>-18525.04</v>
      </c>
      <c r="E34" s="205">
        <v>-23768.04</v>
      </c>
      <c r="F34" s="205">
        <v>-10597.06</v>
      </c>
      <c r="G34" s="205">
        <v>-12227.71</v>
      </c>
      <c r="H34" s="70">
        <f>'Balance Sheet'!G19-'Balance Sheet'!H19</f>
        <v>-1227.9000192421372</v>
      </c>
      <c r="I34" s="70">
        <f>'Balance Sheet'!H19-'Balance Sheet'!I19</f>
        <v>-1297.0164794051452</v>
      </c>
      <c r="J34" s="70">
        <f>'Balance Sheet'!I19-'Balance Sheet'!J19</f>
        <v>-1371.0462832457924</v>
      </c>
      <c r="K34" s="70">
        <f>'Balance Sheet'!J19-'Balance Sheet'!K19</f>
        <v>-1450.4152002956835</v>
      </c>
      <c r="L34" s="70">
        <f>'Balance Sheet'!K19-'Balance Sheet'!L19</f>
        <v>-1535.5922610019843</v>
      </c>
      <c r="M34" s="70">
        <f>'Balance Sheet'!L19-'Balance Sheet'!M19</f>
        <v>-1627.0947704519567</v>
      </c>
      <c r="N34" s="70">
        <f>'Balance Sheet'!M19-'Balance Sheet'!N19</f>
        <v>-1725.4939727410456</v>
      </c>
      <c r="O34" s="70">
        <f>'Balance Sheet'!N19-'Balance Sheet'!O19</f>
        <v>-1831.4214592764911</v>
      </c>
      <c r="P34" s="70">
        <f>'Balance Sheet'!O19-'Balance Sheet'!P19</f>
        <v>-1945.5764289364743</v>
      </c>
      <c r="Q34" s="70">
        <f>'Balance Sheet'!P19-'Balance Sheet'!Q19</f>
        <v>-2068.7339251207013</v>
      </c>
    </row>
    <row r="35" spans="2:17" x14ac:dyDescent="0.25">
      <c r="B35" t="s">
        <v>72</v>
      </c>
      <c r="C35" s="205">
        <v>7867.96</v>
      </c>
      <c r="D35" s="205">
        <v>11738.56</v>
      </c>
      <c r="E35" s="205">
        <v>33385.14</v>
      </c>
      <c r="F35" s="205">
        <v>11158.8</v>
      </c>
      <c r="G35" s="205">
        <v>10618.74</v>
      </c>
      <c r="H35" s="16"/>
      <c r="I35" s="16"/>
      <c r="J35" s="16"/>
      <c r="K35" s="16"/>
      <c r="L35" s="16"/>
      <c r="M35" s="16"/>
      <c r="N35" s="16"/>
      <c r="O35" s="16"/>
      <c r="P35" s="16"/>
      <c r="Q35" s="16"/>
    </row>
    <row r="36" spans="2:17" x14ac:dyDescent="0.25">
      <c r="B36" t="s">
        <v>90</v>
      </c>
      <c r="C36" s="205"/>
      <c r="D36" s="205"/>
      <c r="E36" s="205"/>
      <c r="F36" s="205">
        <v>2908.06</v>
      </c>
      <c r="G36" s="205">
        <v>3333.7</v>
      </c>
      <c r="H36" s="16"/>
      <c r="I36" s="16"/>
      <c r="J36" s="16"/>
      <c r="K36" s="16"/>
      <c r="L36" s="16"/>
      <c r="M36" s="16"/>
      <c r="N36" s="16"/>
      <c r="O36" s="16"/>
      <c r="P36" s="16"/>
      <c r="Q36" s="16"/>
    </row>
    <row r="37" spans="2:17" x14ac:dyDescent="0.25">
      <c r="B37" t="s">
        <v>86</v>
      </c>
      <c r="C37" s="205"/>
      <c r="D37" s="205"/>
      <c r="E37" s="205">
        <v>47.64</v>
      </c>
      <c r="F37" s="205"/>
      <c r="G37" s="205"/>
      <c r="H37" s="16"/>
      <c r="I37" s="16"/>
      <c r="J37" s="16"/>
      <c r="K37" s="16"/>
      <c r="L37" s="16"/>
      <c r="M37" s="16"/>
      <c r="N37" s="16"/>
      <c r="O37" s="16"/>
      <c r="P37" s="16"/>
      <c r="Q37" s="16"/>
    </row>
    <row r="38" spans="2:17" x14ac:dyDescent="0.25">
      <c r="B38" t="s">
        <v>64</v>
      </c>
      <c r="C38" s="205"/>
      <c r="D38" s="205"/>
      <c r="E38" s="205"/>
      <c r="F38" s="205"/>
      <c r="G38" s="205"/>
      <c r="H38" s="70">
        <f>'Income Statement'!H27</f>
        <v>26806.142239527624</v>
      </c>
      <c r="I38" s="70">
        <f>'Income Statement'!I27</f>
        <v>37051.71077484687</v>
      </c>
      <c r="J38" s="70">
        <f>'Income Statement'!J27</f>
        <v>48380.930435100665</v>
      </c>
      <c r="K38" s="70">
        <f>'Income Statement'!K27</f>
        <v>60215.59451520165</v>
      </c>
      <c r="L38" s="70">
        <f>'Income Statement'!L27</f>
        <v>71999.267579148611</v>
      </c>
      <c r="M38" s="70">
        <f>'Income Statement'!M27</f>
        <v>83270.976668157251</v>
      </c>
      <c r="N38" s="70">
        <f>'Income Statement'!N27</f>
        <v>93700.040808614373</v>
      </c>
      <c r="O38" s="70">
        <f>'Income Statement'!O27</f>
        <v>103088.22165775455</v>
      </c>
      <c r="P38" s="70">
        <f>'Income Statement'!P27</f>
        <v>111351.27776733329</v>
      </c>
      <c r="Q38" s="70">
        <f>'Income Statement'!Q27</f>
        <v>118491.58412837955</v>
      </c>
    </row>
    <row r="39" spans="2:17" x14ac:dyDescent="0.25">
      <c r="B39" t="s">
        <v>87</v>
      </c>
      <c r="C39" s="205"/>
      <c r="D39" s="205">
        <v>-1.64</v>
      </c>
      <c r="E39" s="205">
        <v>46.76</v>
      </c>
      <c r="F39" s="205">
        <v>7.8</v>
      </c>
      <c r="G39" s="205">
        <v>-4.55</v>
      </c>
      <c r="H39" s="70">
        <f>'Balance Sheet'!G14-'Balance Sheet'!H14</f>
        <v>0</v>
      </c>
      <c r="I39" s="70">
        <f>'Balance Sheet'!H14-'Balance Sheet'!I14</f>
        <v>0</v>
      </c>
      <c r="J39" s="70">
        <f>'Balance Sheet'!I14-'Balance Sheet'!J14</f>
        <v>0</v>
      </c>
      <c r="K39" s="70">
        <f>'Balance Sheet'!J14-'Balance Sheet'!K14</f>
        <v>0</v>
      </c>
      <c r="L39" s="70">
        <f>'Balance Sheet'!K14-'Balance Sheet'!L14</f>
        <v>0</v>
      </c>
      <c r="M39" s="70">
        <f>'Balance Sheet'!L14-'Balance Sheet'!M14</f>
        <v>0</v>
      </c>
      <c r="N39" s="70">
        <f>'Balance Sheet'!M14-'Balance Sheet'!N14</f>
        <v>0</v>
      </c>
      <c r="O39" s="70">
        <f>'Balance Sheet'!N14-'Balance Sheet'!O14</f>
        <v>0</v>
      </c>
      <c r="P39" s="70">
        <f>'Balance Sheet'!O14-'Balance Sheet'!P14</f>
        <v>0</v>
      </c>
      <c r="Q39" s="70">
        <f>'Balance Sheet'!P14-'Balance Sheet'!Q14</f>
        <v>0</v>
      </c>
    </row>
    <row r="40" spans="2:17" ht="5.0999999999999996" customHeight="1" x14ac:dyDescent="0.25">
      <c r="C40" s="16"/>
      <c r="D40" s="16"/>
      <c r="E40" s="16"/>
      <c r="F40" s="16"/>
      <c r="G40" s="16"/>
      <c r="H40" s="16"/>
      <c r="I40" s="16"/>
      <c r="J40" s="16"/>
      <c r="K40" s="16"/>
      <c r="L40" s="16"/>
      <c r="M40" s="16"/>
      <c r="N40" s="16"/>
      <c r="O40" s="16"/>
      <c r="P40" s="16"/>
      <c r="Q40" s="16"/>
    </row>
    <row r="41" spans="2:17" x14ac:dyDescent="0.25">
      <c r="B41" s="4" t="s">
        <v>73</v>
      </c>
      <c r="C41" s="74">
        <f t="shared" ref="C41:H41" si="9">SUM(C33:C39)</f>
        <v>-1041.8800000000001</v>
      </c>
      <c r="D41" s="74">
        <f t="shared" si="9"/>
        <v>-6858.9800000000023</v>
      </c>
      <c r="E41" s="74">
        <f t="shared" si="9"/>
        <v>204.77999999999736</v>
      </c>
      <c r="F41" s="74">
        <f t="shared" si="9"/>
        <v>439.29999999999865</v>
      </c>
      <c r="G41" s="74">
        <f t="shared" si="9"/>
        <v>474.68000000000046</v>
      </c>
      <c r="H41" s="74">
        <f t="shared" si="9"/>
        <v>3771.757452096288</v>
      </c>
      <c r="I41" s="74">
        <f t="shared" ref="I41:Q41" si="10">SUM(I33:I39)</f>
        <v>11452.734522054663</v>
      </c>
      <c r="J41" s="74">
        <f t="shared" si="10"/>
        <v>19854.515097883734</v>
      </c>
      <c r="K41" s="74">
        <f t="shared" si="10"/>
        <v>28337.279477297285</v>
      </c>
      <c r="L41" s="74">
        <f t="shared" si="10"/>
        <v>36270.875843438123</v>
      </c>
      <c r="M41" s="74">
        <f t="shared" si="10"/>
        <v>43105.823852782931</v>
      </c>
      <c r="N41" s="74">
        <f t="shared" si="10"/>
        <v>48404.792522240597</v>
      </c>
      <c r="O41" s="74">
        <f t="shared" si="10"/>
        <v>51840.554844714017</v>
      </c>
      <c r="P41" s="74">
        <f t="shared" si="10"/>
        <v>53172.267778409354</v>
      </c>
      <c r="Q41" s="74">
        <f t="shared" si="10"/>
        <v>52211.434888468168</v>
      </c>
    </row>
    <row r="42" spans="2:17" x14ac:dyDescent="0.25">
      <c r="C42" s="16"/>
      <c r="D42" s="16"/>
      <c r="E42" s="16"/>
      <c r="F42" s="16"/>
      <c r="G42" s="16"/>
      <c r="H42" s="16"/>
      <c r="I42" s="16"/>
      <c r="J42" s="16"/>
      <c r="K42" s="16"/>
      <c r="L42" s="16"/>
      <c r="M42" s="16"/>
      <c r="N42" s="16"/>
      <c r="O42" s="16"/>
      <c r="P42" s="16"/>
      <c r="Q42" s="16"/>
    </row>
    <row r="43" spans="2:17" x14ac:dyDescent="0.25">
      <c r="B43" s="1" t="s">
        <v>74</v>
      </c>
      <c r="C43" s="16"/>
      <c r="D43" s="16"/>
      <c r="E43" s="16"/>
      <c r="F43" s="16"/>
      <c r="G43" s="16"/>
      <c r="H43" s="16"/>
      <c r="I43" s="16"/>
      <c r="J43" s="16"/>
      <c r="K43" s="16"/>
      <c r="L43" s="16"/>
      <c r="M43" s="16"/>
      <c r="N43" s="16"/>
      <c r="O43" s="16"/>
      <c r="P43" s="16"/>
      <c r="Q43" s="16"/>
    </row>
    <row r="44" spans="2:17" x14ac:dyDescent="0.25">
      <c r="B44" t="s">
        <v>75</v>
      </c>
      <c r="C44" s="205">
        <v>-2.31</v>
      </c>
      <c r="D44" s="205">
        <v>-159.58000000000001</v>
      </c>
      <c r="E44" s="205">
        <v>-159.49</v>
      </c>
      <c r="F44" s="205">
        <v>-160.22</v>
      </c>
      <c r="G44" s="205">
        <v>-160.46</v>
      </c>
      <c r="H44" s="70">
        <f>-'Income Statement'!H37</f>
        <v>-143.46976874666794</v>
      </c>
      <c r="I44" s="70">
        <f>-'Income Statement'!I37</f>
        <v>-198.3075671290712</v>
      </c>
      <c r="J44" s="70">
        <f>-'Income Statement'!J37</f>
        <v>-257.56829914015839</v>
      </c>
      <c r="K44" s="70">
        <f>-'Income Statement'!K37</f>
        <v>-320.57232579960947</v>
      </c>
      <c r="L44" s="70">
        <f>-'Income Statement'!L37</f>
        <v>-381.25775825325712</v>
      </c>
      <c r="M44" s="70">
        <f>-'Income Statement'!M37</f>
        <v>-440.94613022203004</v>
      </c>
      <c r="N44" s="70">
        <f>-'Income Statement'!N37</f>
        <v>-493.50299514184763</v>
      </c>
      <c r="O44" s="70">
        <f>-'Income Statement'!O37</f>
        <v>-542.95010204347147</v>
      </c>
      <c r="P44" s="70">
        <f>-'Income Statement'!P37</f>
        <v>-583.30166710954381</v>
      </c>
      <c r="Q44" s="70">
        <f>-'Income Statement'!Q37</f>
        <v>-620.70392899897524</v>
      </c>
    </row>
    <row r="45" spans="2:17" ht="5.0999999999999996" customHeight="1" x14ac:dyDescent="0.25">
      <c r="C45" s="16"/>
      <c r="D45" s="16"/>
      <c r="E45" s="16"/>
      <c r="F45" s="16"/>
      <c r="G45" s="16"/>
      <c r="H45" s="16"/>
      <c r="I45" s="16"/>
      <c r="J45" s="16"/>
      <c r="K45" s="16"/>
      <c r="L45" s="16"/>
      <c r="M45" s="16"/>
      <c r="N45" s="16"/>
      <c r="O45" s="16"/>
      <c r="P45" s="16"/>
      <c r="Q45" s="16"/>
    </row>
    <row r="46" spans="2:17" x14ac:dyDescent="0.25">
      <c r="B46" s="4" t="s">
        <v>76</v>
      </c>
      <c r="C46" s="74">
        <f>SUM(C44)</f>
        <v>-2.31</v>
      </c>
      <c r="D46" s="74">
        <f t="shared" ref="D46:H46" si="11">SUM(D44)</f>
        <v>-159.58000000000001</v>
      </c>
      <c r="E46" s="74">
        <f t="shared" si="11"/>
        <v>-159.49</v>
      </c>
      <c r="F46" s="74">
        <f t="shared" si="11"/>
        <v>-160.22</v>
      </c>
      <c r="G46" s="74">
        <f t="shared" si="11"/>
        <v>-160.46</v>
      </c>
      <c r="H46" s="74">
        <f t="shared" si="11"/>
        <v>-143.46976874666794</v>
      </c>
      <c r="I46" s="74">
        <f t="shared" ref="I46:Q46" si="12">SUM(I44)</f>
        <v>-198.3075671290712</v>
      </c>
      <c r="J46" s="74">
        <f t="shared" si="12"/>
        <v>-257.56829914015839</v>
      </c>
      <c r="K46" s="74">
        <f t="shared" si="12"/>
        <v>-320.57232579960947</v>
      </c>
      <c r="L46" s="74">
        <f t="shared" si="12"/>
        <v>-381.25775825325712</v>
      </c>
      <c r="M46" s="74">
        <f t="shared" si="12"/>
        <v>-440.94613022203004</v>
      </c>
      <c r="N46" s="74">
        <f t="shared" si="12"/>
        <v>-493.50299514184763</v>
      </c>
      <c r="O46" s="74">
        <f t="shared" si="12"/>
        <v>-542.95010204347147</v>
      </c>
      <c r="P46" s="74">
        <f t="shared" si="12"/>
        <v>-583.30166710954381</v>
      </c>
      <c r="Q46" s="74">
        <f t="shared" si="12"/>
        <v>-620.70392899897524</v>
      </c>
    </row>
    <row r="47" spans="2:17" x14ac:dyDescent="0.25">
      <c r="C47" s="16"/>
      <c r="D47" s="16"/>
      <c r="E47" s="16"/>
      <c r="F47" s="16"/>
      <c r="G47" s="16"/>
      <c r="H47" s="16"/>
      <c r="I47" s="16"/>
      <c r="J47" s="16"/>
      <c r="K47" s="16"/>
      <c r="L47" s="16"/>
      <c r="M47" s="16"/>
      <c r="N47" s="16"/>
      <c r="O47" s="16"/>
      <c r="P47" s="16"/>
      <c r="Q47" s="16"/>
    </row>
    <row r="48" spans="2:17" x14ac:dyDescent="0.25">
      <c r="B48" s="4" t="s">
        <v>77</v>
      </c>
      <c r="C48" s="74">
        <f t="shared" ref="C48:H48" si="13">C46+C41+C30</f>
        <v>7170.0799999999981</v>
      </c>
      <c r="D48" s="74">
        <f t="shared" si="13"/>
        <v>-7517.8300000000008</v>
      </c>
      <c r="E48" s="74">
        <f t="shared" si="13"/>
        <v>173.74999999999767</v>
      </c>
      <c r="F48" s="74">
        <f t="shared" si="13"/>
        <v>-10.039999999999452</v>
      </c>
      <c r="G48" s="74">
        <f t="shared" si="13"/>
        <v>-235.52000000000055</v>
      </c>
      <c r="H48" s="74">
        <f t="shared" si="13"/>
        <v>2595.7797717350318</v>
      </c>
      <c r="I48" s="74">
        <f t="shared" ref="I48:Q48" si="14">I46+I41+I30</f>
        <v>11592.568059264704</v>
      </c>
      <c r="J48" s="74">
        <f t="shared" si="14"/>
        <v>19990.30306076214</v>
      </c>
      <c r="K48" s="74">
        <f t="shared" si="14"/>
        <v>28748.564396203539</v>
      </c>
      <c r="L48" s="74">
        <f t="shared" si="14"/>
        <v>36620.032703729907</v>
      </c>
      <c r="M48" s="74">
        <f t="shared" si="14"/>
        <v>43761.609605307531</v>
      </c>
      <c r="N48" s="74">
        <f t="shared" si="14"/>
        <v>48868.84557345842</v>
      </c>
      <c r="O48" s="74">
        <f t="shared" si="14"/>
        <v>52574.105050541599</v>
      </c>
      <c r="P48" s="74">
        <f t="shared" si="14"/>
        <v>53553.436150585432</v>
      </c>
      <c r="Q48" s="74">
        <f t="shared" si="14"/>
        <v>52793.77233539219</v>
      </c>
    </row>
    <row r="49" spans="2:17" x14ac:dyDescent="0.25">
      <c r="B49" s="5" t="s">
        <v>78</v>
      </c>
      <c r="C49" s="205">
        <v>468.75</v>
      </c>
      <c r="D49" s="205">
        <f>C50</f>
        <v>7638.8299999999981</v>
      </c>
      <c r="E49" s="205">
        <f>D50</f>
        <v>120.99</v>
      </c>
      <c r="F49" s="205">
        <f t="shared" ref="F49:H49" si="15">E50</f>
        <v>294.73999999999768</v>
      </c>
      <c r="G49" s="205">
        <f t="shared" si="15"/>
        <v>284.69999999999823</v>
      </c>
      <c r="H49" s="16">
        <f t="shared" si="15"/>
        <v>49.179999999997676</v>
      </c>
      <c r="I49" s="16">
        <f t="shared" ref="I49" si="16">H50</f>
        <v>2644.9597717350293</v>
      </c>
      <c r="J49" s="16">
        <f t="shared" ref="J49" si="17">I50</f>
        <v>14237.527830999734</v>
      </c>
      <c r="K49" s="16">
        <f t="shared" ref="K49" si="18">J50</f>
        <v>34227.830891761871</v>
      </c>
      <c r="L49" s="16">
        <f t="shared" ref="L49" si="19">K50</f>
        <v>62976.39528796541</v>
      </c>
      <c r="M49" s="16">
        <f t="shared" ref="M49" si="20">L50</f>
        <v>99596.427991695324</v>
      </c>
      <c r="N49" s="16">
        <f t="shared" ref="N49" si="21">M50</f>
        <v>143358.03759700287</v>
      </c>
      <c r="O49" s="16">
        <f t="shared" ref="O49" si="22">N50</f>
        <v>192226.88317046128</v>
      </c>
      <c r="P49" s="16">
        <f t="shared" ref="P49" si="23">O50</f>
        <v>244800.98822100289</v>
      </c>
      <c r="Q49" s="16">
        <f t="shared" ref="Q49" si="24">P50</f>
        <v>298354.42437158833</v>
      </c>
    </row>
    <row r="50" spans="2:17" ht="15.75" thickBot="1" x14ac:dyDescent="0.3">
      <c r="B50" s="6" t="s">
        <v>79</v>
      </c>
      <c r="C50" s="91">
        <f>SUM(C48:C49)</f>
        <v>7638.8299999999981</v>
      </c>
      <c r="D50" s="91">
        <v>120.99</v>
      </c>
      <c r="E50" s="91">
        <f t="shared" ref="E50:H50" si="25">SUM(E48:E49)</f>
        <v>294.73999999999768</v>
      </c>
      <c r="F50" s="91">
        <f t="shared" si="25"/>
        <v>284.69999999999823</v>
      </c>
      <c r="G50" s="91">
        <f t="shared" si="25"/>
        <v>49.179999999997676</v>
      </c>
      <c r="H50" s="91">
        <f t="shared" si="25"/>
        <v>2644.9597717350293</v>
      </c>
      <c r="I50" s="91">
        <f t="shared" ref="I50:Q50" si="26">SUM(I48:I49)</f>
        <v>14237.527830999734</v>
      </c>
      <c r="J50" s="91">
        <f t="shared" si="26"/>
        <v>34227.830891761871</v>
      </c>
      <c r="K50" s="91">
        <f t="shared" si="26"/>
        <v>62976.39528796541</v>
      </c>
      <c r="L50" s="91">
        <f t="shared" si="26"/>
        <v>99596.427991695324</v>
      </c>
      <c r="M50" s="91">
        <f t="shared" si="26"/>
        <v>143358.03759700287</v>
      </c>
      <c r="N50" s="91">
        <f t="shared" si="26"/>
        <v>192226.88317046128</v>
      </c>
      <c r="O50" s="91">
        <f t="shared" si="26"/>
        <v>244800.98822100289</v>
      </c>
      <c r="P50" s="91">
        <f t="shared" si="26"/>
        <v>298354.42437158833</v>
      </c>
      <c r="Q50" s="91">
        <f t="shared" si="26"/>
        <v>351148.19670698053</v>
      </c>
    </row>
    <row r="51" spans="2:17" x14ac:dyDescent="0.25">
      <c r="D51" s="3"/>
      <c r="E51" s="3"/>
      <c r="F51" s="3"/>
      <c r="G51" s="3"/>
    </row>
    <row r="52" spans="2:17" x14ac:dyDescent="0.25">
      <c r="C52" s="3"/>
      <c r="D52" s="3"/>
      <c r="E52" s="3"/>
      <c r="F52" s="3"/>
      <c r="G52" s="3"/>
      <c r="H52" s="3"/>
    </row>
    <row r="53" spans="2:17" x14ac:dyDescent="0.25">
      <c r="C53" s="3"/>
      <c r="D53" s="3"/>
      <c r="E53" s="3"/>
      <c r="F53" s="3"/>
      <c r="G53" s="3"/>
      <c r="H53" s="3"/>
    </row>
    <row r="54" spans="2:17" x14ac:dyDescent="0.25">
      <c r="C54" s="3"/>
      <c r="D54" s="3"/>
      <c r="E54" s="3"/>
      <c r="F54" s="3"/>
      <c r="G54" s="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Q80"/>
  <sheetViews>
    <sheetView showGridLines="0" workbookViewId="0"/>
  </sheetViews>
  <sheetFormatPr defaultRowHeight="15" x14ac:dyDescent="0.25"/>
  <cols>
    <col min="1" max="1" width="1.85546875" customWidth="1"/>
    <col min="2" max="2" width="29" bestFit="1" customWidth="1"/>
    <col min="3" max="17" width="9.5703125" bestFit="1" customWidth="1"/>
  </cols>
  <sheetData>
    <row r="7" spans="2:17" x14ac:dyDescent="0.25">
      <c r="B7" s="406" t="s">
        <v>359</v>
      </c>
      <c r="C7" s="406"/>
      <c r="D7" s="406"/>
      <c r="E7" s="406"/>
      <c r="F7" s="406"/>
      <c r="G7" s="406"/>
      <c r="H7" s="406"/>
      <c r="I7" s="406"/>
      <c r="J7" s="406"/>
      <c r="K7" s="406"/>
      <c r="L7" s="406"/>
      <c r="M7" s="406"/>
      <c r="N7" s="406"/>
      <c r="O7" s="406"/>
      <c r="P7" s="406"/>
      <c r="Q7" s="406"/>
    </row>
    <row r="8" spans="2:17" x14ac:dyDescent="0.25">
      <c r="B8" s="408" t="s">
        <v>360</v>
      </c>
      <c r="C8" s="408"/>
      <c r="D8" s="408"/>
      <c r="E8" s="408"/>
      <c r="F8" s="408"/>
      <c r="G8" s="408"/>
      <c r="H8" s="408"/>
      <c r="I8" s="408"/>
      <c r="J8" s="408"/>
      <c r="K8" s="408"/>
      <c r="L8" s="408"/>
      <c r="M8" s="408"/>
      <c r="N8" s="408"/>
      <c r="O8" s="408"/>
      <c r="P8" s="408"/>
      <c r="Q8" s="408"/>
    </row>
    <row r="9" spans="2:17" x14ac:dyDescent="0.25">
      <c r="B9" s="11" t="s">
        <v>0</v>
      </c>
      <c r="C9" s="13">
        <v>2021</v>
      </c>
      <c r="D9" s="13">
        <f>C9+1</f>
        <v>2022</v>
      </c>
      <c r="E9" s="13">
        <f t="shared" ref="E9:Q9" si="0">D9+1</f>
        <v>2023</v>
      </c>
      <c r="F9" s="13">
        <f t="shared" si="0"/>
        <v>2024</v>
      </c>
      <c r="G9" s="13">
        <f t="shared" si="0"/>
        <v>2025</v>
      </c>
      <c r="H9" s="14">
        <f t="shared" si="0"/>
        <v>2026</v>
      </c>
      <c r="I9" s="14">
        <f t="shared" si="0"/>
        <v>2027</v>
      </c>
      <c r="J9" s="14">
        <f t="shared" si="0"/>
        <v>2028</v>
      </c>
      <c r="K9" s="14">
        <f t="shared" si="0"/>
        <v>2029</v>
      </c>
      <c r="L9" s="14">
        <f t="shared" si="0"/>
        <v>2030</v>
      </c>
      <c r="M9" s="14">
        <f t="shared" si="0"/>
        <v>2031</v>
      </c>
      <c r="N9" s="14">
        <f t="shared" si="0"/>
        <v>2032</v>
      </c>
      <c r="O9" s="14">
        <f t="shared" si="0"/>
        <v>2033</v>
      </c>
      <c r="P9" s="14">
        <f t="shared" si="0"/>
        <v>2034</v>
      </c>
      <c r="Q9" s="14">
        <f t="shared" si="0"/>
        <v>2035</v>
      </c>
    </row>
    <row r="11" spans="2:17" x14ac:dyDescent="0.25">
      <c r="B11" s="1" t="s">
        <v>1</v>
      </c>
    </row>
    <row r="12" spans="2:17" x14ac:dyDescent="0.25">
      <c r="B12" t="s">
        <v>2</v>
      </c>
      <c r="C12" s="12">
        <f>'Income Statement'!C10/'Income Statement'!C$13</f>
        <v>0.39419057775800981</v>
      </c>
      <c r="D12" s="12">
        <f>'Income Statement'!D10/'Income Statement'!D$13</f>
        <v>0.11897127487571588</v>
      </c>
      <c r="E12" s="12">
        <f>'Income Statement'!E10/'Income Statement'!E$13</f>
        <v>0.5704817741524344</v>
      </c>
      <c r="F12" s="12">
        <f>'Income Statement'!F10/'Income Statement'!F$13</f>
        <v>6.9034245334299693E-2</v>
      </c>
      <c r="G12" s="12">
        <f>'Income Statement'!G10/'Income Statement'!G$13</f>
        <v>5.2458267840991918E-2</v>
      </c>
      <c r="H12" s="12">
        <f>'Income Statement'!H10/'Income Statement'!H$13</f>
        <v>0.24102722799229034</v>
      </c>
      <c r="I12" s="12">
        <f>'Income Statement'!I10/'Income Statement'!I$13</f>
        <v>0.24102722799229037</v>
      </c>
      <c r="J12" s="12">
        <f>'Income Statement'!J10/'Income Statement'!J$13</f>
        <v>0.24102722799229037</v>
      </c>
      <c r="K12" s="12">
        <f>'Income Statement'!K10/'Income Statement'!K$13</f>
        <v>0.24102722799229034</v>
      </c>
      <c r="L12" s="12">
        <f>'Income Statement'!L10/'Income Statement'!L$13</f>
        <v>0.24102722799229037</v>
      </c>
      <c r="M12" s="12">
        <f>'Income Statement'!M10/'Income Statement'!M$13</f>
        <v>0.2410272279922904</v>
      </c>
      <c r="N12" s="12">
        <f>'Income Statement'!N10/'Income Statement'!N$13</f>
        <v>0.2410272279922904</v>
      </c>
      <c r="O12" s="12">
        <f>'Income Statement'!O10/'Income Statement'!O$13</f>
        <v>0.24102722799229037</v>
      </c>
      <c r="P12" s="12">
        <f>'Income Statement'!P10/'Income Statement'!P$13</f>
        <v>0.24102722799229037</v>
      </c>
      <c r="Q12" s="12">
        <f>'Income Statement'!Q10/'Income Statement'!Q$13</f>
        <v>0.24102722799229037</v>
      </c>
    </row>
    <row r="13" spans="2:17" x14ac:dyDescent="0.25">
      <c r="B13" t="s">
        <v>3</v>
      </c>
      <c r="C13" s="12">
        <f>'Income Statement'!C11/'Income Statement'!C$13</f>
        <v>3.2246488519138139E-3</v>
      </c>
      <c r="D13" s="12">
        <f>'Income Statement'!D11/'Income Statement'!D$13</f>
        <v>7.9686909744783097E-2</v>
      </c>
      <c r="E13" s="12">
        <f>'Income Statement'!E11/'Income Statement'!E$13</f>
        <v>0.32794629960064581</v>
      </c>
      <c r="F13" s="12">
        <f>'Income Statement'!F11/'Income Statement'!F$13</f>
        <v>0.15371142115117473</v>
      </c>
      <c r="G13" s="12">
        <f>'Income Statement'!G11/'Income Statement'!G$13</f>
        <v>9.8932218719540582E-2</v>
      </c>
      <c r="H13" s="12">
        <f>'Income Statement'!H11/'Income Statement'!H$13</f>
        <v>0.13270029961361157</v>
      </c>
      <c r="I13" s="12">
        <f>'Income Statement'!I11/'Income Statement'!I$13</f>
        <v>0.13270029961361157</v>
      </c>
      <c r="J13" s="12">
        <f>'Income Statement'!J11/'Income Statement'!J$13</f>
        <v>0.13270029961361157</v>
      </c>
      <c r="K13" s="12">
        <f>'Income Statement'!K11/'Income Statement'!K$13</f>
        <v>0.1327002996136116</v>
      </c>
      <c r="L13" s="12">
        <f>'Income Statement'!L11/'Income Statement'!L$13</f>
        <v>0.13270029961361157</v>
      </c>
      <c r="M13" s="12">
        <f>'Income Statement'!M11/'Income Statement'!M$13</f>
        <v>0.1327002996136116</v>
      </c>
      <c r="N13" s="12">
        <f>'Income Statement'!N11/'Income Statement'!N$13</f>
        <v>0.1327002996136116</v>
      </c>
      <c r="O13" s="12">
        <f>'Income Statement'!O11/'Income Statement'!O$13</f>
        <v>0.1327002996136116</v>
      </c>
      <c r="P13" s="12">
        <f>'Income Statement'!P11/'Income Statement'!P$13</f>
        <v>0.13270029961361157</v>
      </c>
      <c r="Q13" s="12">
        <f>'Income Statement'!Q11/'Income Statement'!Q$13</f>
        <v>0.13270029961361157</v>
      </c>
    </row>
    <row r="14" spans="2:17" x14ac:dyDescent="0.25">
      <c r="B14" t="s">
        <v>4</v>
      </c>
      <c r="C14" s="12">
        <f>'Income Statement'!C12/'Income Statement'!C$13</f>
        <v>0.60258477339007643</v>
      </c>
      <c r="D14" s="12">
        <f>'Income Statement'!D12/'Income Statement'!D$13</f>
        <v>0.80134181537950111</v>
      </c>
      <c r="E14" s="12">
        <f>'Income Statement'!E12/'Income Statement'!E$13</f>
        <v>0.10157192624691989</v>
      </c>
      <c r="F14" s="12">
        <f>'Income Statement'!F12/'Income Statement'!F$13</f>
        <v>0.77725433351452555</v>
      </c>
      <c r="G14" s="12">
        <f>'Income Statement'!G12/'Income Statement'!G$13</f>
        <v>0.84860951343946756</v>
      </c>
      <c r="H14" s="12">
        <f>'Income Statement'!H12/'Income Statement'!H$13</f>
        <v>0.626272472394098</v>
      </c>
      <c r="I14" s="12">
        <f>'Income Statement'!I12/'Income Statement'!I$13</f>
        <v>0.626272472394098</v>
      </c>
      <c r="J14" s="12">
        <f>'Income Statement'!J12/'Income Statement'!J$13</f>
        <v>0.626272472394098</v>
      </c>
      <c r="K14" s="12">
        <f>'Income Statement'!K12/'Income Statement'!K$13</f>
        <v>0.626272472394098</v>
      </c>
      <c r="L14" s="12">
        <f>'Income Statement'!L12/'Income Statement'!L$13</f>
        <v>0.626272472394098</v>
      </c>
      <c r="M14" s="12">
        <f>'Income Statement'!M12/'Income Statement'!M$13</f>
        <v>0.62627247239409811</v>
      </c>
      <c r="N14" s="12">
        <f>'Income Statement'!N12/'Income Statement'!N$13</f>
        <v>0.62627247239409811</v>
      </c>
      <c r="O14" s="12">
        <f>'Income Statement'!O12/'Income Statement'!O$13</f>
        <v>0.626272472394098</v>
      </c>
      <c r="P14" s="12">
        <f>'Income Statement'!P12/'Income Statement'!P$13</f>
        <v>0.626272472394098</v>
      </c>
      <c r="Q14" s="12">
        <f>'Income Statement'!Q12/'Income Statement'!Q$13</f>
        <v>0.62627247239409811</v>
      </c>
    </row>
    <row r="15" spans="2:17" x14ac:dyDescent="0.25">
      <c r="B15" s="4" t="s">
        <v>5</v>
      </c>
      <c r="C15" s="146">
        <f>'Income Statement'!C13/'Income Statement'!C$13</f>
        <v>1</v>
      </c>
      <c r="D15" s="146">
        <f>'Income Statement'!D13/'Income Statement'!D$13</f>
        <v>1</v>
      </c>
      <c r="E15" s="146">
        <f>'Income Statement'!E13/'Income Statement'!E$13</f>
        <v>1</v>
      </c>
      <c r="F15" s="146">
        <f>'Income Statement'!F13/'Income Statement'!F$13</f>
        <v>1</v>
      </c>
      <c r="G15" s="146">
        <f>'Income Statement'!G13/'Income Statement'!G$13</f>
        <v>1</v>
      </c>
      <c r="H15" s="146">
        <f>'Income Statement'!H13/'Income Statement'!H$13</f>
        <v>1</v>
      </c>
      <c r="I15" s="146">
        <f>'Income Statement'!I13/'Income Statement'!I$13</f>
        <v>1</v>
      </c>
      <c r="J15" s="146">
        <f>'Income Statement'!J13/'Income Statement'!J$13</f>
        <v>1</v>
      </c>
      <c r="K15" s="146">
        <f>'Income Statement'!K13/'Income Statement'!K$13</f>
        <v>1</v>
      </c>
      <c r="L15" s="146">
        <f>'Income Statement'!L13/'Income Statement'!L$13</f>
        <v>1</v>
      </c>
      <c r="M15" s="146">
        <f>'Income Statement'!M13/'Income Statement'!M$13</f>
        <v>1</v>
      </c>
      <c r="N15" s="146">
        <f>'Income Statement'!N13/'Income Statement'!N$13</f>
        <v>1</v>
      </c>
      <c r="O15" s="146">
        <f>'Income Statement'!O13/'Income Statement'!O$13</f>
        <v>1</v>
      </c>
      <c r="P15" s="146">
        <f>'Income Statement'!P13/'Income Statement'!P$13</f>
        <v>1</v>
      </c>
      <c r="Q15" s="146">
        <f>'Income Statement'!Q13/'Income Statement'!Q$13</f>
        <v>1</v>
      </c>
    </row>
    <row r="17" spans="2:17" x14ac:dyDescent="0.25">
      <c r="B17" s="1" t="s">
        <v>8</v>
      </c>
    </row>
    <row r="18" spans="2:17" x14ac:dyDescent="0.25">
      <c r="B18" t="s">
        <v>102</v>
      </c>
      <c r="C18" s="12">
        <f>'Income Statement'!C16/'Income Statement'!C$13</f>
        <v>2.8359725247787477E-2</v>
      </c>
      <c r="D18" s="12">
        <f>'Income Statement'!D16/'Income Statement'!D$13</f>
        <v>2.4729899212741203E-2</v>
      </c>
      <c r="E18" s="12">
        <f>'Income Statement'!E16/'Income Statement'!E$13</f>
        <v>0.21160676353131108</v>
      </c>
      <c r="F18" s="12">
        <f>'Income Statement'!F16/'Income Statement'!F$13</f>
        <v>3.2453544321636364E-2</v>
      </c>
      <c r="G18" s="12">
        <f>'Income Statement'!G16/'Income Statement'!G$13</f>
        <v>2.7225788322898466E-2</v>
      </c>
      <c r="H18" s="12">
        <f>'Income Statement'!H16/'Income Statement'!H$13</f>
        <v>6.4875144127274922E-2</v>
      </c>
      <c r="I18" s="12">
        <f>'Income Statement'!I16/'Income Statement'!I$13</f>
        <v>6.4875144127274909E-2</v>
      </c>
      <c r="J18" s="12">
        <f>'Income Statement'!J16/'Income Statement'!J$13</f>
        <v>6.4875144127274909E-2</v>
      </c>
      <c r="K18" s="12">
        <f>'Income Statement'!K16/'Income Statement'!K$13</f>
        <v>6.4875144127274909E-2</v>
      </c>
      <c r="L18" s="12">
        <f>'Income Statement'!L16/'Income Statement'!L$13</f>
        <v>6.4875144127274909E-2</v>
      </c>
      <c r="M18" s="12">
        <f>'Income Statement'!M16/'Income Statement'!M$13</f>
        <v>6.4875144127274922E-2</v>
      </c>
      <c r="N18" s="12">
        <f>'Income Statement'!N16/'Income Statement'!N$13</f>
        <v>6.4875144127274922E-2</v>
      </c>
      <c r="O18" s="12">
        <f>'Income Statement'!O16/'Income Statement'!O$13</f>
        <v>6.4875144127274909E-2</v>
      </c>
      <c r="P18" s="12">
        <f>'Income Statement'!P16/'Income Statement'!P$13</f>
        <v>6.4875144127274922E-2</v>
      </c>
      <c r="Q18" s="12">
        <f>'Income Statement'!Q16/'Income Statement'!Q$13</f>
        <v>6.4875144127274909E-2</v>
      </c>
    </row>
    <row r="19" spans="2:17" x14ac:dyDescent="0.25">
      <c r="B19" t="s">
        <v>10</v>
      </c>
      <c r="C19" s="12">
        <f>'Income Statement'!C17/'Income Statement'!C$13</f>
        <v>8.6388241656600168E-2</v>
      </c>
      <c r="D19" s="12">
        <f>'Income Statement'!D17/'Income Statement'!D$13</f>
        <v>6.8181749497574773E-2</v>
      </c>
      <c r="E19" s="12">
        <f>'Income Statement'!E17/'Income Statement'!E$13</f>
        <v>0.53092021412184565</v>
      </c>
      <c r="F19" s="12">
        <f>'Income Statement'!F17/'Income Statement'!F$13</f>
        <v>0.25874923664378274</v>
      </c>
      <c r="G19" s="12">
        <f>'Income Statement'!G17/'Income Statement'!G$13</f>
        <v>0.24421984352086828</v>
      </c>
      <c r="H19" s="12">
        <f>'Income Statement'!H17/'Income Statement'!H$13</f>
        <v>0.23769185708813423</v>
      </c>
      <c r="I19" s="12">
        <f>'Income Statement'!I17/'Income Statement'!I$13</f>
        <v>0.23769185708813423</v>
      </c>
      <c r="J19" s="12">
        <f>'Income Statement'!J17/'Income Statement'!J$13</f>
        <v>0.23769185708813423</v>
      </c>
      <c r="K19" s="12">
        <f>'Income Statement'!K17/'Income Statement'!K$13</f>
        <v>0.23769185708813426</v>
      </c>
      <c r="L19" s="12">
        <f>'Income Statement'!L17/'Income Statement'!L$13</f>
        <v>0.23769185708813423</v>
      </c>
      <c r="M19" s="12">
        <f>'Income Statement'!M17/'Income Statement'!M$13</f>
        <v>0.23769185708813426</v>
      </c>
      <c r="N19" s="12">
        <f>'Income Statement'!N17/'Income Statement'!N$13</f>
        <v>0.23769185708813428</v>
      </c>
      <c r="O19" s="12">
        <f>'Income Statement'!O17/'Income Statement'!O$13</f>
        <v>0.23769185708813426</v>
      </c>
      <c r="P19" s="12">
        <f>'Income Statement'!P17/'Income Statement'!P$13</f>
        <v>0.23769185708813426</v>
      </c>
      <c r="Q19" s="12">
        <f>'Income Statement'!Q17/'Income Statement'!Q$13</f>
        <v>0.23769185708813426</v>
      </c>
    </row>
    <row r="20" spans="2:17" x14ac:dyDescent="0.25">
      <c r="B20" s="4" t="s">
        <v>11</v>
      </c>
      <c r="C20" s="146">
        <f>'Income Statement'!C18/'Income Statement'!C$13</f>
        <v>0.11474796690438763</v>
      </c>
      <c r="D20" s="146">
        <f>'Income Statement'!D18/'Income Statement'!D$13</f>
        <v>9.2911648710315972E-2</v>
      </c>
      <c r="E20" s="146">
        <f>'Income Statement'!E18/'Income Statement'!E$13</f>
        <v>0.74252697765315667</v>
      </c>
      <c r="F20" s="146">
        <f>'Income Statement'!F18/'Income Statement'!F$13</f>
        <v>0.29120278096541913</v>
      </c>
      <c r="G20" s="146">
        <f>'Income Statement'!G18/'Income Statement'!G$13</f>
        <v>0.27144563184376674</v>
      </c>
      <c r="H20" s="146">
        <f>'Income Statement'!H18/'Income Statement'!H$13</f>
        <v>0.30256700121540914</v>
      </c>
      <c r="I20" s="146">
        <f>'Income Statement'!I18/'Income Statement'!I$13</f>
        <v>0.30256700121540914</v>
      </c>
      <c r="J20" s="146">
        <f>'Income Statement'!J18/'Income Statement'!J$13</f>
        <v>0.30256700121540914</v>
      </c>
      <c r="K20" s="146">
        <f>'Income Statement'!K18/'Income Statement'!K$13</f>
        <v>0.30256700121540919</v>
      </c>
      <c r="L20" s="146">
        <f>'Income Statement'!L18/'Income Statement'!L$13</f>
        <v>0.30256700121540914</v>
      </c>
      <c r="M20" s="146">
        <f>'Income Statement'!M18/'Income Statement'!M$13</f>
        <v>0.30256700121540919</v>
      </c>
      <c r="N20" s="146">
        <f>'Income Statement'!N18/'Income Statement'!N$13</f>
        <v>0.30256700121540919</v>
      </c>
      <c r="O20" s="146">
        <f>'Income Statement'!O18/'Income Statement'!O$13</f>
        <v>0.30256700121540914</v>
      </c>
      <c r="P20" s="146">
        <f>'Income Statement'!P18/'Income Statement'!P$13</f>
        <v>0.30256700121540919</v>
      </c>
      <c r="Q20" s="146">
        <f>'Income Statement'!Q18/'Income Statement'!Q$13</f>
        <v>0.30256700121540919</v>
      </c>
    </row>
    <row r="21" spans="2:17" x14ac:dyDescent="0.25">
      <c r="C21" s="12"/>
      <c r="D21" s="12"/>
      <c r="E21" s="12"/>
      <c r="F21" s="12"/>
      <c r="G21" s="12"/>
      <c r="H21" s="12"/>
      <c r="I21" s="12"/>
      <c r="J21" s="12"/>
      <c r="K21" s="12"/>
      <c r="L21" s="12"/>
      <c r="M21" s="12"/>
      <c r="N21" s="12"/>
      <c r="O21" s="12"/>
      <c r="P21" s="12"/>
      <c r="Q21" s="12"/>
    </row>
    <row r="22" spans="2:17" x14ac:dyDescent="0.25">
      <c r="B22" s="4" t="s">
        <v>133</v>
      </c>
      <c r="C22" s="146">
        <f>'Income Statement'!C20/'Income Statement'!C$13</f>
        <v>0.8852520330956124</v>
      </c>
      <c r="D22" s="146">
        <f>'Income Statement'!D20/'Income Statement'!D$13</f>
        <v>0.90708835128968401</v>
      </c>
      <c r="E22" s="146">
        <f>'Income Statement'!E20/'Income Statement'!E$13</f>
        <v>0.25747302234684333</v>
      </c>
      <c r="F22" s="146">
        <f>'Income Statement'!F20/'Income Statement'!F$13</f>
        <v>0.70879721903458082</v>
      </c>
      <c r="G22" s="146">
        <f>'Income Statement'!G20/'Income Statement'!G$13</f>
        <v>0.7285543681562332</v>
      </c>
      <c r="H22" s="146">
        <f>'Income Statement'!H20/'Income Statement'!H$13</f>
        <v>0.69743299878459086</v>
      </c>
      <c r="I22" s="146">
        <f>'Income Statement'!I20/'Income Statement'!I$13</f>
        <v>0.69743299878459086</v>
      </c>
      <c r="J22" s="146">
        <f>'Income Statement'!J20/'Income Statement'!J$13</f>
        <v>0.69743299878459086</v>
      </c>
      <c r="K22" s="146">
        <f>'Income Statement'!K20/'Income Statement'!K$13</f>
        <v>0.69743299878459086</v>
      </c>
      <c r="L22" s="146">
        <f>'Income Statement'!L20/'Income Statement'!L$13</f>
        <v>0.69743299878459086</v>
      </c>
      <c r="M22" s="146">
        <f>'Income Statement'!M20/'Income Statement'!M$13</f>
        <v>0.69743299878459086</v>
      </c>
      <c r="N22" s="146">
        <f>'Income Statement'!N20/'Income Statement'!N$13</f>
        <v>0.69743299878459075</v>
      </c>
      <c r="O22" s="146">
        <f>'Income Statement'!O20/'Income Statement'!O$13</f>
        <v>0.69743299878459086</v>
      </c>
      <c r="P22" s="146">
        <f>'Income Statement'!P20/'Income Statement'!P$13</f>
        <v>0.69743299878459075</v>
      </c>
      <c r="Q22" s="146">
        <f>'Income Statement'!Q20/'Income Statement'!Q$13</f>
        <v>0.69743299878459075</v>
      </c>
    </row>
    <row r="24" spans="2:17" x14ac:dyDescent="0.25">
      <c r="B24" t="s">
        <v>134</v>
      </c>
      <c r="C24" s="286">
        <f>'Income Statement'!C22/'Income Statement'!C$13</f>
        <v>4.4477915198811227E-4</v>
      </c>
      <c r="D24" s="286">
        <f>'Income Statement'!D22/'Income Statement'!D$13</f>
        <v>2.3270221671527224E-4</v>
      </c>
      <c r="E24" s="286">
        <f>'Income Statement'!E22/'Income Statement'!E$13</f>
        <v>1.2235534030079023E-3</v>
      </c>
      <c r="F24" s="286">
        <f>'Income Statement'!F22/'Income Statement'!F$13</f>
        <v>4.8317931992510716E-4</v>
      </c>
      <c r="G24" s="286">
        <f>'Income Statement'!G22/'Income Statement'!G$13</f>
        <v>3.1611945803075142E-4</v>
      </c>
      <c r="H24" s="286">
        <f>'Income Statement'!H22/'Income Statement'!H$13</f>
        <v>3.5843979998692068E-4</v>
      </c>
      <c r="I24" s="286">
        <f>'Income Statement'!I22/'Income Statement'!I$13</f>
        <v>2.583422019562641E-4</v>
      </c>
      <c r="J24" s="286">
        <f>'Income Statement'!J22/'Income Statement'!J$13</f>
        <v>1.9709812107366129E-4</v>
      </c>
      <c r="K24" s="286">
        <f>'Income Statement'!K22/'Income Statement'!K$13</f>
        <v>2.2028251449596309E-4</v>
      </c>
      <c r="L24" s="286">
        <f>'Income Statement'!L22/'Income Statement'!L$13</f>
        <v>1.8325658696458191E-4</v>
      </c>
      <c r="M24" s="286">
        <f>'Income Statement'!M22/'Income Statement'!M$13</f>
        <v>1.5761323484001278E-4</v>
      </c>
      <c r="N24" s="286">
        <f>'Income Statement'!N22/'Income Statement'!N$13</f>
        <v>1.7887520948929529E-4</v>
      </c>
      <c r="O24" s="286">
        <f>'Income Statement'!O22/'Income Statement'!O$13</f>
        <v>1.6148201465328315E-4</v>
      </c>
      <c r="P24" s="286">
        <f>'Income Statement'!P22/'Income Statement'!P$13</f>
        <v>1.4848455211250391E-4</v>
      </c>
      <c r="Q24" s="286">
        <f>'Income Statement'!Q22/'Income Statement'!Q$13</f>
        <v>1.692290617436631E-4</v>
      </c>
    </row>
    <row r="26" spans="2:17" x14ac:dyDescent="0.25">
      <c r="B26" s="4" t="s">
        <v>135</v>
      </c>
      <c r="C26" s="146">
        <f>'Income Statement'!C24/'Income Statement'!C$13</f>
        <v>0.88480725394362425</v>
      </c>
      <c r="D26" s="146">
        <f>'Income Statement'!D24/'Income Statement'!D$13</f>
        <v>0.90685564907296878</v>
      </c>
      <c r="E26" s="146">
        <f>'Income Statement'!E24/'Income Statement'!E$13</f>
        <v>0.25624946894383543</v>
      </c>
      <c r="F26" s="146">
        <f>'Income Statement'!F24/'Income Statement'!F$13</f>
        <v>0.70831403971465567</v>
      </c>
      <c r="G26" s="146">
        <f>'Income Statement'!G24/'Income Statement'!G$13</f>
        <v>0.72823824869820253</v>
      </c>
      <c r="H26" s="146">
        <f>'Income Statement'!H24/'Income Statement'!H$13</f>
        <v>0.69707455898460391</v>
      </c>
      <c r="I26" s="146">
        <f>'Income Statement'!I24/'Income Statement'!I$13</f>
        <v>0.69717465658263467</v>
      </c>
      <c r="J26" s="146">
        <f>'Income Statement'!J24/'Income Statement'!J$13</f>
        <v>0.69723590066351726</v>
      </c>
      <c r="K26" s="146">
        <f>'Income Statement'!K24/'Income Statement'!K$13</f>
        <v>0.69721271627009485</v>
      </c>
      <c r="L26" s="146">
        <f>'Income Statement'!L24/'Income Statement'!L$13</f>
        <v>0.69724974219762625</v>
      </c>
      <c r="M26" s="146">
        <f>'Income Statement'!M24/'Income Statement'!M$13</f>
        <v>0.69727538554975077</v>
      </c>
      <c r="N26" s="146">
        <f>'Income Statement'!N24/'Income Statement'!N$13</f>
        <v>0.69725412357510153</v>
      </c>
      <c r="O26" s="146">
        <f>'Income Statement'!O24/'Income Statement'!O$13</f>
        <v>0.69727151676993759</v>
      </c>
      <c r="P26" s="146">
        <f>'Income Statement'!P24/'Income Statement'!P$13</f>
        <v>0.69728451423247828</v>
      </c>
      <c r="Q26" s="146">
        <f>'Income Statement'!Q24/'Income Statement'!Q$13</f>
        <v>0.69726376972284709</v>
      </c>
    </row>
    <row r="27" spans="2:17" x14ac:dyDescent="0.25">
      <c r="B27" s="78"/>
      <c r="C27" s="293"/>
      <c r="D27" s="293"/>
      <c r="E27" s="293"/>
      <c r="F27" s="293"/>
      <c r="G27" s="293"/>
      <c r="H27" s="293"/>
      <c r="I27" s="293"/>
      <c r="J27" s="293"/>
      <c r="K27" s="293"/>
      <c r="L27" s="293"/>
      <c r="M27" s="293"/>
      <c r="N27" s="293"/>
      <c r="O27" s="293"/>
      <c r="P27" s="293"/>
      <c r="Q27" s="293"/>
    </row>
    <row r="28" spans="2:17" x14ac:dyDescent="0.25">
      <c r="B28" s="151" t="s">
        <v>387</v>
      </c>
      <c r="C28" s="294">
        <f>'Income Statement'!C26/'Income Statement'!C$13</f>
        <v>6.302217325158832E-2</v>
      </c>
      <c r="D28" s="294">
        <f>'Income Statement'!D26/'Income Statement'!D$13</f>
        <v>5.6047991054564143E-2</v>
      </c>
      <c r="E28" s="294">
        <f>'Income Statement'!E26/'Income Statement'!E$13</f>
        <v>0.31977228311666245</v>
      </c>
      <c r="F28" s="294">
        <f>'Income Statement'!F26/'Income Statement'!F$13</f>
        <v>0.16590498815539584</v>
      </c>
      <c r="G28" s="294">
        <f>'Income Statement'!G26/'Income Statement'!G$13</f>
        <v>8.1514914691651813E-2</v>
      </c>
      <c r="H28" s="294">
        <f>'Income Statement'!H26/'Income Statement'!H$13</f>
        <v>0.13725247005397251</v>
      </c>
      <c r="I28" s="294">
        <f>'Income Statement'!I26/'Income Statement'!I$13</f>
        <v>0.13725247005397248</v>
      </c>
      <c r="J28" s="294">
        <f>'Income Statement'!J26/'Income Statement'!J$13</f>
        <v>0.13725247005397248</v>
      </c>
      <c r="K28" s="294">
        <f>'Income Statement'!K26/'Income Statement'!K$13</f>
        <v>0.13725247005397248</v>
      </c>
      <c r="L28" s="294">
        <f>'Income Statement'!L26/'Income Statement'!L$13</f>
        <v>0.13725247005397248</v>
      </c>
      <c r="M28" s="294">
        <f>'Income Statement'!M26/'Income Statement'!M$13</f>
        <v>0.13725247005397251</v>
      </c>
      <c r="N28" s="294">
        <f>'Income Statement'!N26/'Income Statement'!N$13</f>
        <v>0.13725247005397251</v>
      </c>
      <c r="O28" s="294">
        <f>'Income Statement'!O26/'Income Statement'!O$13</f>
        <v>0.13725247005397248</v>
      </c>
      <c r="P28" s="294">
        <f>'Income Statement'!P26/'Income Statement'!P$13</f>
        <v>0.13725247005397248</v>
      </c>
      <c r="Q28" s="294">
        <f>'Income Statement'!Q26/'Income Statement'!Q$13</f>
        <v>0.13725247005397248</v>
      </c>
    </row>
    <row r="29" spans="2:17" x14ac:dyDescent="0.25">
      <c r="B29" t="s">
        <v>13</v>
      </c>
      <c r="C29" s="294">
        <f>'Income Statement'!C27/'Income Statement'!C$13</f>
        <v>5.7852323212922849</v>
      </c>
      <c r="D29" s="294">
        <f>'Income Statement'!D27/'Income Statement'!D$13</f>
        <v>12.922806328291452</v>
      </c>
      <c r="E29" s="294">
        <f>'Income Statement'!E27/'Income Statement'!E$13</f>
        <v>37.646596992097891</v>
      </c>
      <c r="F29" s="294">
        <f>'Income Statement'!F27/'Income Statement'!F$13</f>
        <v>12.16089871353506</v>
      </c>
      <c r="G29" s="294">
        <f>'Income Statement'!G27/'Income Statement'!G$13</f>
        <v>11.17529702057411</v>
      </c>
      <c r="H29" s="294">
        <f>'Income Statement'!H27/'Income Statement'!H$13</f>
        <v>7.9643164097689869</v>
      </c>
      <c r="I29" s="294">
        <f>'Income Statement'!I27/'Income Statement'!I$13</f>
        <v>7.9643164097689869</v>
      </c>
      <c r="J29" s="294">
        <f>'Income Statement'!J27/'Income Statement'!J$13</f>
        <v>7.964316409768986</v>
      </c>
      <c r="K29" s="294">
        <f>'Income Statement'!K27/'Income Statement'!K$13</f>
        <v>7.9643164097689869</v>
      </c>
      <c r="L29" s="294">
        <f>'Income Statement'!L27/'Income Statement'!L$13</f>
        <v>7.9643164097689869</v>
      </c>
      <c r="M29" s="294">
        <f>'Income Statement'!M27/'Income Statement'!M$13</f>
        <v>7.9643164097689878</v>
      </c>
      <c r="N29" s="294">
        <f>'Income Statement'!N27/'Income Statement'!N$13</f>
        <v>7.9643164097689878</v>
      </c>
      <c r="O29" s="294">
        <f>'Income Statement'!O27/'Income Statement'!O$13</f>
        <v>7.9643164097689869</v>
      </c>
      <c r="P29" s="294">
        <f>'Income Statement'!P27/'Income Statement'!P$13</f>
        <v>7.9643164097689869</v>
      </c>
      <c r="Q29" s="294">
        <f>'Income Statement'!Q27/'Income Statement'!Q$13</f>
        <v>7.9643164097689869</v>
      </c>
    </row>
    <row r="30" spans="2:17" x14ac:dyDescent="0.25">
      <c r="B30" s="4" t="s">
        <v>136</v>
      </c>
      <c r="C30" s="146">
        <f>'Income Statement'!C30/'Income Statement'!C$13</f>
        <v>6.7330617484874979</v>
      </c>
      <c r="D30" s="146">
        <f>'Income Statement'!D30/'Income Statement'!D$13</f>
        <v>13.885709968418984</v>
      </c>
      <c r="E30" s="146">
        <f>'Income Statement'!E30/'Income Statement'!E$13</f>
        <v>38.222618744158382</v>
      </c>
      <c r="F30" s="146">
        <f>'Income Statement'!F30/'Income Statement'!F$13</f>
        <v>13.035117741405111</v>
      </c>
      <c r="G30" s="146">
        <f>'Income Statement'!G30/'Income Statement'!G$13</f>
        <v>11.985050183963965</v>
      </c>
      <c r="H30" s="146">
        <f>'Income Statement'!H30/'Income Statement'!H$13</f>
        <v>8.7986434388075647</v>
      </c>
      <c r="I30" s="146">
        <f>'Income Statement'!I30/'Income Statement'!I$13</f>
        <v>8.7987435364055937</v>
      </c>
      <c r="J30" s="146">
        <f>'Income Statement'!J30/'Income Statement'!J$13</f>
        <v>8.798804780486476</v>
      </c>
      <c r="K30" s="146">
        <f>'Income Statement'!K30/'Income Statement'!K$13</f>
        <v>8.798781596093054</v>
      </c>
      <c r="L30" s="146">
        <f>'Income Statement'!L30/'Income Statement'!L$13</f>
        <v>8.7988186220205868</v>
      </c>
      <c r="M30" s="146">
        <f>'Income Statement'!M30/'Income Statement'!M$13</f>
        <v>8.7988442653727112</v>
      </c>
      <c r="N30" s="146">
        <f>'Income Statement'!N30/'Income Statement'!N$13</f>
        <v>8.798823003398061</v>
      </c>
      <c r="O30" s="146">
        <f>'Income Statement'!O30/'Income Statement'!O$13</f>
        <v>8.7988403965928974</v>
      </c>
      <c r="P30" s="146">
        <f>'Income Statement'!P30/'Income Statement'!P$13</f>
        <v>8.7988533940554383</v>
      </c>
      <c r="Q30" s="146">
        <f>'Income Statement'!Q30/'Income Statement'!Q$13</f>
        <v>8.7988326495458065</v>
      </c>
    </row>
    <row r="32" spans="2:17" x14ac:dyDescent="0.25">
      <c r="B32" t="s">
        <v>137</v>
      </c>
      <c r="C32" s="12">
        <f>'Income Statement'!C32/'Income Statement'!C$13</f>
        <v>0.18715093681608888</v>
      </c>
      <c r="D32" s="12">
        <f>'Income Statement'!D32/'Income Statement'!D$13</f>
        <v>0.91850889254899593</v>
      </c>
      <c r="E32" s="12">
        <f>'Income Statement'!E32/'Income Statement'!E$13</f>
        <v>-0.59675418472257635</v>
      </c>
      <c r="F32" s="12">
        <f>'Income Statement'!F32/'Income Statement'!F$13</f>
        <v>0.62810627260708796</v>
      </c>
      <c r="G32" s="12">
        <f>'Income Statement'!G32/'Income Statement'!G$13</f>
        <v>0.65727382091832709</v>
      </c>
      <c r="H32" s="12">
        <f>'Income Statement'!H32/'Income Statement'!H$13</f>
        <v>0.52652085814299654</v>
      </c>
      <c r="I32" s="12">
        <f>'Income Statement'!I32/'Income Statement'!I$13</f>
        <v>0.52652684809742301</v>
      </c>
      <c r="J32" s="12">
        <f>'Income Statement'!J32/'Income Statement'!J$13</f>
        <v>0.57052453691550353</v>
      </c>
      <c r="K32" s="12">
        <f>'Income Statement'!K32/'Income Statement'!K$13</f>
        <v>0.5705230336129925</v>
      </c>
      <c r="L32" s="12">
        <f>'Income Statement'!L32/'Income Statement'!L$13</f>
        <v>0.61451952752646433</v>
      </c>
      <c r="M32" s="12">
        <f>'Income Statement'!M32/'Income Statement'!M$13</f>
        <v>0.61452131848742275</v>
      </c>
      <c r="N32" s="12">
        <f>'Income Statement'!N32/'Income Statement'!N$13</f>
        <v>0.65851394854385448</v>
      </c>
      <c r="O32" s="12">
        <f>'Income Statement'!O32/'Income Statement'!O$13</f>
        <v>0.65851525027039282</v>
      </c>
      <c r="P32" s="12">
        <f>'Income Statement'!P32/'Income Statement'!P$13</f>
        <v>0.70251048998559007</v>
      </c>
      <c r="Q32" s="12">
        <f>'Income Statement'!Q32/'Income Statement'!Q$13</f>
        <v>0.70250883372028206</v>
      </c>
    </row>
    <row r="34" spans="2:17" ht="15.75" thickBot="1" x14ac:dyDescent="0.3">
      <c r="B34" s="6" t="s">
        <v>138</v>
      </c>
      <c r="C34" s="287">
        <f>'Income Statement'!C34/'Income Statement'!C$13</f>
        <v>6.5459108116714093</v>
      </c>
      <c r="D34" s="287">
        <f>'Income Statement'!D34/'Income Statement'!D$13</f>
        <v>12.967201075869987</v>
      </c>
      <c r="E34" s="287">
        <f>'Income Statement'!E34/'Income Statement'!E$13</f>
        <v>38.819372928880959</v>
      </c>
      <c r="F34" s="287">
        <f>'Income Statement'!F34/'Income Statement'!F$13</f>
        <v>12.407011468798025</v>
      </c>
      <c r="G34" s="287">
        <f>'Income Statement'!G34/'Income Statement'!G$13</f>
        <v>11.327776363045636</v>
      </c>
      <c r="H34" s="287">
        <f>'Income Statement'!H34/'Income Statement'!H$13</f>
        <v>8.2721225806645666</v>
      </c>
      <c r="I34" s="287">
        <f>'Income Statement'!I34/'Income Statement'!I$13</f>
        <v>8.2722166883081716</v>
      </c>
      <c r="J34" s="287">
        <f>'Income Statement'!J34/'Income Statement'!J$13</f>
        <v>8.2282802435709712</v>
      </c>
      <c r="K34" s="287">
        <f>'Income Statement'!K34/'Income Statement'!K$13</f>
        <v>8.2282585624800628</v>
      </c>
      <c r="L34" s="287">
        <f>'Income Statement'!L34/'Income Statement'!L$13</f>
        <v>8.1842990944941221</v>
      </c>
      <c r="M34" s="287">
        <f>'Income Statement'!M34/'Income Statement'!M$13</f>
        <v>8.1843229468852883</v>
      </c>
      <c r="N34" s="287">
        <f>'Income Statement'!N34/'Income Statement'!N$13</f>
        <v>8.1403090548542067</v>
      </c>
      <c r="O34" s="287">
        <f>'Income Statement'!O34/'Income Statement'!O$13</f>
        <v>8.140325146322505</v>
      </c>
      <c r="P34" s="287">
        <f>'Income Statement'!P34/'Income Statement'!P$13</f>
        <v>8.0963429040698465</v>
      </c>
      <c r="Q34" s="287">
        <f>'Income Statement'!Q34/'Income Statement'!Q$13</f>
        <v>8.0963238158255244</v>
      </c>
    </row>
    <row r="35" spans="2:17" x14ac:dyDescent="0.25">
      <c r="B35" s="80"/>
    </row>
    <row r="36" spans="2:17" x14ac:dyDescent="0.25">
      <c r="B36" s="407" t="s">
        <v>361</v>
      </c>
      <c r="C36" s="407"/>
      <c r="D36" s="407"/>
      <c r="E36" s="407"/>
      <c r="F36" s="407"/>
      <c r="G36" s="407"/>
      <c r="H36" s="407"/>
      <c r="I36" s="407"/>
      <c r="J36" s="407"/>
      <c r="K36" s="407"/>
      <c r="L36" s="407"/>
      <c r="M36" s="407"/>
      <c r="N36" s="407"/>
      <c r="O36" s="407"/>
      <c r="P36" s="407"/>
      <c r="Q36" s="407"/>
    </row>
    <row r="37" spans="2:17" x14ac:dyDescent="0.25">
      <c r="B37" s="1" t="s">
        <v>22</v>
      </c>
    </row>
    <row r="38" spans="2:17" x14ac:dyDescent="0.25">
      <c r="B38" s="1" t="s">
        <v>23</v>
      </c>
    </row>
    <row r="39" spans="2:17" x14ac:dyDescent="0.25">
      <c r="B39" t="s">
        <v>24</v>
      </c>
      <c r="C39" s="280">
        <f>'Balance Sheet'!C13/'Balance Sheet'!C$32</f>
        <v>3.3106671036492001E-2</v>
      </c>
      <c r="D39" s="280">
        <f>'Balance Sheet'!D13/'Balance Sheet'!D$32</f>
        <v>4.3560560033483196E-4</v>
      </c>
      <c r="E39" s="280">
        <f>'Balance Sheet'!E13/'Balance Sheet'!E$32</f>
        <v>9.5056062404043731E-4</v>
      </c>
      <c r="F39" s="280">
        <f>'Balance Sheet'!F13/'Balance Sheet'!F$32</f>
        <v>8.6331039966086175E-4</v>
      </c>
      <c r="G39" s="280">
        <f>'Balance Sheet'!G13/'Balance Sheet'!G$32</f>
        <v>1.3888759452503863E-4</v>
      </c>
      <c r="H39" s="280">
        <f>'Balance Sheet'!H13/'Balance Sheet'!H$32</f>
        <v>6.9246106992533734E-3</v>
      </c>
      <c r="I39" s="280">
        <f>'Balance Sheet'!I13/'Balance Sheet'!I$32</f>
        <v>3.3871856807667224E-2</v>
      </c>
      <c r="J39" s="280">
        <f>'Balance Sheet'!J13/'Balance Sheet'!J$32</f>
        <v>7.2801183462277291E-2</v>
      </c>
      <c r="K39" s="280">
        <f>'Balance Sheet'!K13/'Balance Sheet'!K$32</f>
        <v>0.1183449619504207</v>
      </c>
      <c r="L39" s="280">
        <f>'Balance Sheet'!L13/'Balance Sheet'!L$32</f>
        <v>0.16439231581784539</v>
      </c>
      <c r="M39" s="280">
        <f>'Balance Sheet'!M13/'Balance Sheet'!M$32</f>
        <v>0.20744393785819376</v>
      </c>
      <c r="N39" s="280">
        <f>'Balance Sheet'!N13/'Balance Sheet'!N$32</f>
        <v>0.24442927783835147</v>
      </c>
      <c r="O39" s="280">
        <f>'Balance Sheet'!O13/'Balance Sheet'!O$32</f>
        <v>0.27464623679442068</v>
      </c>
      <c r="P39" s="280">
        <f>'Balance Sheet'!P13/'Balance Sheet'!P$32</f>
        <v>0.29716170079015697</v>
      </c>
      <c r="Q39" s="280">
        <f>'Balance Sheet'!Q13/'Balance Sheet'!Q$32</f>
        <v>0.31243522884229108</v>
      </c>
    </row>
    <row r="40" spans="2:17" x14ac:dyDescent="0.25">
      <c r="B40" t="s">
        <v>25</v>
      </c>
      <c r="C40" s="280">
        <f>'Balance Sheet'!C14/'Balance Sheet'!C$32</f>
        <v>4.2429836695836492E-5</v>
      </c>
      <c r="D40" s="280">
        <f>'Balance Sheet'!D14/'Balance Sheet'!D$32</f>
        <v>5.5006053078068958E-4</v>
      </c>
      <c r="E40" s="280">
        <f>'Balance Sheet'!E14/'Balance Sheet'!E$32</f>
        <v>3.4192317758284302E-4</v>
      </c>
      <c r="F40" s="280">
        <f>'Balance Sheet'!F14/'Balance Sheet'!F$32</f>
        <v>2.9783753935612868E-4</v>
      </c>
      <c r="G40" s="280">
        <f>'Balance Sheet'!G14/'Balance Sheet'!G$32</f>
        <v>2.9022932267869499E-4</v>
      </c>
      <c r="H40" s="280">
        <f>'Balance Sheet'!H14/'Balance Sheet'!H$32</f>
        <v>2.6905597928827821E-4</v>
      </c>
      <c r="I40" s="280">
        <f>'Balance Sheet'!I14/'Balance Sheet'!I$32</f>
        <v>2.4449544650193179E-4</v>
      </c>
      <c r="J40" s="280">
        <f>'Balance Sheet'!J14/'Balance Sheet'!J$32</f>
        <v>2.1858754789568012E-4</v>
      </c>
      <c r="K40" s="280">
        <f>'Balance Sheet'!K14/'Balance Sheet'!K$32</f>
        <v>1.9312492695130351E-4</v>
      </c>
      <c r="L40" s="280">
        <f>'Balance Sheet'!L14/'Balance Sheet'!L$32</f>
        <v>1.6963056444161526E-4</v>
      </c>
      <c r="M40" s="280">
        <f>'Balance Sheet'!M14/'Balance Sheet'!M$32</f>
        <v>1.4871167219529714E-4</v>
      </c>
      <c r="N40" s="280">
        <f>'Balance Sheet'!N14/'Balance Sheet'!N$32</f>
        <v>1.3067889604791483E-4</v>
      </c>
      <c r="O40" s="280">
        <f>'Balance Sheet'!O14/'Balance Sheet'!O$32</f>
        <v>1.1529934564594617E-4</v>
      </c>
      <c r="P40" s="280">
        <f>'Balance Sheet'!P14/'Balance Sheet'!P$32</f>
        <v>1.0235915909250591E-4</v>
      </c>
      <c r="Q40" s="280">
        <f>'Balance Sheet'!Q14/'Balance Sheet'!Q$32</f>
        <v>9.143993552931709E-5</v>
      </c>
    </row>
    <row r="41" spans="2:17" x14ac:dyDescent="0.25">
      <c r="B41" t="s">
        <v>26</v>
      </c>
    </row>
    <row r="42" spans="2:17" x14ac:dyDescent="0.25">
      <c r="B42" s="7" t="s">
        <v>27</v>
      </c>
      <c r="C42" s="280">
        <f>'Balance Sheet'!C16/'Balance Sheet'!C$32</f>
        <v>0</v>
      </c>
      <c r="D42" s="280">
        <f>'Balance Sheet'!D16/'Balance Sheet'!D$32</f>
        <v>0</v>
      </c>
      <c r="E42" s="280">
        <f>'Balance Sheet'!E16/'Balance Sheet'!E$32</f>
        <v>0</v>
      </c>
      <c r="F42" s="280">
        <f>'Balance Sheet'!F16/'Balance Sheet'!F$32</f>
        <v>0</v>
      </c>
      <c r="G42" s="280">
        <f>'Balance Sheet'!G16/'Balance Sheet'!G$32</f>
        <v>0</v>
      </c>
      <c r="H42" s="280">
        <f>'Balance Sheet'!H16/'Balance Sheet'!H$32</f>
        <v>0</v>
      </c>
      <c r="I42" s="280">
        <f>'Balance Sheet'!I16/'Balance Sheet'!I$32</f>
        <v>0</v>
      </c>
      <c r="J42" s="280">
        <f>'Balance Sheet'!J16/'Balance Sheet'!J$32</f>
        <v>0</v>
      </c>
      <c r="K42" s="280">
        <f>'Balance Sheet'!K16/'Balance Sheet'!K$32</f>
        <v>0</v>
      </c>
      <c r="L42" s="280">
        <f>'Balance Sheet'!L16/'Balance Sheet'!L$32</f>
        <v>0</v>
      </c>
      <c r="M42" s="280">
        <f>'Balance Sheet'!M16/'Balance Sheet'!M$32</f>
        <v>0</v>
      </c>
      <c r="N42" s="280">
        <f>'Balance Sheet'!N16/'Balance Sheet'!N$32</f>
        <v>0</v>
      </c>
      <c r="O42" s="280">
        <f>'Balance Sheet'!O16/'Balance Sheet'!O$32</f>
        <v>0</v>
      </c>
      <c r="P42" s="280">
        <f>'Balance Sheet'!P16/'Balance Sheet'!P$32</f>
        <v>0</v>
      </c>
      <c r="Q42" s="280">
        <f>'Balance Sheet'!Q16/'Balance Sheet'!Q$32</f>
        <v>0</v>
      </c>
    </row>
    <row r="43" spans="2:17" x14ac:dyDescent="0.25">
      <c r="B43" s="82" t="s">
        <v>28</v>
      </c>
      <c r="C43" s="280">
        <f>'Balance Sheet'!C17/'Balance Sheet'!C$32</f>
        <v>2.5009333263873797E-3</v>
      </c>
      <c r="D43" s="280">
        <f>'Balance Sheet'!D17/'Balance Sheet'!D$32</f>
        <v>8.2955522252375099E-4</v>
      </c>
      <c r="E43" s="280">
        <f>'Balance Sheet'!E17/'Balance Sheet'!E$32</f>
        <v>8.4719675079453921E-4</v>
      </c>
      <c r="F43" s="280">
        <f>'Balance Sheet'!F17/'Balance Sheet'!F$32</f>
        <v>7.6591127764784144E-4</v>
      </c>
      <c r="G43" s="280">
        <f>'Balance Sheet'!G17/'Balance Sheet'!G$32</f>
        <v>5.6328832053607577E-4</v>
      </c>
      <c r="H43" s="280">
        <f>'Balance Sheet'!H17/'Balance Sheet'!H$32</f>
        <v>1.8765097466542015E-3</v>
      </c>
      <c r="I43" s="280">
        <f>'Balance Sheet'!I17/'Balance Sheet'!I$32</f>
        <v>2.3569637294775874E-3</v>
      </c>
      <c r="J43" s="280">
        <f>'Balance Sheet'!J17/'Balance Sheet'!J$32</f>
        <v>2.751525191175119E-3</v>
      </c>
      <c r="K43" s="280">
        <f>'Balance Sheet'!K17/'Balance Sheet'!K$32</f>
        <v>3.0256672879770594E-3</v>
      </c>
      <c r="L43" s="280">
        <f>'Balance Sheet'!L17/'Balance Sheet'!L$32</f>
        <v>3.177649884002817E-3</v>
      </c>
      <c r="M43" s="280">
        <f>'Balance Sheet'!M17/'Balance Sheet'!M$32</f>
        <v>3.2219038395933865E-3</v>
      </c>
      <c r="N43" s="280">
        <f>'Balance Sheet'!N17/'Balance Sheet'!N$32</f>
        <v>3.1858043128805257E-3</v>
      </c>
      <c r="O43" s="280">
        <f>'Balance Sheet'!O17/'Balance Sheet'!O$32</f>
        <v>3.0925002915094821E-3</v>
      </c>
      <c r="P43" s="280">
        <f>'Balance Sheet'!P17/'Balance Sheet'!P$32</f>
        <v>2.9654852839858716E-3</v>
      </c>
      <c r="Q43" s="280">
        <f>'Balance Sheet'!Q17/'Balance Sheet'!Q$32</f>
        <v>2.8190142790580739E-3</v>
      </c>
    </row>
    <row r="44" spans="2:17" x14ac:dyDescent="0.25">
      <c r="B44" t="s">
        <v>58</v>
      </c>
      <c r="C44" s="280">
        <f>'Balance Sheet'!C18/'Balance Sheet'!C$32</f>
        <v>0</v>
      </c>
      <c r="D44" s="280">
        <f>'Balance Sheet'!D18/'Balance Sheet'!D$32</f>
        <v>0.82490325426078193</v>
      </c>
      <c r="E44" s="280">
        <f>'Balance Sheet'!E18/'Balance Sheet'!E$32</f>
        <v>0.84706816678123764</v>
      </c>
      <c r="F44" s="280">
        <f>'Balance Sheet'!F18/'Balance Sheet'!F$32</f>
        <v>0.85219170767163632</v>
      </c>
      <c r="G44" s="280">
        <f>'Balance Sheet'!G18/'Balance Sheet'!G$32</f>
        <v>0.86040590873802936</v>
      </c>
      <c r="H44" s="280">
        <f>'Balance Sheet'!H18/'Balance Sheet'!H$32</f>
        <v>0.85472624545293197</v>
      </c>
      <c r="I44" s="280">
        <f>'Balance Sheet'!I18/'Balance Sheet'!I$32</f>
        <v>0.83451902024333324</v>
      </c>
      <c r="J44" s="280">
        <f>'Balance Sheet'!J18/'Balance Sheet'!J$32</f>
        <v>0.80384777084311665</v>
      </c>
      <c r="K44" s="280">
        <f>'Balance Sheet'!K18/'Balance Sheet'!K$32</f>
        <v>0.76738988087769744</v>
      </c>
      <c r="L44" s="280">
        <f>'Balance Sheet'!L18/'Balance Sheet'!L$32</f>
        <v>0.73047216349279087</v>
      </c>
      <c r="M44" s="280">
        <f>'Balance Sheet'!M18/'Balance Sheet'!M$32</f>
        <v>0.69615599229316705</v>
      </c>
      <c r="N44" s="280">
        <f>'Balance Sheet'!N18/'Balance Sheet'!N$32</f>
        <v>0.66714196529248004</v>
      </c>
      <c r="O44" s="280">
        <f>'Balance Sheet'!O18/'Balance Sheet'!O$32</f>
        <v>0.64406717165940031</v>
      </c>
      <c r="P44" s="280">
        <f>'Balance Sheet'!P18/'Balance Sheet'!P$32</f>
        <v>0.62779135605065661</v>
      </c>
      <c r="Q44" s="280">
        <f>'Balance Sheet'!Q18/'Balance Sheet'!Q$32</f>
        <v>0.61795365524449009</v>
      </c>
    </row>
    <row r="45" spans="2:17" x14ac:dyDescent="0.25">
      <c r="B45" t="s">
        <v>29</v>
      </c>
      <c r="C45" s="280">
        <f>'Balance Sheet'!C19/'Balance Sheet'!C$32</f>
        <v>0.9390715779643265</v>
      </c>
      <c r="D45" s="280">
        <f>'Balance Sheet'!D19/'Balance Sheet'!D$32</f>
        <v>0.16082141844546152</v>
      </c>
      <c r="E45" s="280">
        <f>'Balance Sheet'!E19/'Balance Sheet'!E$32</f>
        <v>0.14144880029374046</v>
      </c>
      <c r="F45" s="280">
        <f>'Balance Sheet'!F19/'Balance Sheet'!F$32</f>
        <v>0.13924432594015773</v>
      </c>
      <c r="G45" s="280">
        <f>'Balance Sheet'!G19/'Balance Sheet'!G$32</f>
        <v>0.13586635161379876</v>
      </c>
      <c r="H45" s="280">
        <f>'Balance Sheet'!H19/'Balance Sheet'!H$32</f>
        <v>0.12916907108865064</v>
      </c>
      <c r="I45" s="280">
        <f>'Balance Sheet'!I19/'Balance Sheet'!I$32</f>
        <v>0.12046366183813537</v>
      </c>
      <c r="J45" s="280">
        <f>'Balance Sheet'!J19/'Balance Sheet'!J$32</f>
        <v>0.11061491900561089</v>
      </c>
      <c r="K45" s="280">
        <f>'Balance Sheet'!K19/'Balance Sheet'!K$32</f>
        <v>0.1004553260229476</v>
      </c>
      <c r="L45" s="280">
        <f>'Balance Sheet'!L19/'Balance Sheet'!L$32</f>
        <v>9.0769188339112156E-2</v>
      </c>
      <c r="M45" s="280">
        <f>'Balance Sheet'!M19/'Balance Sheet'!M$32</f>
        <v>8.1929965986319409E-2</v>
      </c>
      <c r="N45" s="280">
        <f>'Balance Sheet'!N19/'Balance Sheet'!N$32</f>
        <v>7.4189219431199424E-2</v>
      </c>
      <c r="O45" s="280">
        <f>'Balance Sheet'!O19/'Balance Sheet'!O$32</f>
        <v>6.7512619664007928E-2</v>
      </c>
      <c r="P45" s="280">
        <f>'Balance Sheet'!P19/'Balance Sheet'!P$32</f>
        <v>6.1873394452171215E-2</v>
      </c>
      <c r="Q45" s="280">
        <f>'Balance Sheet'!Q19/'Balance Sheet'!Q$32</f>
        <v>5.7113676282209508E-2</v>
      </c>
    </row>
    <row r="46" spans="2:17" x14ac:dyDescent="0.25">
      <c r="B46" s="27" t="s">
        <v>30</v>
      </c>
      <c r="C46" s="280">
        <f>'Balance Sheet'!C20/'Balance Sheet'!C$32</f>
        <v>6.8152979367657619E-3</v>
      </c>
      <c r="D46" s="280">
        <f>'Balance Sheet'!D20/'Balance Sheet'!D$32</f>
        <v>2.1950576280034741E-3</v>
      </c>
      <c r="E46" s="280">
        <f>'Balance Sheet'!E20/'Balance Sheet'!E$32</f>
        <v>1.4351936734214392E-3</v>
      </c>
      <c r="F46" s="280">
        <f>'Balance Sheet'!F20/'Balance Sheet'!F$32</f>
        <v>6.9058767270377473E-4</v>
      </c>
      <c r="G46" s="280">
        <f>'Balance Sheet'!G20/'Balance Sheet'!G$32</f>
        <v>1.1765061382499204E-4</v>
      </c>
      <c r="H46" s="280">
        <f>'Balance Sheet'!H20/'Balance Sheet'!H$32</f>
        <v>3.3597721466129544E-3</v>
      </c>
      <c r="I46" s="280">
        <f>'Balance Sheet'!I20/'Balance Sheet'!I$32</f>
        <v>4.2199946485729899E-3</v>
      </c>
      <c r="J46" s="280">
        <f>'Balance Sheet'!J20/'Balance Sheet'!J$32</f>
        <v>4.9264320180041161E-3</v>
      </c>
      <c r="K46" s="280">
        <f>'Balance Sheet'!K20/'Balance Sheet'!K$32</f>
        <v>5.417266122485301E-3</v>
      </c>
      <c r="L46" s="280">
        <f>'Balance Sheet'!L20/'Balance Sheet'!L$32</f>
        <v>5.6893813586612451E-3</v>
      </c>
      <c r="M46" s="280">
        <f>'Balance Sheet'!M20/'Balance Sheet'!M$32</f>
        <v>5.7686152702546923E-3</v>
      </c>
      <c r="N46" s="280">
        <f>'Balance Sheet'!N20/'Balance Sheet'!N$32</f>
        <v>5.7039813483834986E-3</v>
      </c>
      <c r="O46" s="280">
        <f>'Balance Sheet'!O20/'Balance Sheet'!O$32</f>
        <v>5.5369263929118621E-3</v>
      </c>
      <c r="P46" s="280">
        <f>'Balance Sheet'!P20/'Balance Sheet'!P$32</f>
        <v>5.3095140465382086E-3</v>
      </c>
      <c r="Q46" s="280">
        <f>'Balance Sheet'!Q20/'Balance Sheet'!Q$32</f>
        <v>5.0472669660099837E-3</v>
      </c>
    </row>
    <row r="48" spans="2:17" x14ac:dyDescent="0.25">
      <c r="B48" s="4" t="s">
        <v>31</v>
      </c>
      <c r="C48" s="147">
        <f>'Balance Sheet'!C22/'Balance Sheet'!C$32</f>
        <v>0.98153691010066746</v>
      </c>
      <c r="D48" s="147">
        <f>'Balance Sheet'!D22/'Balance Sheet'!D$32</f>
        <v>0.98973495168788617</v>
      </c>
      <c r="E48" s="147">
        <f>'Balance Sheet'!E22/'Balance Sheet'!E$32</f>
        <v>0.9920918413008174</v>
      </c>
      <c r="F48" s="147">
        <f>'Balance Sheet'!F22/'Balance Sheet'!F$32</f>
        <v>0.99405368050116272</v>
      </c>
      <c r="G48" s="147">
        <f>'Balance Sheet'!G22/'Balance Sheet'!G$32</f>
        <v>0.99738231620339268</v>
      </c>
      <c r="H48" s="147">
        <f>'Balance Sheet'!H22/'Balance Sheet'!H$32</f>
        <v>0.99632526511339148</v>
      </c>
      <c r="I48" s="147">
        <f>'Balance Sheet'!I22/'Balance Sheet'!I$32</f>
        <v>0.99567599271368834</v>
      </c>
      <c r="J48" s="147">
        <f>'Balance Sheet'!J22/'Balance Sheet'!J$32</f>
        <v>0.99516041806807976</v>
      </c>
      <c r="K48" s="147">
        <f>'Balance Sheet'!K22/'Balance Sheet'!K$32</f>
        <v>0.99482622718847946</v>
      </c>
      <c r="L48" s="147">
        <f>'Balance Sheet'!L22/'Balance Sheet'!L$32</f>
        <v>0.99467032945685407</v>
      </c>
      <c r="M48" s="147">
        <f>'Balance Sheet'!M22/'Balance Sheet'!M$32</f>
        <v>0.99466912691972353</v>
      </c>
      <c r="N48" s="147">
        <f>'Balance Sheet'!N22/'Balance Sheet'!N$32</f>
        <v>0.99478092711934274</v>
      </c>
      <c r="O48" s="147">
        <f>'Balance Sheet'!O22/'Balance Sheet'!O$32</f>
        <v>0.99497075414789615</v>
      </c>
      <c r="P48" s="147">
        <f>'Balance Sheet'!P22/'Balance Sheet'!P$32</f>
        <v>0.99520380978260137</v>
      </c>
      <c r="Q48" s="147">
        <f>'Balance Sheet'!Q22/'Balance Sheet'!Q$32</f>
        <v>0.99546028154958821</v>
      </c>
    </row>
    <row r="50" spans="2:17" x14ac:dyDescent="0.25">
      <c r="B50" s="1" t="s">
        <v>32</v>
      </c>
    </row>
    <row r="51" spans="2:17" x14ac:dyDescent="0.25">
      <c r="B51" t="s">
        <v>33</v>
      </c>
      <c r="C51" s="280">
        <f>'Balance Sheet'!C25/'Balance Sheet'!C$32</f>
        <v>0</v>
      </c>
      <c r="D51" s="280">
        <f>'Balance Sheet'!D25/'Balance Sheet'!D$32</f>
        <v>3.7875617121435097E-4</v>
      </c>
      <c r="E51" s="280">
        <f>'Balance Sheet'!E25/'Balance Sheet'!E$32</f>
        <v>9.893583586784451E-4</v>
      </c>
      <c r="F51" s="280">
        <f>'Balance Sheet'!F25/'Balance Sheet'!F$32</f>
        <v>1.6162735374894131E-3</v>
      </c>
      <c r="G51" s="280">
        <f>'Balance Sheet'!G25/'Balance Sheet'!G$32</f>
        <v>1.0544782212221263E-3</v>
      </c>
      <c r="H51" s="280">
        <f>'Balance Sheet'!H25/'Balance Sheet'!H$32</f>
        <v>1.894074067452728E-3</v>
      </c>
      <c r="I51" s="280">
        <f>'Balance Sheet'!I25/'Balance Sheet'!I$32</f>
        <v>2.3790251480920381E-3</v>
      </c>
      <c r="J51" s="280">
        <f>'Balance Sheet'!J25/'Balance Sheet'!J$32</f>
        <v>2.7772797449306728E-3</v>
      </c>
      <c r="K51" s="280">
        <f>'Balance Sheet'!K25/'Balance Sheet'!K$32</f>
        <v>3.0539878394532194E-3</v>
      </c>
      <c r="L51" s="280">
        <f>'Balance Sheet'!L25/'Balance Sheet'!L$32</f>
        <v>3.2073930079314509E-3</v>
      </c>
      <c r="M51" s="280">
        <f>'Balance Sheet'!M25/'Balance Sheet'!M$32</f>
        <v>3.2520611850169962E-3</v>
      </c>
      <c r="N51" s="280">
        <f>'Balance Sheet'!N25/'Balance Sheet'!N$32</f>
        <v>3.2156237630872361E-3</v>
      </c>
      <c r="O51" s="280">
        <f>'Balance Sheet'!O25/'Balance Sheet'!O$32</f>
        <v>3.121446406650347E-3</v>
      </c>
      <c r="P51" s="280">
        <f>'Balance Sheet'!P25/'Balance Sheet'!P$32</f>
        <v>2.9932425258249332E-3</v>
      </c>
      <c r="Q51" s="280">
        <f>'Balance Sheet'!Q25/'Balance Sheet'!Q$32</f>
        <v>2.8454005374941331E-3</v>
      </c>
    </row>
    <row r="52" spans="2:17" x14ac:dyDescent="0.25">
      <c r="B52" t="s">
        <v>34</v>
      </c>
      <c r="C52" s="280">
        <f>'Balance Sheet'!C26/'Balance Sheet'!C$32</f>
        <v>1.6961793123904743E-2</v>
      </c>
      <c r="D52" s="280">
        <f>'Balance Sheet'!D26/'Balance Sheet'!D$32</f>
        <v>8.6951183838056539E-3</v>
      </c>
      <c r="E52" s="280">
        <f>'Balance Sheet'!E26/'Balance Sheet'!E$32</f>
        <v>5.8478796618759684E-3</v>
      </c>
      <c r="F52" s="280">
        <f>'Balance Sheet'!F26/'Balance Sheet'!F$32</f>
        <v>3.3307346083157382E-3</v>
      </c>
      <c r="G52" s="280">
        <f>'Balance Sheet'!G26/'Balance Sheet'!G$32</f>
        <v>6.3216730448210445E-4</v>
      </c>
      <c r="H52" s="280">
        <f>'Balance Sheet'!H26/'Balance Sheet'!H$32</f>
        <v>8.6603996651637776E-4</v>
      </c>
      <c r="I52" s="280">
        <f>'Balance Sheet'!I26/'Balance Sheet'!I$32</f>
        <v>1.0877773446136213E-3</v>
      </c>
      <c r="J52" s="280">
        <f>'Balance Sheet'!J26/'Balance Sheet'!J$32</f>
        <v>1.2698739181520437E-3</v>
      </c>
      <c r="K52" s="280">
        <f>'Balance Sheet'!K26/'Balance Sheet'!K$32</f>
        <v>1.3963949835280143E-3</v>
      </c>
      <c r="L52" s="280">
        <f>'Balance Sheet'!L26/'Balance Sheet'!L$32</f>
        <v>1.4665374395466423E-3</v>
      </c>
      <c r="M52" s="280">
        <f>'Balance Sheet'!M26/'Balance Sheet'!M$32</f>
        <v>1.4869613644882568E-3</v>
      </c>
      <c r="N52" s="280">
        <f>'Balance Sheet'!N26/'Balance Sheet'!N$32</f>
        <v>1.4703008419615789E-3</v>
      </c>
      <c r="O52" s="280">
        <f>'Balance Sheet'!O26/'Balance Sheet'!O$32</f>
        <v>1.427239508713459E-3</v>
      </c>
      <c r="P52" s="280">
        <f>'Balance Sheet'!P26/'Balance Sheet'!P$32</f>
        <v>1.3686200035076086E-3</v>
      </c>
      <c r="Q52" s="280">
        <f>'Balance Sheet'!Q26/'Balance Sheet'!Q$32</f>
        <v>1.3010212370053499E-3</v>
      </c>
    </row>
    <row r="53" spans="2:17" x14ac:dyDescent="0.25">
      <c r="B53" t="s">
        <v>35</v>
      </c>
      <c r="C53" s="280">
        <f>'Balance Sheet'!C27/'Balance Sheet'!C$32</f>
        <v>1.3941170142951712E-3</v>
      </c>
      <c r="D53" s="280">
        <f>'Balance Sheet'!D27/'Balance Sheet'!D$32</f>
        <v>1.1553503359570839E-3</v>
      </c>
      <c r="E53" s="280">
        <f>'Balance Sheet'!E27/'Balance Sheet'!E$32</f>
        <v>1.0326067062674466E-3</v>
      </c>
      <c r="F53" s="280">
        <f>'Balance Sheet'!F27/'Balance Sheet'!F$32</f>
        <v>9.6871492896262337E-4</v>
      </c>
      <c r="G53" s="280">
        <f>'Balance Sheet'!G27/'Balance Sheet'!G$32</f>
        <v>9.0014298249106977E-4</v>
      </c>
      <c r="H53" s="280">
        <f>'Balance Sheet'!H27/'Balance Sheet'!H$32</f>
        <v>8.313156144814668E-4</v>
      </c>
      <c r="I53" s="280">
        <f>'Balance Sheet'!I27/'Balance Sheet'!I$32</f>
        <v>7.5257041845095481E-4</v>
      </c>
      <c r="J53" s="280">
        <f>'Balance Sheet'!J27/'Balance Sheet'!J$32</f>
        <v>6.7027784475533008E-4</v>
      </c>
      <c r="K53" s="280">
        <f>'Balance Sheet'!K27/'Balance Sheet'!K$32</f>
        <v>5.8906937844868949E-4</v>
      </c>
      <c r="L53" s="280">
        <f>'Balance Sheet'!L27/'Balance Sheet'!L$32</f>
        <v>5.1467241358346086E-4</v>
      </c>
      <c r="M53" s="280">
        <f>'Balance Sheet'!M27/'Balance Sheet'!M$32</f>
        <v>4.4881825121187972E-4</v>
      </c>
      <c r="N53" s="280">
        <f>'Balance Sheet'!N27/'Balance Sheet'!N$32</f>
        <v>3.9171858813556167E-4</v>
      </c>
      <c r="O53" s="280">
        <f>'Balance Sheet'!O27/'Balance Sheet'!O$32</f>
        <v>3.4327236136399275E-4</v>
      </c>
      <c r="P53" s="280">
        <f>'Balance Sheet'!P27/'Balance Sheet'!P$32</f>
        <v>3.0267878068545705E-4</v>
      </c>
      <c r="Q53" s="280">
        <f>'Balance Sheet'!Q27/'Balance Sheet'!Q$32</f>
        <v>2.6815016052319119E-4</v>
      </c>
    </row>
    <row r="54" spans="2:17" x14ac:dyDescent="0.25">
      <c r="B54" t="s">
        <v>36</v>
      </c>
      <c r="C54" s="280">
        <f>'Balance Sheet'!C28/'Balance Sheet'!C$32</f>
        <v>1.07179761132588E-4</v>
      </c>
      <c r="D54" s="280">
        <f>'Balance Sheet'!D28/'Balance Sheet'!D$32</f>
        <v>3.5823421136718555E-5</v>
      </c>
      <c r="E54" s="280">
        <f>'Balance Sheet'!E28/'Balance Sheet'!E$32</f>
        <v>3.8313972360726046E-5</v>
      </c>
      <c r="F54" s="280">
        <f>'Balance Sheet'!F28/'Balance Sheet'!F$32</f>
        <v>3.0596424069469952E-5</v>
      </c>
      <c r="G54" s="280">
        <f>'Balance Sheet'!G28/'Balance Sheet'!G$32</f>
        <v>3.0895288412035839E-5</v>
      </c>
      <c r="H54" s="280">
        <f>'Balance Sheet'!H28/'Balance Sheet'!H$32</f>
        <v>8.3305238157912759E-5</v>
      </c>
      <c r="I54" s="280">
        <f>'Balance Sheet'!I28/'Balance Sheet'!I$32</f>
        <v>1.0463437515514011E-4</v>
      </c>
      <c r="J54" s="280">
        <f>'Balance Sheet'!J28/'Balance Sheet'!J$32</f>
        <v>1.221504240822785E-4</v>
      </c>
      <c r="K54" s="280">
        <f>'Balance Sheet'!K28/'Balance Sheet'!K$32</f>
        <v>1.3432061009059217E-4</v>
      </c>
      <c r="L54" s="280">
        <f>'Balance Sheet'!L28/'Balance Sheet'!L$32</f>
        <v>1.4106768208441365E-4</v>
      </c>
      <c r="M54" s="280">
        <f>'Balance Sheet'!M28/'Balance Sheet'!M$32</f>
        <v>1.4303227955931363E-4</v>
      </c>
      <c r="N54" s="280">
        <f>'Balance Sheet'!N28/'Balance Sheet'!N$32</f>
        <v>1.4142968747282714E-4</v>
      </c>
      <c r="O54" s="280">
        <f>'Balance Sheet'!O28/'Balance Sheet'!O$32</f>
        <v>1.3728757537601315E-4</v>
      </c>
      <c r="P54" s="280">
        <f>'Balance Sheet'!P28/'Balance Sheet'!P$32</f>
        <v>1.3164890738068336E-4</v>
      </c>
      <c r="Q54" s="280">
        <f>'Balance Sheet'!Q28/'Balance Sheet'!Q$32</f>
        <v>1.251465153891178E-4</v>
      </c>
    </row>
    <row r="55" spans="2:17" x14ac:dyDescent="0.25">
      <c r="C55" s="280"/>
      <c r="D55" s="280"/>
      <c r="E55" s="280"/>
      <c r="F55" s="280"/>
      <c r="G55" s="280"/>
      <c r="H55" s="280"/>
      <c r="I55" s="280"/>
      <c r="J55" s="280"/>
      <c r="K55" s="280"/>
      <c r="L55" s="280"/>
      <c r="M55" s="280"/>
      <c r="N55" s="280"/>
      <c r="O55" s="280"/>
      <c r="P55" s="280"/>
      <c r="Q55" s="280"/>
    </row>
    <row r="56" spans="2:17" x14ac:dyDescent="0.25">
      <c r="B56" s="4" t="s">
        <v>37</v>
      </c>
      <c r="C56" s="147">
        <f>'Balance Sheet'!C30/'Balance Sheet'!C$32</f>
        <v>1.8463089899332503E-2</v>
      </c>
      <c r="D56" s="147">
        <f>'Balance Sheet'!D30/'Balance Sheet'!D$32</f>
        <v>1.0265048312113806E-2</v>
      </c>
      <c r="E56" s="147">
        <f>'Balance Sheet'!E30/'Balance Sheet'!E$32</f>
        <v>7.9081586991825853E-3</v>
      </c>
      <c r="F56" s="147">
        <f>'Balance Sheet'!F30/'Balance Sheet'!F$32</f>
        <v>5.9463194988372443E-3</v>
      </c>
      <c r="G56" s="147">
        <f>'Balance Sheet'!G30/'Balance Sheet'!G$32</f>
        <v>2.6176837966073365E-3</v>
      </c>
      <c r="H56" s="147">
        <f>'Balance Sheet'!H30/'Balance Sheet'!H$32</f>
        <v>3.6747348866084852E-3</v>
      </c>
      <c r="I56" s="147">
        <f>'Balance Sheet'!I30/'Balance Sheet'!I$32</f>
        <v>4.3240072863117542E-3</v>
      </c>
      <c r="J56" s="147">
        <f>'Balance Sheet'!J30/'Balance Sheet'!J$32</f>
        <v>4.8395819319203255E-3</v>
      </c>
      <c r="K56" s="147">
        <f>'Balance Sheet'!K30/'Balance Sheet'!K$32</f>
        <v>5.1737728115205149E-3</v>
      </c>
      <c r="L56" s="147">
        <f>'Balance Sheet'!L30/'Balance Sheet'!L$32</f>
        <v>5.3296705431459673E-3</v>
      </c>
      <c r="M56" s="147">
        <f>'Balance Sheet'!M30/'Balance Sheet'!M$32</f>
        <v>5.3308730802764468E-3</v>
      </c>
      <c r="N56" s="147">
        <f>'Balance Sheet'!N30/'Balance Sheet'!N$32</f>
        <v>5.2190728806572042E-3</v>
      </c>
      <c r="O56" s="147">
        <f>'Balance Sheet'!O30/'Balance Sheet'!O$32</f>
        <v>5.0292458521038119E-3</v>
      </c>
      <c r="P56" s="147">
        <f>'Balance Sheet'!P30/'Balance Sheet'!P$32</f>
        <v>4.7961902173986829E-3</v>
      </c>
      <c r="Q56" s="147">
        <f>'Balance Sheet'!Q30/'Balance Sheet'!Q$32</f>
        <v>4.5397184504117928E-3</v>
      </c>
    </row>
    <row r="58" spans="2:17" x14ac:dyDescent="0.25">
      <c r="B58" s="9" t="s">
        <v>38</v>
      </c>
      <c r="C58" s="288">
        <f>'Balance Sheet'!C32/'Balance Sheet'!C$32</f>
        <v>1</v>
      </c>
      <c r="D58" s="288">
        <f>'Balance Sheet'!D32/'Balance Sheet'!D$32</f>
        <v>1</v>
      </c>
      <c r="E58" s="288">
        <f>'Balance Sheet'!E32/'Balance Sheet'!E$32</f>
        <v>1</v>
      </c>
      <c r="F58" s="288">
        <f>'Balance Sheet'!F32/'Balance Sheet'!F$32</f>
        <v>1</v>
      </c>
      <c r="G58" s="288">
        <f>'Balance Sheet'!G32/'Balance Sheet'!G$32</f>
        <v>1</v>
      </c>
      <c r="H58" s="288">
        <f>'Balance Sheet'!H32/'Balance Sheet'!H$32</f>
        <v>1</v>
      </c>
      <c r="I58" s="288">
        <f>'Balance Sheet'!I32/'Balance Sheet'!I$32</f>
        <v>1</v>
      </c>
      <c r="J58" s="288">
        <f>'Balance Sheet'!J32/'Balance Sheet'!J$32</f>
        <v>1</v>
      </c>
      <c r="K58" s="288">
        <f>'Balance Sheet'!K32/'Balance Sheet'!K$32</f>
        <v>1</v>
      </c>
      <c r="L58" s="288">
        <f>'Balance Sheet'!L32/'Balance Sheet'!L$32</f>
        <v>1</v>
      </c>
      <c r="M58" s="288">
        <f>'Balance Sheet'!M32/'Balance Sheet'!M$32</f>
        <v>1</v>
      </c>
      <c r="N58" s="288">
        <f>'Balance Sheet'!N32/'Balance Sheet'!N$32</f>
        <v>1</v>
      </c>
      <c r="O58" s="288">
        <f>'Balance Sheet'!O32/'Balance Sheet'!O$32</f>
        <v>1</v>
      </c>
      <c r="P58" s="288">
        <f>'Balance Sheet'!P32/'Balance Sheet'!P$32</f>
        <v>1</v>
      </c>
      <c r="Q58" s="288">
        <f>'Balance Sheet'!Q32/'Balance Sheet'!Q$32</f>
        <v>1</v>
      </c>
    </row>
    <row r="60" spans="2:17" x14ac:dyDescent="0.25">
      <c r="B60" s="1" t="s">
        <v>39</v>
      </c>
    </row>
    <row r="61" spans="2:17" x14ac:dyDescent="0.25">
      <c r="B61" s="1" t="s">
        <v>40</v>
      </c>
    </row>
    <row r="62" spans="2:17" x14ac:dyDescent="0.25">
      <c r="B62" s="1" t="s">
        <v>41</v>
      </c>
    </row>
    <row r="63" spans="2:17" x14ac:dyDescent="0.25">
      <c r="B63" t="s">
        <v>46</v>
      </c>
      <c r="C63" s="280">
        <f>'Balance Sheet'!C37/'Balance Sheet'!C$32</f>
        <v>3.5222398654449766E-4</v>
      </c>
      <c r="D63" s="280">
        <f>'Balance Sheet'!D37/'Balance Sheet'!D$32</f>
        <v>6.6066309332541258E-5</v>
      </c>
      <c r="E63" s="280">
        <f>'Balance Sheet'!E37/'Balance Sheet'!E$32</f>
        <v>4.340960168142867E-5</v>
      </c>
      <c r="F63" s="280">
        <f>'Balance Sheet'!F37/'Balance Sheet'!F$32</f>
        <v>5.0337030679207258E-5</v>
      </c>
      <c r="G63" s="280">
        <f>'Balance Sheet'!G37/'Balance Sheet'!G$32</f>
        <v>1.9768466077171013E-5</v>
      </c>
      <c r="H63" s="280">
        <f>'Balance Sheet'!H37/'Balance Sheet'!H$32</f>
        <v>1.4752441778739206E-4</v>
      </c>
      <c r="I63" s="280">
        <f>'Balance Sheet'!I37/'Balance Sheet'!I$32</f>
        <v>1.8529597437857398E-4</v>
      </c>
      <c r="J63" s="280">
        <f>'Balance Sheet'!J37/'Balance Sheet'!J$32</f>
        <v>2.163149712274068E-4</v>
      </c>
      <c r="K63" s="280">
        <f>'Balance Sheet'!K37/'Balance Sheet'!K$32</f>
        <v>2.3786703259763415E-4</v>
      </c>
      <c r="L63" s="280">
        <f>'Balance Sheet'!L37/'Balance Sheet'!L$32</f>
        <v>2.4981535529219672E-4</v>
      </c>
      <c r="M63" s="280">
        <f>'Balance Sheet'!M37/'Balance Sheet'!M$32</f>
        <v>2.5329444142267282E-4</v>
      </c>
      <c r="N63" s="280">
        <f>'Balance Sheet'!N37/'Balance Sheet'!N$32</f>
        <v>2.5045642703441258E-4</v>
      </c>
      <c r="O63" s="280">
        <f>'Balance Sheet'!O37/'Balance Sheet'!O$32</f>
        <v>2.4312120191526373E-4</v>
      </c>
      <c r="P63" s="280">
        <f>'Balance Sheet'!P37/'Balance Sheet'!P$32</f>
        <v>2.3313574083860735E-4</v>
      </c>
      <c r="Q63" s="280">
        <f>'Balance Sheet'!Q37/'Balance Sheet'!Q$32</f>
        <v>2.2162071952670927E-4</v>
      </c>
    </row>
    <row r="65" spans="2:17" x14ac:dyDescent="0.25">
      <c r="B65" s="4" t="s">
        <v>47</v>
      </c>
      <c r="C65" s="147">
        <f>'Balance Sheet'!C39/'Balance Sheet'!C$32</f>
        <v>3.5222398654449766E-4</v>
      </c>
      <c r="D65" s="147">
        <f>'Balance Sheet'!D39/'Balance Sheet'!D$32</f>
        <v>6.6066309332541258E-5</v>
      </c>
      <c r="E65" s="147">
        <f>'Balance Sheet'!E39/'Balance Sheet'!E$32</f>
        <v>4.340960168142867E-5</v>
      </c>
      <c r="F65" s="147">
        <f>'Balance Sheet'!F39/'Balance Sheet'!F$32</f>
        <v>5.0337030679207258E-5</v>
      </c>
      <c r="G65" s="147">
        <f>'Balance Sheet'!G39/'Balance Sheet'!G$32</f>
        <v>1.9768466077171013E-5</v>
      </c>
      <c r="H65" s="147">
        <f>'Balance Sheet'!H39/'Balance Sheet'!H$32</f>
        <v>1.4752441778739206E-4</v>
      </c>
      <c r="I65" s="147">
        <f>'Balance Sheet'!I39/'Balance Sheet'!I$32</f>
        <v>1.8529597437857398E-4</v>
      </c>
      <c r="J65" s="147">
        <f>'Balance Sheet'!J39/'Balance Sheet'!J$32</f>
        <v>2.163149712274068E-4</v>
      </c>
      <c r="K65" s="147">
        <f>'Balance Sheet'!K39/'Balance Sheet'!K$32</f>
        <v>2.3786703259763415E-4</v>
      </c>
      <c r="L65" s="147">
        <f>'Balance Sheet'!L39/'Balance Sheet'!L$32</f>
        <v>2.4981535529219672E-4</v>
      </c>
      <c r="M65" s="147">
        <f>'Balance Sheet'!M39/'Balance Sheet'!M$32</f>
        <v>2.5329444142267282E-4</v>
      </c>
      <c r="N65" s="147">
        <f>'Balance Sheet'!N39/'Balance Sheet'!N$32</f>
        <v>2.5045642703441258E-4</v>
      </c>
      <c r="O65" s="147">
        <f>'Balance Sheet'!O39/'Balance Sheet'!O$32</f>
        <v>2.4312120191526373E-4</v>
      </c>
      <c r="P65" s="147">
        <f>'Balance Sheet'!P39/'Balance Sheet'!P$32</f>
        <v>2.3313574083860735E-4</v>
      </c>
      <c r="Q65" s="147">
        <f>'Balance Sheet'!Q39/'Balance Sheet'!Q$32</f>
        <v>2.2162071952670927E-4</v>
      </c>
    </row>
    <row r="67" spans="2:17" x14ac:dyDescent="0.25">
      <c r="B67" s="1" t="s">
        <v>48</v>
      </c>
    </row>
    <row r="68" spans="2:17" x14ac:dyDescent="0.25">
      <c r="B68" t="s">
        <v>49</v>
      </c>
      <c r="C68" s="286">
        <f>'Balance Sheet'!C42/'Balance Sheet'!C$32</f>
        <v>1.8766209692846987E-4</v>
      </c>
      <c r="D68" s="286">
        <f>'Balance Sheet'!D42/'Balance Sheet'!D$32</f>
        <v>0</v>
      </c>
      <c r="E68" s="286">
        <f>'Balance Sheet'!E42/'Balance Sheet'!E$32</f>
        <v>0</v>
      </c>
      <c r="F68" s="286">
        <f>'Balance Sheet'!F42/'Balance Sheet'!F$32</f>
        <v>0</v>
      </c>
      <c r="G68" s="286">
        <f>'Balance Sheet'!G42/'Balance Sheet'!G$32</f>
        <v>0</v>
      </c>
      <c r="H68" s="286">
        <f>'Balance Sheet'!H42/'Balance Sheet'!H$32</f>
        <v>0</v>
      </c>
      <c r="I68" s="286">
        <f>'Balance Sheet'!I42/'Balance Sheet'!I$32</f>
        <v>0</v>
      </c>
      <c r="J68" s="286">
        <f>'Balance Sheet'!J42/'Balance Sheet'!J$32</f>
        <v>0</v>
      </c>
      <c r="K68" s="286">
        <f>'Balance Sheet'!K42/'Balance Sheet'!K$32</f>
        <v>0</v>
      </c>
      <c r="L68" s="286">
        <f>'Balance Sheet'!L42/'Balance Sheet'!L$32</f>
        <v>0</v>
      </c>
      <c r="M68" s="286">
        <f>'Balance Sheet'!M42/'Balance Sheet'!M$32</f>
        <v>0</v>
      </c>
      <c r="N68" s="286">
        <f>'Balance Sheet'!N42/'Balance Sheet'!N$32</f>
        <v>0</v>
      </c>
      <c r="O68" s="286">
        <f>'Balance Sheet'!O42/'Balance Sheet'!O$32</f>
        <v>0</v>
      </c>
      <c r="P68" s="286">
        <f>'Balance Sheet'!P42/'Balance Sheet'!P$32</f>
        <v>0</v>
      </c>
      <c r="Q68" s="286">
        <f>'Balance Sheet'!Q42/'Balance Sheet'!Q$32</f>
        <v>0</v>
      </c>
    </row>
    <row r="69" spans="2:17" x14ac:dyDescent="0.25">
      <c r="B69" t="s">
        <v>50</v>
      </c>
      <c r="C69" s="286">
        <f>'Balance Sheet'!C43/'Balance Sheet'!C$32</f>
        <v>1.2568593096825928E-5</v>
      </c>
      <c r="D69" s="286">
        <f>'Balance Sheet'!D43/'Balance Sheet'!D$32</f>
        <v>5.5805329408958557E-6</v>
      </c>
      <c r="E69" s="286">
        <f>'Balance Sheet'!E43/'Balance Sheet'!E$32</f>
        <v>1.7802451803973716E-5</v>
      </c>
      <c r="F69" s="286">
        <f>'Balance Sheet'!F43/'Balance Sheet'!F$32</f>
        <v>9.4306123742370203E-6</v>
      </c>
      <c r="G69" s="286">
        <f>'Balance Sheet'!G43/'Balance Sheet'!G$32</f>
        <v>1.906244943155776E-5</v>
      </c>
      <c r="H69" s="286">
        <f>'Balance Sheet'!H43/'Balance Sheet'!H$32</f>
        <v>2.8841625885605893E-5</v>
      </c>
      <c r="I69" s="286">
        <f>'Balance Sheet'!I43/'Balance Sheet'!I$32</f>
        <v>3.6226119386131767E-5</v>
      </c>
      <c r="J69" s="286">
        <f>'Balance Sheet'!J43/'Balance Sheet'!J$32</f>
        <v>4.2290459892461722E-5</v>
      </c>
      <c r="K69" s="286">
        <f>'Balance Sheet'!K43/'Balance Sheet'!K$32</f>
        <v>4.650397586782753E-5</v>
      </c>
      <c r="L69" s="286">
        <f>'Balance Sheet'!L43/'Balance Sheet'!L$32</f>
        <v>4.8839921728760934E-5</v>
      </c>
      <c r="M69" s="286">
        <f>'Balance Sheet'!M43/'Balance Sheet'!M$32</f>
        <v>4.9520097269216899E-5</v>
      </c>
      <c r="N69" s="286">
        <f>'Balance Sheet'!N43/'Balance Sheet'!N$32</f>
        <v>4.8965253871277634E-5</v>
      </c>
      <c r="O69" s="286">
        <f>'Balance Sheet'!O43/'Balance Sheet'!O$32</f>
        <v>4.7531187417423983E-5</v>
      </c>
      <c r="P69" s="286">
        <f>'Balance Sheet'!P43/'Balance Sheet'!P$32</f>
        <v>4.5578989015371956E-5</v>
      </c>
      <c r="Q69" s="286">
        <f>'Balance Sheet'!Q43/'Balance Sheet'!Q$32</f>
        <v>4.3327755343525351E-5</v>
      </c>
    </row>
    <row r="70" spans="2:17" x14ac:dyDescent="0.25">
      <c r="B70" t="s">
        <v>51</v>
      </c>
      <c r="C70" s="286">
        <f>'Balance Sheet'!C44/'Balance Sheet'!C$32</f>
        <v>1.1749467546722445E-4</v>
      </c>
      <c r="D70" s="286">
        <f>'Balance Sheet'!D44/'Balance Sheet'!D$32</f>
        <v>1.7155638363463711E-4</v>
      </c>
      <c r="E70" s="286">
        <f>'Balance Sheet'!E44/'Balance Sheet'!E$32</f>
        <v>2.933211941252554E-4</v>
      </c>
      <c r="F70" s="286">
        <f>'Balance Sheet'!F44/'Balance Sheet'!F$32</f>
        <v>1.2156696144153127E-4</v>
      </c>
      <c r="G70" s="286">
        <f>'Balance Sheet'!G44/'Balance Sheet'!G$32</f>
        <v>1.1042100337391237E-4</v>
      </c>
      <c r="H70" s="286">
        <f>'Balance Sheet'!H44/'Balance Sheet'!H$32</f>
        <v>3.9958088924127059E-4</v>
      </c>
      <c r="I70" s="286">
        <f>'Balance Sheet'!I44/'Balance Sheet'!I$32</f>
        <v>5.0188796760224227E-4</v>
      </c>
      <c r="J70" s="286">
        <f>'Balance Sheet'!J44/'Balance Sheet'!J$32</f>
        <v>5.8590523423597031E-4</v>
      </c>
      <c r="K70" s="286">
        <f>'Balance Sheet'!K44/'Balance Sheet'!K$32</f>
        <v>6.4428059999887025E-4</v>
      </c>
      <c r="L70" s="286">
        <f>'Balance Sheet'!L44/'Balance Sheet'!L$32</f>
        <v>6.7664352322772568E-4</v>
      </c>
      <c r="M70" s="286">
        <f>'Balance Sheet'!M44/'Balance Sheet'!M$32</f>
        <v>6.8606688751285773E-4</v>
      </c>
      <c r="N70" s="286">
        <f>'Balance Sheet'!N44/'Balance Sheet'!N$32</f>
        <v>6.7837991385826673E-4</v>
      </c>
      <c r="O70" s="286">
        <f>'Balance Sheet'!O44/'Balance Sheet'!O$32</f>
        <v>6.5851190949766996E-4</v>
      </c>
      <c r="P70" s="286">
        <f>'Balance Sheet'!P44/'Balance Sheet'!P$32</f>
        <v>6.3146554336833741E-4</v>
      </c>
      <c r="Q70" s="286">
        <f>'Balance Sheet'!Q44/'Balance Sheet'!Q$32</f>
        <v>6.0027624925384365E-4</v>
      </c>
    </row>
    <row r="72" spans="2:17" x14ac:dyDescent="0.25">
      <c r="B72" s="4" t="s">
        <v>52</v>
      </c>
      <c r="C72" s="289">
        <f>'Balance Sheet'!C46/'Balance Sheet'!C$32</f>
        <v>3.1772536549252029E-4</v>
      </c>
      <c r="D72" s="289">
        <f>'Balance Sheet'!D46/'Balance Sheet'!D$32</f>
        <v>1.7713691657553294E-4</v>
      </c>
      <c r="E72" s="289">
        <f>'Balance Sheet'!E46/'Balance Sheet'!E$32</f>
        <v>3.1112364592922911E-4</v>
      </c>
      <c r="F72" s="289">
        <f>'Balance Sheet'!F46/'Balance Sheet'!F$32</f>
        <v>1.3099757381576828E-4</v>
      </c>
      <c r="G72" s="289">
        <f>'Balance Sheet'!G46/'Balance Sheet'!G$32</f>
        <v>1.2948345280547013E-4</v>
      </c>
      <c r="H72" s="289">
        <f>'Balance Sheet'!H46/'Balance Sheet'!H$32</f>
        <v>4.2842251512687651E-4</v>
      </c>
      <c r="I72" s="289">
        <f>'Balance Sheet'!I46/'Balance Sheet'!I$32</f>
        <v>5.381140869883741E-4</v>
      </c>
      <c r="J72" s="289">
        <f>'Balance Sheet'!J46/'Balance Sheet'!J$32</f>
        <v>6.2819569412843205E-4</v>
      </c>
      <c r="K72" s="289">
        <f>'Balance Sheet'!K46/'Balance Sheet'!K$32</f>
        <v>6.9078457586669781E-4</v>
      </c>
      <c r="L72" s="289">
        <f>'Balance Sheet'!L46/'Balance Sheet'!L$32</f>
        <v>7.2548344495648655E-4</v>
      </c>
      <c r="M72" s="289">
        <f>'Balance Sheet'!M46/'Balance Sheet'!M$32</f>
        <v>7.3558698478207467E-4</v>
      </c>
      <c r="N72" s="289">
        <f>'Balance Sheet'!N46/'Balance Sheet'!N$32</f>
        <v>7.2734516772954446E-4</v>
      </c>
      <c r="O72" s="289">
        <f>'Balance Sheet'!O46/'Balance Sheet'!O$32</f>
        <v>7.0604309691509395E-4</v>
      </c>
      <c r="P72" s="289">
        <f>'Balance Sheet'!P46/'Balance Sheet'!P$32</f>
        <v>6.7704453238370929E-4</v>
      </c>
      <c r="Q72" s="289">
        <f>'Balance Sheet'!Q46/'Balance Sheet'!Q$32</f>
        <v>6.4360400459736902E-4</v>
      </c>
    </row>
    <row r="74" spans="2:17" x14ac:dyDescent="0.25">
      <c r="B74" s="1" t="s">
        <v>53</v>
      </c>
    </row>
    <row r="75" spans="2:17" x14ac:dyDescent="0.25">
      <c r="B75" t="s">
        <v>54</v>
      </c>
      <c r="C75" s="280">
        <f>'Balance Sheet'!C49/'Balance Sheet'!C$32</f>
        <v>1.3835854000795549E-3</v>
      </c>
      <c r="D75" s="280">
        <f>'Balance Sheet'!D49/'Balance Sheet'!D$32</f>
        <v>1.1493737651945761E-3</v>
      </c>
      <c r="E75" s="280">
        <f>'Balance Sheet'!E49/'Balance Sheet'!E$32</f>
        <v>1.0295751293298134E-3</v>
      </c>
      <c r="F75" s="280">
        <f>'Balance Sheet'!F49/'Balance Sheet'!F$32</f>
        <v>9.6804781168856172E-4</v>
      </c>
      <c r="G75" s="280">
        <f>'Balance Sheet'!G49/'Balance Sheet'!G$32</f>
        <v>9.0155501578229632E-4</v>
      </c>
      <c r="H75" s="280">
        <f>'Balance Sheet'!H49/'Balance Sheet'!H$32</f>
        <v>8.3578311596759706E-4</v>
      </c>
      <c r="I75" s="280">
        <f>'Balance Sheet'!I49/'Balance Sheet'!I$32</f>
        <v>7.5948940684321018E-4</v>
      </c>
      <c r="J75" s="280">
        <f>'Balance Sheet'!J49/'Balance Sheet'!J$32</f>
        <v>6.7901030252230155E-4</v>
      </c>
      <c r="K75" s="280">
        <f>'Balance Sheet'!K49/'Balance Sheet'!K$32</f>
        <v>5.9991438824495604E-4</v>
      </c>
      <c r="L75" s="280">
        <f>'Balance Sheet'!L49/'Balance Sheet'!L$32</f>
        <v>5.2693258141813036E-4</v>
      </c>
      <c r="M75" s="280">
        <f>'Balance Sheet'!M49/'Balance Sheet'!M$32</f>
        <v>4.6195109693127041E-4</v>
      </c>
      <c r="N75" s="280">
        <f>'Balance Sheet'!N49/'Balance Sheet'!N$32</f>
        <v>4.0593491071651587E-4</v>
      </c>
      <c r="O75" s="280">
        <f>'Balance Sheet'!O49/'Balance Sheet'!O$32</f>
        <v>3.5816058289395603E-4</v>
      </c>
      <c r="P75" s="280">
        <f>'Balance Sheet'!P49/'Balance Sheet'!P$32</f>
        <v>3.179637827059608E-4</v>
      </c>
      <c r="Q75" s="280">
        <f>'Balance Sheet'!Q49/'Balance Sheet'!Q$32</f>
        <v>2.8404480897517939E-4</v>
      </c>
    </row>
    <row r="76" spans="2:17" x14ac:dyDescent="0.25">
      <c r="B76" t="s">
        <v>55</v>
      </c>
      <c r="C76" s="280">
        <f>'Balance Sheet'!C50/'Balance Sheet'!C$32</f>
        <v>0.99794646524788355</v>
      </c>
      <c r="D76" s="280">
        <f>'Balance Sheet'!D50/'Balance Sheet'!D$32</f>
        <v>0.99860742300889738</v>
      </c>
      <c r="E76" s="280">
        <f>'Balance Sheet'!E50/'Balance Sheet'!E$32</f>
        <v>0.99861589162305942</v>
      </c>
      <c r="F76" s="280">
        <f>'Balance Sheet'!F50/'Balance Sheet'!F$32</f>
        <v>0.99885061758381632</v>
      </c>
      <c r="G76" s="280">
        <f>'Balance Sheet'!G50/'Balance Sheet'!G$32</f>
        <v>0.99894919306533536</v>
      </c>
      <c r="H76" s="280">
        <f>'Balance Sheet'!H50/'Balance Sheet'!H$32</f>
        <v>0.99858826995111827</v>
      </c>
      <c r="I76" s="280">
        <f>'Balance Sheet'!I50/'Balance Sheet'!I$32</f>
        <v>0.99851710053178999</v>
      </c>
      <c r="J76" s="280">
        <f>'Balance Sheet'!J50/'Balance Sheet'!J$32</f>
        <v>0.998476479032122</v>
      </c>
      <c r="K76" s="280">
        <f>'Balance Sheet'!K50/'Balance Sheet'!K$32</f>
        <v>0.99847143400329053</v>
      </c>
      <c r="L76" s="280">
        <f>'Balance Sheet'!L50/'Balance Sheet'!L$32</f>
        <v>0.99849776861833317</v>
      </c>
      <c r="M76" s="280">
        <f>'Balance Sheet'!M50/'Balance Sheet'!M$32</f>
        <v>0.99854916747686384</v>
      </c>
      <c r="N76" s="280">
        <f>'Balance Sheet'!N50/'Balance Sheet'!N$32</f>
        <v>0.99861626349451948</v>
      </c>
      <c r="O76" s="280">
        <f>'Balance Sheet'!O50/'Balance Sheet'!O$32</f>
        <v>0.99869267511827564</v>
      </c>
      <c r="P76" s="280">
        <f>'Balance Sheet'!P50/'Balance Sheet'!P$32</f>
        <v>0.9987718559440717</v>
      </c>
      <c r="Q76" s="280">
        <f>'Balance Sheet'!Q50/'Balance Sheet'!Q$32</f>
        <v>0.99885073046690043</v>
      </c>
    </row>
    <row r="77" spans="2:17" x14ac:dyDescent="0.25">
      <c r="C77" s="280"/>
      <c r="D77" s="280"/>
      <c r="E77" s="280"/>
      <c r="F77" s="280"/>
      <c r="G77" s="280"/>
      <c r="H77" s="280"/>
      <c r="I77" s="280"/>
      <c r="J77" s="280"/>
      <c r="K77" s="280"/>
      <c r="L77" s="280"/>
      <c r="M77" s="280"/>
      <c r="N77" s="280"/>
      <c r="O77" s="280"/>
      <c r="P77" s="280"/>
      <c r="Q77" s="280"/>
    </row>
    <row r="78" spans="2:17" x14ac:dyDescent="0.25">
      <c r="B78" s="4" t="s">
        <v>56</v>
      </c>
      <c r="C78" s="147">
        <f>'Balance Sheet'!C52/'Balance Sheet'!C$32</f>
        <v>0.99933005064796299</v>
      </c>
      <c r="D78" s="147">
        <f>'Balance Sheet'!D52/'Balance Sheet'!D$32</f>
        <v>0.99975679677409202</v>
      </c>
      <c r="E78" s="147">
        <f>'Balance Sheet'!E52/'Balance Sheet'!E$32</f>
        <v>0.99964546675238919</v>
      </c>
      <c r="F78" s="147">
        <f>'Balance Sheet'!F52/'Balance Sheet'!F$32</f>
        <v>0.9998186653955049</v>
      </c>
      <c r="G78" s="147">
        <f>'Balance Sheet'!G52/'Balance Sheet'!G$32</f>
        <v>0.99985074808111762</v>
      </c>
      <c r="H78" s="147">
        <f>'Balance Sheet'!H52/'Balance Sheet'!H$32</f>
        <v>0.99942405306708582</v>
      </c>
      <c r="I78" s="147">
        <f>'Balance Sheet'!I52/'Balance Sheet'!I$32</f>
        <v>0.99927658993863322</v>
      </c>
      <c r="J78" s="147">
        <f>'Balance Sheet'!J52/'Balance Sheet'!J$32</f>
        <v>0.99915548933464426</v>
      </c>
      <c r="K78" s="147">
        <f>'Balance Sheet'!K52/'Balance Sheet'!K$32</f>
        <v>0.99907134839153544</v>
      </c>
      <c r="L78" s="147">
        <f>'Balance Sheet'!L52/'Balance Sheet'!L$32</f>
        <v>0.99902470119975129</v>
      </c>
      <c r="M78" s="147">
        <f>'Balance Sheet'!M52/'Balance Sheet'!M$32</f>
        <v>0.9990111185737951</v>
      </c>
      <c r="N78" s="147">
        <f>'Balance Sheet'!N52/'Balance Sheet'!N$32</f>
        <v>0.99902219840523598</v>
      </c>
      <c r="O78" s="147">
        <f>'Balance Sheet'!O52/'Balance Sheet'!O$32</f>
        <v>0.99905083570116959</v>
      </c>
      <c r="P78" s="147">
        <f>'Balance Sheet'!P52/'Balance Sheet'!P$32</f>
        <v>0.99908981972677757</v>
      </c>
      <c r="Q78" s="147">
        <f>'Balance Sheet'!Q52/'Balance Sheet'!Q$32</f>
        <v>0.99913477527587558</v>
      </c>
    </row>
    <row r="79" spans="2:17" x14ac:dyDescent="0.25">
      <c r="C79" s="280"/>
      <c r="D79" s="280"/>
      <c r="E79" s="280"/>
      <c r="F79" s="280"/>
      <c r="G79" s="280"/>
      <c r="H79" s="280"/>
      <c r="I79" s="280"/>
      <c r="J79" s="280"/>
      <c r="K79" s="280"/>
      <c r="L79" s="280"/>
      <c r="M79" s="280"/>
      <c r="N79" s="280"/>
      <c r="O79" s="280"/>
      <c r="P79" s="280"/>
      <c r="Q79" s="280"/>
    </row>
    <row r="80" spans="2:17" x14ac:dyDescent="0.25">
      <c r="B80" s="9" t="s">
        <v>57</v>
      </c>
      <c r="C80" s="290">
        <f>'Balance Sheet'!C54/'Balance Sheet'!C$32</f>
        <v>1</v>
      </c>
      <c r="D80" s="290">
        <f>'Balance Sheet'!D54/'Balance Sheet'!D$32</f>
        <v>1</v>
      </c>
      <c r="E80" s="290">
        <f>'Balance Sheet'!E54/'Balance Sheet'!E$32</f>
        <v>0.99999999999999978</v>
      </c>
      <c r="F80" s="290">
        <f>'Balance Sheet'!F54/'Balance Sheet'!F$32</f>
        <v>0.99999999999999978</v>
      </c>
      <c r="G80" s="290">
        <f>'Balance Sheet'!G54/'Balance Sheet'!G$32</f>
        <v>1.0000000000000002</v>
      </c>
      <c r="H80" s="290">
        <f>'Balance Sheet'!H54/'Balance Sheet'!H$32</f>
        <v>1.0000000000000002</v>
      </c>
      <c r="I80" s="290">
        <f>'Balance Sheet'!I54/'Balance Sheet'!I$32</f>
        <v>1.0000000000000002</v>
      </c>
      <c r="J80" s="290">
        <f>'Balance Sheet'!J54/'Balance Sheet'!J$32</f>
        <v>1.0000000000000002</v>
      </c>
      <c r="K80" s="290">
        <f>'Balance Sheet'!K54/'Balance Sheet'!K$32</f>
        <v>1</v>
      </c>
      <c r="L80" s="290">
        <f>'Balance Sheet'!L54/'Balance Sheet'!L$32</f>
        <v>1</v>
      </c>
      <c r="M80" s="290">
        <f>'Balance Sheet'!M54/'Balance Sheet'!M$32</f>
        <v>0.99999999999999978</v>
      </c>
      <c r="N80" s="290">
        <f>'Balance Sheet'!N54/'Balance Sheet'!N$32</f>
        <v>0.99999999999999989</v>
      </c>
      <c r="O80" s="290">
        <f>'Balance Sheet'!O54/'Balance Sheet'!O$32</f>
        <v>0.99999999999999989</v>
      </c>
      <c r="P80" s="290">
        <f>'Balance Sheet'!P54/'Balance Sheet'!P$32</f>
        <v>1</v>
      </c>
      <c r="Q80" s="290">
        <f>'Balance Sheet'!Q54/'Balance Sheet'!Q$32</f>
        <v>0.99999999999999978</v>
      </c>
    </row>
  </sheetData>
  <mergeCells count="3">
    <mergeCell ref="B7:Q7"/>
    <mergeCell ref="B36:Q36"/>
    <mergeCell ref="B8:Q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G2486"/>
  <sheetViews>
    <sheetView showGridLines="0" topLeftCell="A5" workbookViewId="0">
      <selection activeCell="B7" sqref="B7:G10"/>
    </sheetView>
  </sheetViews>
  <sheetFormatPr defaultRowHeight="15" x14ac:dyDescent="0.25"/>
  <cols>
    <col min="1" max="1" width="1.85546875" customWidth="1"/>
    <col min="2" max="2" width="10.42578125" bestFit="1" customWidth="1"/>
    <col min="3" max="3" width="10.7109375" bestFit="1" customWidth="1"/>
  </cols>
  <sheetData>
    <row r="7" spans="2:7" x14ac:dyDescent="0.25">
      <c r="B7" s="409" t="s">
        <v>197</v>
      </c>
      <c r="C7" s="409"/>
      <c r="E7" s="237" t="s">
        <v>280</v>
      </c>
      <c r="F7" s="238" t="s">
        <v>281</v>
      </c>
      <c r="G7" s="239"/>
    </row>
    <row r="9" spans="2:7" ht="15.75" thickBot="1" x14ac:dyDescent="0.3">
      <c r="B9" s="214" t="s">
        <v>198</v>
      </c>
      <c r="C9" s="214" t="s">
        <v>199</v>
      </c>
      <c r="E9" s="142" t="s">
        <v>204</v>
      </c>
      <c r="F9" s="143">
        <f>YEARFRAC(B10,B2486)</f>
        <v>9.9861111111111107</v>
      </c>
    </row>
    <row r="10" spans="2:7" x14ac:dyDescent="0.25">
      <c r="B10" s="216">
        <v>42269</v>
      </c>
      <c r="C10" s="122">
        <v>25651.84</v>
      </c>
      <c r="E10" s="142" t="s">
        <v>230</v>
      </c>
      <c r="F10" s="144">
        <f>_xlfn.RRI(F9,C10,C2486)</f>
        <v>0.12363300317763359</v>
      </c>
    </row>
    <row r="11" spans="2:7" x14ac:dyDescent="0.25">
      <c r="B11" s="216">
        <v>42270</v>
      </c>
      <c r="C11" s="122">
        <v>25822.99</v>
      </c>
    </row>
    <row r="12" spans="2:7" x14ac:dyDescent="0.25">
      <c r="B12" s="216">
        <v>42271</v>
      </c>
      <c r="C12" s="122">
        <v>25863.5</v>
      </c>
    </row>
    <row r="13" spans="2:7" x14ac:dyDescent="0.25">
      <c r="B13" s="216">
        <v>42275</v>
      </c>
      <c r="C13" s="122">
        <v>25616.84</v>
      </c>
    </row>
    <row r="14" spans="2:7" x14ac:dyDescent="0.25">
      <c r="B14" s="216">
        <v>42276</v>
      </c>
      <c r="C14" s="122">
        <v>25778.66</v>
      </c>
    </row>
    <row r="15" spans="2:7" x14ac:dyDescent="0.25">
      <c r="B15" s="216">
        <v>42277</v>
      </c>
      <c r="C15" s="122">
        <v>26154.83</v>
      </c>
    </row>
    <row r="16" spans="2:7" x14ac:dyDescent="0.25">
      <c r="B16" s="216">
        <v>42278</v>
      </c>
      <c r="C16" s="122">
        <v>26220.95</v>
      </c>
    </row>
    <row r="17" spans="2:3" x14ac:dyDescent="0.25">
      <c r="B17" s="216">
        <v>42282</v>
      </c>
      <c r="C17" s="122">
        <v>26785.55</v>
      </c>
    </row>
    <row r="18" spans="2:3" x14ac:dyDescent="0.25">
      <c r="B18" s="216">
        <v>42283</v>
      </c>
      <c r="C18" s="122">
        <v>26932.880000000001</v>
      </c>
    </row>
    <row r="19" spans="2:3" x14ac:dyDescent="0.25">
      <c r="B19" s="216">
        <v>42284</v>
      </c>
      <c r="C19" s="122">
        <v>27035.85</v>
      </c>
    </row>
    <row r="20" spans="2:3" x14ac:dyDescent="0.25">
      <c r="B20" s="216">
        <v>42285</v>
      </c>
      <c r="C20" s="122">
        <v>26845.81</v>
      </c>
    </row>
    <row r="21" spans="2:3" x14ac:dyDescent="0.25">
      <c r="B21" s="216">
        <v>42286</v>
      </c>
      <c r="C21" s="122">
        <v>27079.51</v>
      </c>
    </row>
    <row r="22" spans="2:3" x14ac:dyDescent="0.25">
      <c r="B22" s="216">
        <v>42289</v>
      </c>
      <c r="C22" s="122">
        <v>26904.11</v>
      </c>
    </row>
    <row r="23" spans="2:3" x14ac:dyDescent="0.25">
      <c r="B23" s="216">
        <v>42290</v>
      </c>
      <c r="C23" s="122">
        <v>26846.53</v>
      </c>
    </row>
    <row r="24" spans="2:3" x14ac:dyDescent="0.25">
      <c r="B24" s="216">
        <v>42291</v>
      </c>
      <c r="C24" s="122">
        <v>26779.66</v>
      </c>
    </row>
    <row r="25" spans="2:3" x14ac:dyDescent="0.25">
      <c r="B25" s="216">
        <v>42292</v>
      </c>
      <c r="C25" s="122">
        <v>27010.14</v>
      </c>
    </row>
    <row r="26" spans="2:3" x14ac:dyDescent="0.25">
      <c r="B26" s="216">
        <v>42293</v>
      </c>
      <c r="C26" s="122">
        <v>27214.6</v>
      </c>
    </row>
    <row r="27" spans="2:3" x14ac:dyDescent="0.25">
      <c r="B27" s="216">
        <v>42296</v>
      </c>
      <c r="C27" s="122">
        <v>27364.92</v>
      </c>
    </row>
    <row r="28" spans="2:3" x14ac:dyDescent="0.25">
      <c r="B28" s="216">
        <v>42297</v>
      </c>
      <c r="C28" s="122">
        <v>27306.83</v>
      </c>
    </row>
    <row r="29" spans="2:3" x14ac:dyDescent="0.25">
      <c r="B29" s="216">
        <v>42298</v>
      </c>
      <c r="C29" s="122">
        <v>27287.66</v>
      </c>
    </row>
    <row r="30" spans="2:3" x14ac:dyDescent="0.25">
      <c r="B30" s="216">
        <v>42300</v>
      </c>
      <c r="C30" s="122">
        <v>27470.81</v>
      </c>
    </row>
    <row r="31" spans="2:3" x14ac:dyDescent="0.25">
      <c r="B31" s="216">
        <v>42303</v>
      </c>
      <c r="C31" s="122">
        <v>27361.96</v>
      </c>
    </row>
    <row r="32" spans="2:3" x14ac:dyDescent="0.25">
      <c r="B32" s="216">
        <v>42304</v>
      </c>
      <c r="C32" s="122">
        <v>27253.439999999999</v>
      </c>
    </row>
    <row r="33" spans="2:3" x14ac:dyDescent="0.25">
      <c r="B33" s="216">
        <v>42305</v>
      </c>
      <c r="C33" s="122">
        <v>27039.759999999998</v>
      </c>
    </row>
    <row r="34" spans="2:3" x14ac:dyDescent="0.25">
      <c r="B34" s="216">
        <v>42306</v>
      </c>
      <c r="C34" s="122">
        <v>26838.14</v>
      </c>
    </row>
    <row r="35" spans="2:3" x14ac:dyDescent="0.25">
      <c r="B35" s="216">
        <v>42307</v>
      </c>
      <c r="C35" s="122">
        <v>26656.83</v>
      </c>
    </row>
    <row r="36" spans="2:3" x14ac:dyDescent="0.25">
      <c r="B36" s="216">
        <v>42310</v>
      </c>
      <c r="C36" s="122">
        <v>26559.15</v>
      </c>
    </row>
    <row r="37" spans="2:3" x14ac:dyDescent="0.25">
      <c r="B37" s="216">
        <v>42311</v>
      </c>
      <c r="C37" s="122">
        <v>26590.59</v>
      </c>
    </row>
    <row r="38" spans="2:3" x14ac:dyDescent="0.25">
      <c r="B38" s="216">
        <v>42312</v>
      </c>
      <c r="C38" s="122">
        <v>26552.92</v>
      </c>
    </row>
    <row r="39" spans="2:3" x14ac:dyDescent="0.25">
      <c r="B39" s="216">
        <v>42313</v>
      </c>
      <c r="C39" s="122">
        <v>26304.2</v>
      </c>
    </row>
    <row r="40" spans="2:3" x14ac:dyDescent="0.25">
      <c r="B40" s="216">
        <v>42314</v>
      </c>
      <c r="C40" s="122">
        <v>26265.24</v>
      </c>
    </row>
    <row r="41" spans="2:3" x14ac:dyDescent="0.25">
      <c r="B41" s="216">
        <v>42317</v>
      </c>
      <c r="C41" s="122">
        <v>26121.4</v>
      </c>
    </row>
    <row r="42" spans="2:3" x14ac:dyDescent="0.25">
      <c r="B42" s="216">
        <v>42318</v>
      </c>
      <c r="C42" s="122">
        <v>25743.26</v>
      </c>
    </row>
    <row r="43" spans="2:3" x14ac:dyDescent="0.25">
      <c r="B43" s="216">
        <v>42319</v>
      </c>
      <c r="C43" s="122">
        <v>25866.95</v>
      </c>
    </row>
    <row r="44" spans="2:3" x14ac:dyDescent="0.25">
      <c r="B44" s="216">
        <v>42321</v>
      </c>
      <c r="C44" s="122">
        <v>25610.53</v>
      </c>
    </row>
    <row r="45" spans="2:3" x14ac:dyDescent="0.25">
      <c r="B45" s="216">
        <v>42324</v>
      </c>
      <c r="C45" s="122">
        <v>25760.1</v>
      </c>
    </row>
    <row r="46" spans="2:3" x14ac:dyDescent="0.25">
      <c r="B46" s="216">
        <v>42325</v>
      </c>
      <c r="C46" s="122">
        <v>25864.47</v>
      </c>
    </row>
    <row r="47" spans="2:3" x14ac:dyDescent="0.25">
      <c r="B47" s="216">
        <v>42326</v>
      </c>
      <c r="C47" s="122">
        <v>25482.52</v>
      </c>
    </row>
    <row r="48" spans="2:3" x14ac:dyDescent="0.25">
      <c r="B48" s="216">
        <v>42327</v>
      </c>
      <c r="C48" s="122">
        <v>25841.919999999998</v>
      </c>
    </row>
    <row r="49" spans="2:3" x14ac:dyDescent="0.25">
      <c r="B49" s="216">
        <v>42328</v>
      </c>
      <c r="C49" s="122">
        <v>25868.49</v>
      </c>
    </row>
    <row r="50" spans="2:3" x14ac:dyDescent="0.25">
      <c r="B50" s="216">
        <v>42331</v>
      </c>
      <c r="C50" s="122">
        <v>25819.34</v>
      </c>
    </row>
    <row r="51" spans="2:3" x14ac:dyDescent="0.25">
      <c r="B51" s="216">
        <v>42332</v>
      </c>
      <c r="C51" s="122">
        <v>25775.74</v>
      </c>
    </row>
    <row r="52" spans="2:3" x14ac:dyDescent="0.25">
      <c r="B52" s="216">
        <v>42334</v>
      </c>
      <c r="C52" s="122">
        <v>25958.63</v>
      </c>
    </row>
    <row r="53" spans="2:3" x14ac:dyDescent="0.25">
      <c r="B53" s="216">
        <v>42335</v>
      </c>
      <c r="C53" s="122">
        <v>26128.2</v>
      </c>
    </row>
    <row r="54" spans="2:3" x14ac:dyDescent="0.25">
      <c r="B54" s="216">
        <v>42338</v>
      </c>
      <c r="C54" s="122">
        <v>26145.67</v>
      </c>
    </row>
    <row r="55" spans="2:3" x14ac:dyDescent="0.25">
      <c r="B55" s="216">
        <v>42339</v>
      </c>
      <c r="C55" s="122">
        <v>26169.41</v>
      </c>
    </row>
    <row r="56" spans="2:3" x14ac:dyDescent="0.25">
      <c r="B56" s="216">
        <v>42340</v>
      </c>
      <c r="C56" s="122">
        <v>26117.85</v>
      </c>
    </row>
    <row r="57" spans="2:3" x14ac:dyDescent="0.25">
      <c r="B57" s="216">
        <v>42341</v>
      </c>
      <c r="C57" s="122">
        <v>25886.62</v>
      </c>
    </row>
    <row r="58" spans="2:3" x14ac:dyDescent="0.25">
      <c r="B58" s="216">
        <v>42342</v>
      </c>
      <c r="C58" s="122">
        <v>25638.11</v>
      </c>
    </row>
    <row r="59" spans="2:3" x14ac:dyDescent="0.25">
      <c r="B59" s="216">
        <v>42345</v>
      </c>
      <c r="C59" s="122">
        <v>25530.11</v>
      </c>
    </row>
    <row r="60" spans="2:3" x14ac:dyDescent="0.25">
      <c r="B60" s="216">
        <v>42346</v>
      </c>
      <c r="C60" s="122">
        <v>25310.33</v>
      </c>
    </row>
    <row r="61" spans="2:3" x14ac:dyDescent="0.25">
      <c r="B61" s="216">
        <v>42347</v>
      </c>
      <c r="C61" s="122">
        <v>25036.05</v>
      </c>
    </row>
    <row r="62" spans="2:3" x14ac:dyDescent="0.25">
      <c r="B62" s="216">
        <v>42348</v>
      </c>
      <c r="C62" s="122">
        <v>25252.32</v>
      </c>
    </row>
    <row r="63" spans="2:3" x14ac:dyDescent="0.25">
      <c r="B63" s="216">
        <v>42349</v>
      </c>
      <c r="C63" s="122">
        <v>25044.43</v>
      </c>
    </row>
    <row r="64" spans="2:3" x14ac:dyDescent="0.25">
      <c r="B64" s="216">
        <v>42352</v>
      </c>
      <c r="C64" s="122">
        <v>25150.35</v>
      </c>
    </row>
    <row r="65" spans="2:3" x14ac:dyDescent="0.25">
      <c r="B65" s="216">
        <v>42353</v>
      </c>
      <c r="C65" s="122">
        <v>25320.44</v>
      </c>
    </row>
    <row r="66" spans="2:3" x14ac:dyDescent="0.25">
      <c r="B66" s="216">
        <v>42354</v>
      </c>
      <c r="C66" s="122">
        <v>25494.37</v>
      </c>
    </row>
    <row r="67" spans="2:3" x14ac:dyDescent="0.25">
      <c r="B67" s="216">
        <v>42355</v>
      </c>
      <c r="C67" s="122">
        <v>25803.78</v>
      </c>
    </row>
    <row r="68" spans="2:3" x14ac:dyDescent="0.25">
      <c r="B68" s="216">
        <v>42356</v>
      </c>
      <c r="C68" s="122">
        <v>25519.22</v>
      </c>
    </row>
    <row r="69" spans="2:3" x14ac:dyDescent="0.25">
      <c r="B69" s="216">
        <v>42359</v>
      </c>
      <c r="C69" s="122">
        <v>25735.9</v>
      </c>
    </row>
    <row r="70" spans="2:3" x14ac:dyDescent="0.25">
      <c r="B70" s="216">
        <v>42360</v>
      </c>
      <c r="C70" s="122">
        <v>25590.65</v>
      </c>
    </row>
    <row r="71" spans="2:3" x14ac:dyDescent="0.25">
      <c r="B71" s="216">
        <v>42361</v>
      </c>
      <c r="C71" s="122">
        <v>25850.3</v>
      </c>
    </row>
    <row r="72" spans="2:3" x14ac:dyDescent="0.25">
      <c r="B72" s="216">
        <v>42362</v>
      </c>
      <c r="C72" s="122">
        <v>25838.71</v>
      </c>
    </row>
    <row r="73" spans="2:3" x14ac:dyDescent="0.25">
      <c r="B73" s="216">
        <v>42366</v>
      </c>
      <c r="C73" s="122">
        <v>26034.13</v>
      </c>
    </row>
    <row r="74" spans="2:3" x14ac:dyDescent="0.25">
      <c r="B74" s="216">
        <v>42367</v>
      </c>
      <c r="C74" s="122">
        <v>26079.48</v>
      </c>
    </row>
    <row r="75" spans="2:3" x14ac:dyDescent="0.25">
      <c r="B75" s="216">
        <v>42368</v>
      </c>
      <c r="C75" s="122">
        <v>25960.03</v>
      </c>
    </row>
    <row r="76" spans="2:3" x14ac:dyDescent="0.25">
      <c r="B76" s="216">
        <v>42369</v>
      </c>
      <c r="C76" s="122">
        <v>26117.54</v>
      </c>
    </row>
    <row r="77" spans="2:3" x14ac:dyDescent="0.25">
      <c r="B77" s="216">
        <v>42370</v>
      </c>
      <c r="C77" s="122">
        <v>26160.9</v>
      </c>
    </row>
    <row r="78" spans="2:3" x14ac:dyDescent="0.25">
      <c r="B78" s="216">
        <v>42373</v>
      </c>
      <c r="C78" s="122">
        <v>25623.35</v>
      </c>
    </row>
    <row r="79" spans="2:3" x14ac:dyDescent="0.25">
      <c r="B79" s="216">
        <v>42374</v>
      </c>
      <c r="C79" s="122">
        <v>25580.34</v>
      </c>
    </row>
    <row r="80" spans="2:3" x14ac:dyDescent="0.25">
      <c r="B80" s="216">
        <v>42375</v>
      </c>
      <c r="C80" s="122">
        <v>25406.33</v>
      </c>
    </row>
    <row r="81" spans="2:3" x14ac:dyDescent="0.25">
      <c r="B81" s="216">
        <v>42376</v>
      </c>
      <c r="C81" s="122">
        <v>24851.83</v>
      </c>
    </row>
    <row r="82" spans="2:3" x14ac:dyDescent="0.25">
      <c r="B82" s="216">
        <v>42377</v>
      </c>
      <c r="C82" s="122">
        <v>24934.33</v>
      </c>
    </row>
    <row r="83" spans="2:3" x14ac:dyDescent="0.25">
      <c r="B83" s="216">
        <v>42380</v>
      </c>
      <c r="C83" s="122">
        <v>24825.040000000001</v>
      </c>
    </row>
    <row r="84" spans="2:3" x14ac:dyDescent="0.25">
      <c r="B84" s="216">
        <v>42381</v>
      </c>
      <c r="C84" s="122">
        <v>24682.03</v>
      </c>
    </row>
    <row r="85" spans="2:3" x14ac:dyDescent="0.25">
      <c r="B85" s="216">
        <v>42382</v>
      </c>
      <c r="C85" s="122">
        <v>24854.11</v>
      </c>
    </row>
    <row r="86" spans="2:3" x14ac:dyDescent="0.25">
      <c r="B86" s="216">
        <v>42383</v>
      </c>
      <c r="C86" s="122">
        <v>24772.97</v>
      </c>
    </row>
    <row r="87" spans="2:3" x14ac:dyDescent="0.25">
      <c r="B87" s="216">
        <v>42384</v>
      </c>
      <c r="C87" s="122">
        <v>24455.040000000001</v>
      </c>
    </row>
    <row r="88" spans="2:3" x14ac:dyDescent="0.25">
      <c r="B88" s="216">
        <v>42387</v>
      </c>
      <c r="C88" s="122">
        <v>24188.37</v>
      </c>
    </row>
    <row r="89" spans="2:3" x14ac:dyDescent="0.25">
      <c r="B89" s="216">
        <v>42388</v>
      </c>
      <c r="C89" s="122">
        <v>24479.84</v>
      </c>
    </row>
    <row r="90" spans="2:3" x14ac:dyDescent="0.25">
      <c r="B90" s="216">
        <v>42389</v>
      </c>
      <c r="C90" s="122">
        <v>24062.04</v>
      </c>
    </row>
    <row r="91" spans="2:3" x14ac:dyDescent="0.25">
      <c r="B91" s="216">
        <v>42390</v>
      </c>
      <c r="C91" s="122">
        <v>23962.21</v>
      </c>
    </row>
    <row r="92" spans="2:3" x14ac:dyDescent="0.25">
      <c r="B92" s="216">
        <v>42391</v>
      </c>
      <c r="C92" s="122">
        <v>24435.66</v>
      </c>
    </row>
    <row r="93" spans="2:3" x14ac:dyDescent="0.25">
      <c r="B93" s="216">
        <v>42394</v>
      </c>
      <c r="C93" s="122">
        <v>24485.95</v>
      </c>
    </row>
    <row r="94" spans="2:3" x14ac:dyDescent="0.25">
      <c r="B94" s="216">
        <v>42396</v>
      </c>
      <c r="C94" s="122">
        <v>24492.39</v>
      </c>
    </row>
    <row r="95" spans="2:3" x14ac:dyDescent="0.25">
      <c r="B95" s="216">
        <v>42397</v>
      </c>
      <c r="C95" s="122">
        <v>24469.57</v>
      </c>
    </row>
    <row r="96" spans="2:3" x14ac:dyDescent="0.25">
      <c r="B96" s="216">
        <v>42398</v>
      </c>
      <c r="C96" s="122">
        <v>24870.69</v>
      </c>
    </row>
    <row r="97" spans="2:3" x14ac:dyDescent="0.25">
      <c r="B97" s="216">
        <v>42401</v>
      </c>
      <c r="C97" s="122">
        <v>24824.83</v>
      </c>
    </row>
    <row r="98" spans="2:3" x14ac:dyDescent="0.25">
      <c r="B98" s="216">
        <v>42402</v>
      </c>
      <c r="C98" s="122">
        <v>24539</v>
      </c>
    </row>
    <row r="99" spans="2:3" x14ac:dyDescent="0.25">
      <c r="B99" s="216">
        <v>42403</v>
      </c>
      <c r="C99" s="122">
        <v>24223.32</v>
      </c>
    </row>
    <row r="100" spans="2:3" x14ac:dyDescent="0.25">
      <c r="B100" s="216">
        <v>42404</v>
      </c>
      <c r="C100" s="122">
        <v>24338.43</v>
      </c>
    </row>
    <row r="101" spans="2:3" x14ac:dyDescent="0.25">
      <c r="B101" s="216">
        <v>42405</v>
      </c>
      <c r="C101" s="122">
        <v>24616.97</v>
      </c>
    </row>
    <row r="102" spans="2:3" x14ac:dyDescent="0.25">
      <c r="B102" s="216">
        <v>42408</v>
      </c>
      <c r="C102" s="122">
        <v>24287.42</v>
      </c>
    </row>
    <row r="103" spans="2:3" x14ac:dyDescent="0.25">
      <c r="B103" s="216">
        <v>42409</v>
      </c>
      <c r="C103" s="122">
        <v>24020.98</v>
      </c>
    </row>
    <row r="104" spans="2:3" x14ac:dyDescent="0.25">
      <c r="B104" s="216">
        <v>42410</v>
      </c>
      <c r="C104" s="122">
        <v>23758.9</v>
      </c>
    </row>
    <row r="105" spans="2:3" x14ac:dyDescent="0.25">
      <c r="B105" s="216">
        <v>42411</v>
      </c>
      <c r="C105" s="122">
        <v>22951.83</v>
      </c>
    </row>
    <row r="106" spans="2:3" x14ac:dyDescent="0.25">
      <c r="B106" s="216">
        <v>42412</v>
      </c>
      <c r="C106" s="122">
        <v>22986.12</v>
      </c>
    </row>
    <row r="107" spans="2:3" x14ac:dyDescent="0.25">
      <c r="B107" s="216">
        <v>42415</v>
      </c>
      <c r="C107" s="122">
        <v>23554.12</v>
      </c>
    </row>
    <row r="108" spans="2:3" x14ac:dyDescent="0.25">
      <c r="B108" s="216">
        <v>42416</v>
      </c>
      <c r="C108" s="122">
        <v>23191.97</v>
      </c>
    </row>
    <row r="109" spans="2:3" x14ac:dyDescent="0.25">
      <c r="B109" s="216">
        <v>42417</v>
      </c>
      <c r="C109" s="122">
        <v>23381.87</v>
      </c>
    </row>
    <row r="110" spans="2:3" x14ac:dyDescent="0.25">
      <c r="B110" s="216">
        <v>42418</v>
      </c>
      <c r="C110" s="122">
        <v>23649.22</v>
      </c>
    </row>
    <row r="111" spans="2:3" x14ac:dyDescent="0.25">
      <c r="B111" s="216">
        <v>42419</v>
      </c>
      <c r="C111" s="122">
        <v>23709.15</v>
      </c>
    </row>
    <row r="112" spans="2:3" x14ac:dyDescent="0.25">
      <c r="B112" s="216">
        <v>42422</v>
      </c>
      <c r="C112" s="122">
        <v>23788.79</v>
      </c>
    </row>
    <row r="113" spans="2:3" x14ac:dyDescent="0.25">
      <c r="B113" s="216">
        <v>42423</v>
      </c>
      <c r="C113" s="122">
        <v>23410.18</v>
      </c>
    </row>
    <row r="114" spans="2:3" x14ac:dyDescent="0.25">
      <c r="B114" s="216">
        <v>42424</v>
      </c>
      <c r="C114" s="122">
        <v>23088.93</v>
      </c>
    </row>
    <row r="115" spans="2:3" x14ac:dyDescent="0.25">
      <c r="B115" s="216">
        <v>42425</v>
      </c>
      <c r="C115" s="122">
        <v>22976</v>
      </c>
    </row>
    <row r="116" spans="2:3" x14ac:dyDescent="0.25">
      <c r="B116" s="216">
        <v>42426</v>
      </c>
      <c r="C116" s="122">
        <v>23154.3</v>
      </c>
    </row>
    <row r="117" spans="2:3" x14ac:dyDescent="0.25">
      <c r="B117" s="216">
        <v>42429</v>
      </c>
      <c r="C117" s="122">
        <v>23002</v>
      </c>
    </row>
    <row r="118" spans="2:3" x14ac:dyDescent="0.25">
      <c r="B118" s="216">
        <v>42430</v>
      </c>
      <c r="C118" s="122">
        <v>23779.35</v>
      </c>
    </row>
    <row r="119" spans="2:3" x14ac:dyDescent="0.25">
      <c r="B119" s="216">
        <v>42431</v>
      </c>
      <c r="C119" s="122">
        <v>24242.98</v>
      </c>
    </row>
    <row r="120" spans="2:3" x14ac:dyDescent="0.25">
      <c r="B120" s="216">
        <v>42432</v>
      </c>
      <c r="C120" s="122">
        <v>24606.99</v>
      </c>
    </row>
    <row r="121" spans="2:3" x14ac:dyDescent="0.25">
      <c r="B121" s="216">
        <v>42433</v>
      </c>
      <c r="C121" s="122">
        <v>24646.48</v>
      </c>
    </row>
    <row r="122" spans="2:3" x14ac:dyDescent="0.25">
      <c r="B122" s="216">
        <v>42437</v>
      </c>
      <c r="C122" s="122">
        <v>24659.23</v>
      </c>
    </row>
    <row r="123" spans="2:3" x14ac:dyDescent="0.25">
      <c r="B123" s="216">
        <v>42438</v>
      </c>
      <c r="C123" s="122">
        <v>24793.96</v>
      </c>
    </row>
    <row r="124" spans="2:3" x14ac:dyDescent="0.25">
      <c r="B124" s="216">
        <v>42439</v>
      </c>
      <c r="C124" s="122">
        <v>24623.34</v>
      </c>
    </row>
    <row r="125" spans="2:3" x14ac:dyDescent="0.25">
      <c r="B125" s="216">
        <v>42440</v>
      </c>
      <c r="C125" s="122">
        <v>24717.99</v>
      </c>
    </row>
    <row r="126" spans="2:3" x14ac:dyDescent="0.25">
      <c r="B126" s="216">
        <v>42443</v>
      </c>
      <c r="C126" s="122">
        <v>24804.28</v>
      </c>
    </row>
    <row r="127" spans="2:3" x14ac:dyDescent="0.25">
      <c r="B127" s="216">
        <v>42444</v>
      </c>
      <c r="C127" s="122">
        <v>24551.17</v>
      </c>
    </row>
    <row r="128" spans="2:3" x14ac:dyDescent="0.25">
      <c r="B128" s="216">
        <v>42445</v>
      </c>
      <c r="C128" s="122">
        <v>24682.48</v>
      </c>
    </row>
    <row r="129" spans="2:3" x14ac:dyDescent="0.25">
      <c r="B129" s="216">
        <v>42446</v>
      </c>
      <c r="C129" s="122">
        <v>24677.37</v>
      </c>
    </row>
    <row r="130" spans="2:3" x14ac:dyDescent="0.25">
      <c r="B130" s="216">
        <v>42447</v>
      </c>
      <c r="C130" s="122">
        <v>24952.74</v>
      </c>
    </row>
    <row r="131" spans="2:3" x14ac:dyDescent="0.25">
      <c r="B131" s="216">
        <v>42450</v>
      </c>
      <c r="C131" s="122">
        <v>25285.37</v>
      </c>
    </row>
    <row r="132" spans="2:3" x14ac:dyDescent="0.25">
      <c r="B132" s="216">
        <v>42451</v>
      </c>
      <c r="C132" s="122">
        <v>25330.49</v>
      </c>
    </row>
    <row r="133" spans="2:3" x14ac:dyDescent="0.25">
      <c r="B133" s="216">
        <v>42452</v>
      </c>
      <c r="C133" s="122">
        <v>25337.56</v>
      </c>
    </row>
    <row r="134" spans="2:3" x14ac:dyDescent="0.25">
      <c r="B134" s="216">
        <v>42457</v>
      </c>
      <c r="C134" s="122">
        <v>24966.400000000001</v>
      </c>
    </row>
    <row r="135" spans="2:3" x14ac:dyDescent="0.25">
      <c r="B135" s="216">
        <v>42458</v>
      </c>
      <c r="C135" s="122">
        <v>24900.46</v>
      </c>
    </row>
    <row r="136" spans="2:3" x14ac:dyDescent="0.25">
      <c r="B136" s="216">
        <v>42459</v>
      </c>
      <c r="C136" s="122">
        <v>25338.58</v>
      </c>
    </row>
    <row r="137" spans="2:3" x14ac:dyDescent="0.25">
      <c r="B137" s="216">
        <v>42460</v>
      </c>
      <c r="C137" s="122">
        <v>25341.86</v>
      </c>
    </row>
    <row r="138" spans="2:3" x14ac:dyDescent="0.25">
      <c r="B138" s="216">
        <v>42461</v>
      </c>
      <c r="C138" s="122">
        <v>25269.64</v>
      </c>
    </row>
    <row r="139" spans="2:3" x14ac:dyDescent="0.25">
      <c r="B139" s="216">
        <v>42464</v>
      </c>
      <c r="C139" s="122">
        <v>25399.65</v>
      </c>
    </row>
    <row r="140" spans="2:3" x14ac:dyDescent="0.25">
      <c r="B140" s="216">
        <v>42465</v>
      </c>
      <c r="C140" s="122">
        <v>24883.59</v>
      </c>
    </row>
    <row r="141" spans="2:3" x14ac:dyDescent="0.25">
      <c r="B141" s="216">
        <v>42466</v>
      </c>
      <c r="C141" s="122">
        <v>24900.63</v>
      </c>
    </row>
    <row r="142" spans="2:3" x14ac:dyDescent="0.25">
      <c r="B142" s="216">
        <v>42467</v>
      </c>
      <c r="C142" s="122">
        <v>24685.42</v>
      </c>
    </row>
    <row r="143" spans="2:3" x14ac:dyDescent="0.25">
      <c r="B143" s="216">
        <v>42468</v>
      </c>
      <c r="C143" s="122">
        <v>24673.84</v>
      </c>
    </row>
    <row r="144" spans="2:3" x14ac:dyDescent="0.25">
      <c r="B144" s="216">
        <v>42471</v>
      </c>
      <c r="C144" s="122">
        <v>25022.16</v>
      </c>
    </row>
    <row r="145" spans="2:3" x14ac:dyDescent="0.25">
      <c r="B145" s="216">
        <v>42472</v>
      </c>
      <c r="C145" s="122">
        <v>25145.59</v>
      </c>
    </row>
    <row r="146" spans="2:3" x14ac:dyDescent="0.25">
      <c r="B146" s="216">
        <v>42473</v>
      </c>
      <c r="C146" s="122">
        <v>25626.75</v>
      </c>
    </row>
    <row r="147" spans="2:3" x14ac:dyDescent="0.25">
      <c r="B147" s="216">
        <v>42478</v>
      </c>
      <c r="C147" s="122">
        <v>25816.36</v>
      </c>
    </row>
    <row r="148" spans="2:3" x14ac:dyDescent="0.25">
      <c r="B148" s="216">
        <v>42480</v>
      </c>
      <c r="C148" s="122">
        <v>25844.18</v>
      </c>
    </row>
    <row r="149" spans="2:3" x14ac:dyDescent="0.25">
      <c r="B149" s="216">
        <v>42481</v>
      </c>
      <c r="C149" s="122">
        <v>25880.38</v>
      </c>
    </row>
    <row r="150" spans="2:3" x14ac:dyDescent="0.25">
      <c r="B150" s="216">
        <v>42482</v>
      </c>
      <c r="C150" s="122">
        <v>25838.14</v>
      </c>
    </row>
    <row r="151" spans="2:3" x14ac:dyDescent="0.25">
      <c r="B151" s="216">
        <v>42485</v>
      </c>
      <c r="C151" s="122">
        <v>25678.93</v>
      </c>
    </row>
    <row r="152" spans="2:3" x14ac:dyDescent="0.25">
      <c r="B152" s="216">
        <v>42486</v>
      </c>
      <c r="C152" s="122">
        <v>26007.3</v>
      </c>
    </row>
    <row r="153" spans="2:3" x14ac:dyDescent="0.25">
      <c r="B153" s="216">
        <v>42487</v>
      </c>
      <c r="C153" s="122">
        <v>26064.12</v>
      </c>
    </row>
    <row r="154" spans="2:3" x14ac:dyDescent="0.25">
      <c r="B154" s="216">
        <v>42488</v>
      </c>
      <c r="C154" s="122">
        <v>25603.1</v>
      </c>
    </row>
    <row r="155" spans="2:3" x14ac:dyDescent="0.25">
      <c r="B155" s="216">
        <v>42489</v>
      </c>
      <c r="C155" s="122">
        <v>25606.62</v>
      </c>
    </row>
    <row r="156" spans="2:3" x14ac:dyDescent="0.25">
      <c r="B156" s="216">
        <v>42492</v>
      </c>
      <c r="C156" s="122">
        <v>25436.97</v>
      </c>
    </row>
    <row r="157" spans="2:3" x14ac:dyDescent="0.25">
      <c r="B157" s="216">
        <v>42493</v>
      </c>
      <c r="C157" s="122">
        <v>25229.7</v>
      </c>
    </row>
    <row r="158" spans="2:3" x14ac:dyDescent="0.25">
      <c r="B158" s="216">
        <v>42494</v>
      </c>
      <c r="C158" s="122">
        <v>25101.73</v>
      </c>
    </row>
    <row r="159" spans="2:3" x14ac:dyDescent="0.25">
      <c r="B159" s="216">
        <v>42495</v>
      </c>
      <c r="C159" s="122">
        <v>25262.21</v>
      </c>
    </row>
    <row r="160" spans="2:3" x14ac:dyDescent="0.25">
      <c r="B160" s="216">
        <v>42496</v>
      </c>
      <c r="C160" s="122">
        <v>25228.5</v>
      </c>
    </row>
    <row r="161" spans="2:3" x14ac:dyDescent="0.25">
      <c r="B161" s="216">
        <v>42499</v>
      </c>
      <c r="C161" s="122">
        <v>25688.86</v>
      </c>
    </row>
    <row r="162" spans="2:3" x14ac:dyDescent="0.25">
      <c r="B162" s="216">
        <v>42500</v>
      </c>
      <c r="C162" s="122">
        <v>25772.53</v>
      </c>
    </row>
    <row r="163" spans="2:3" x14ac:dyDescent="0.25">
      <c r="B163" s="216">
        <v>42501</v>
      </c>
      <c r="C163" s="122">
        <v>25597.02</v>
      </c>
    </row>
    <row r="164" spans="2:3" x14ac:dyDescent="0.25">
      <c r="B164" s="216">
        <v>42502</v>
      </c>
      <c r="C164" s="122">
        <v>25790.22</v>
      </c>
    </row>
    <row r="165" spans="2:3" x14ac:dyDescent="0.25">
      <c r="B165" s="216">
        <v>42503</v>
      </c>
      <c r="C165" s="122">
        <v>25489.57</v>
      </c>
    </row>
    <row r="166" spans="2:3" x14ac:dyDescent="0.25">
      <c r="B166" s="216">
        <v>42506</v>
      </c>
      <c r="C166" s="122">
        <v>25653.23</v>
      </c>
    </row>
    <row r="167" spans="2:3" x14ac:dyDescent="0.25">
      <c r="B167" s="216">
        <v>42507</v>
      </c>
      <c r="C167" s="122">
        <v>25773.61</v>
      </c>
    </row>
    <row r="168" spans="2:3" x14ac:dyDescent="0.25">
      <c r="B168" s="216">
        <v>42508</v>
      </c>
      <c r="C168" s="122">
        <v>25704.61</v>
      </c>
    </row>
    <row r="169" spans="2:3" x14ac:dyDescent="0.25">
      <c r="B169" s="216">
        <v>42509</v>
      </c>
      <c r="C169" s="122">
        <v>25399.72</v>
      </c>
    </row>
    <row r="170" spans="2:3" x14ac:dyDescent="0.25">
      <c r="B170" s="216">
        <v>42510</v>
      </c>
      <c r="C170" s="122">
        <v>25301.9</v>
      </c>
    </row>
    <row r="171" spans="2:3" x14ac:dyDescent="0.25">
      <c r="B171" s="216">
        <v>42513</v>
      </c>
      <c r="C171" s="122">
        <v>25230.36</v>
      </c>
    </row>
    <row r="172" spans="2:3" x14ac:dyDescent="0.25">
      <c r="B172" s="216">
        <v>42514</v>
      </c>
      <c r="C172" s="122">
        <v>25305.47</v>
      </c>
    </row>
    <row r="173" spans="2:3" x14ac:dyDescent="0.25">
      <c r="B173" s="216">
        <v>42515</v>
      </c>
      <c r="C173" s="122">
        <v>25881.17</v>
      </c>
    </row>
    <row r="174" spans="2:3" x14ac:dyDescent="0.25">
      <c r="B174" s="216">
        <v>42516</v>
      </c>
      <c r="C174" s="122">
        <v>26366.68</v>
      </c>
    </row>
    <row r="175" spans="2:3" x14ac:dyDescent="0.25">
      <c r="B175" s="216">
        <v>42517</v>
      </c>
      <c r="C175" s="122">
        <v>26653.599999999999</v>
      </c>
    </row>
    <row r="176" spans="2:3" x14ac:dyDescent="0.25">
      <c r="B176" s="216">
        <v>42520</v>
      </c>
      <c r="C176" s="122">
        <v>26725.599999999999</v>
      </c>
    </row>
    <row r="177" spans="2:3" x14ac:dyDescent="0.25">
      <c r="B177" s="216">
        <v>42521</v>
      </c>
      <c r="C177" s="122">
        <v>26667.96</v>
      </c>
    </row>
    <row r="178" spans="2:3" x14ac:dyDescent="0.25">
      <c r="B178" s="216">
        <v>42522</v>
      </c>
      <c r="C178" s="122">
        <v>26713.93</v>
      </c>
    </row>
    <row r="179" spans="2:3" x14ac:dyDescent="0.25">
      <c r="B179" s="216">
        <v>42523</v>
      </c>
      <c r="C179" s="122">
        <v>26843.14</v>
      </c>
    </row>
    <row r="180" spans="2:3" x14ac:dyDescent="0.25">
      <c r="B180" s="216">
        <v>42524</v>
      </c>
      <c r="C180" s="122">
        <v>26843.03</v>
      </c>
    </row>
    <row r="181" spans="2:3" x14ac:dyDescent="0.25">
      <c r="B181" s="216">
        <v>42527</v>
      </c>
      <c r="C181" s="122">
        <v>26777.45</v>
      </c>
    </row>
    <row r="182" spans="2:3" x14ac:dyDescent="0.25">
      <c r="B182" s="216">
        <v>42528</v>
      </c>
      <c r="C182" s="122">
        <v>27009.67</v>
      </c>
    </row>
    <row r="183" spans="2:3" x14ac:dyDescent="0.25">
      <c r="B183" s="216">
        <v>42529</v>
      </c>
      <c r="C183" s="122">
        <v>27020.66</v>
      </c>
    </row>
    <row r="184" spans="2:3" x14ac:dyDescent="0.25">
      <c r="B184" s="216">
        <v>42530</v>
      </c>
      <c r="C184" s="122">
        <v>26763.46</v>
      </c>
    </row>
    <row r="185" spans="2:3" x14ac:dyDescent="0.25">
      <c r="B185" s="216">
        <v>42531</v>
      </c>
      <c r="C185" s="122">
        <v>26635.75</v>
      </c>
    </row>
    <row r="186" spans="2:3" x14ac:dyDescent="0.25">
      <c r="B186" s="216">
        <v>42534</v>
      </c>
      <c r="C186" s="122">
        <v>26396.77</v>
      </c>
    </row>
    <row r="187" spans="2:3" x14ac:dyDescent="0.25">
      <c r="B187" s="216">
        <v>42535</v>
      </c>
      <c r="C187" s="122">
        <v>26395.71</v>
      </c>
    </row>
    <row r="188" spans="2:3" x14ac:dyDescent="0.25">
      <c r="B188" s="216">
        <v>42536</v>
      </c>
      <c r="C188" s="122">
        <v>26726.34</v>
      </c>
    </row>
    <row r="189" spans="2:3" x14ac:dyDescent="0.25">
      <c r="B189" s="216">
        <v>42537</v>
      </c>
      <c r="C189" s="122">
        <v>26525.46</v>
      </c>
    </row>
    <row r="190" spans="2:3" x14ac:dyDescent="0.25">
      <c r="B190" s="216">
        <v>42538</v>
      </c>
      <c r="C190" s="122">
        <v>26625.91</v>
      </c>
    </row>
    <row r="191" spans="2:3" x14ac:dyDescent="0.25">
      <c r="B191" s="216">
        <v>42541</v>
      </c>
      <c r="C191" s="122">
        <v>26866.92</v>
      </c>
    </row>
    <row r="192" spans="2:3" x14ac:dyDescent="0.25">
      <c r="B192" s="216">
        <v>42542</v>
      </c>
      <c r="C192" s="122">
        <v>26812.78</v>
      </c>
    </row>
    <row r="193" spans="2:3" x14ac:dyDescent="0.25">
      <c r="B193" s="216">
        <v>42543</v>
      </c>
      <c r="C193" s="122">
        <v>26765.65</v>
      </c>
    </row>
    <row r="194" spans="2:3" x14ac:dyDescent="0.25">
      <c r="B194" s="216">
        <v>42544</v>
      </c>
      <c r="C194" s="122">
        <v>27002.22</v>
      </c>
    </row>
    <row r="195" spans="2:3" x14ac:dyDescent="0.25">
      <c r="B195" s="216">
        <v>42545</v>
      </c>
      <c r="C195" s="122">
        <v>26397.71</v>
      </c>
    </row>
    <row r="196" spans="2:3" x14ac:dyDescent="0.25">
      <c r="B196" s="216">
        <v>42548</v>
      </c>
      <c r="C196" s="122">
        <v>26402.959999999999</v>
      </c>
    </row>
    <row r="197" spans="2:3" x14ac:dyDescent="0.25">
      <c r="B197" s="216">
        <v>42549</v>
      </c>
      <c r="C197" s="122">
        <v>26524.55</v>
      </c>
    </row>
    <row r="198" spans="2:3" x14ac:dyDescent="0.25">
      <c r="B198" s="216">
        <v>42550</v>
      </c>
      <c r="C198" s="122">
        <v>26740.39</v>
      </c>
    </row>
    <row r="199" spans="2:3" x14ac:dyDescent="0.25">
      <c r="B199" s="216">
        <v>42551</v>
      </c>
      <c r="C199" s="122">
        <v>26999.72</v>
      </c>
    </row>
    <row r="200" spans="2:3" x14ac:dyDescent="0.25">
      <c r="B200" s="216">
        <v>42552</v>
      </c>
      <c r="C200" s="122">
        <v>27144.91</v>
      </c>
    </row>
    <row r="201" spans="2:3" x14ac:dyDescent="0.25">
      <c r="B201" s="216">
        <v>42555</v>
      </c>
      <c r="C201" s="122">
        <v>27278.76</v>
      </c>
    </row>
    <row r="202" spans="2:3" x14ac:dyDescent="0.25">
      <c r="B202" s="216">
        <v>42556</v>
      </c>
      <c r="C202" s="122">
        <v>27166.87</v>
      </c>
    </row>
    <row r="203" spans="2:3" x14ac:dyDescent="0.25">
      <c r="B203" s="216">
        <v>42558</v>
      </c>
      <c r="C203" s="122">
        <v>27201.49</v>
      </c>
    </row>
    <row r="204" spans="2:3" x14ac:dyDescent="0.25">
      <c r="B204" s="216">
        <v>42559</v>
      </c>
      <c r="C204" s="122">
        <v>27126.9</v>
      </c>
    </row>
    <row r="205" spans="2:3" x14ac:dyDescent="0.25">
      <c r="B205" s="216">
        <v>42562</v>
      </c>
      <c r="C205" s="122">
        <v>27626.69</v>
      </c>
    </row>
    <row r="206" spans="2:3" x14ac:dyDescent="0.25">
      <c r="B206" s="216">
        <v>42563</v>
      </c>
      <c r="C206" s="122">
        <v>27808.14</v>
      </c>
    </row>
    <row r="207" spans="2:3" x14ac:dyDescent="0.25">
      <c r="B207" s="216">
        <v>42564</v>
      </c>
      <c r="C207" s="122">
        <v>27815.18</v>
      </c>
    </row>
    <row r="208" spans="2:3" x14ac:dyDescent="0.25">
      <c r="B208" s="216">
        <v>42565</v>
      </c>
      <c r="C208" s="122">
        <v>27942.11</v>
      </c>
    </row>
    <row r="209" spans="2:3" x14ac:dyDescent="0.25">
      <c r="B209" s="216">
        <v>42566</v>
      </c>
      <c r="C209" s="122">
        <v>27836.5</v>
      </c>
    </row>
    <row r="210" spans="2:3" x14ac:dyDescent="0.25">
      <c r="B210" s="216">
        <v>42569</v>
      </c>
      <c r="C210" s="122">
        <v>27746.66</v>
      </c>
    </row>
    <row r="211" spans="2:3" x14ac:dyDescent="0.25">
      <c r="B211" s="216">
        <v>42570</v>
      </c>
      <c r="C211" s="122">
        <v>27787.62</v>
      </c>
    </row>
    <row r="212" spans="2:3" x14ac:dyDescent="0.25">
      <c r="B212" s="216">
        <v>42571</v>
      </c>
      <c r="C212" s="122">
        <v>27915.89</v>
      </c>
    </row>
    <row r="213" spans="2:3" x14ac:dyDescent="0.25">
      <c r="B213" s="216">
        <v>42572</v>
      </c>
      <c r="C213" s="122">
        <v>27710.52</v>
      </c>
    </row>
    <row r="214" spans="2:3" x14ac:dyDescent="0.25">
      <c r="B214" s="216">
        <v>42573</v>
      </c>
      <c r="C214" s="122">
        <v>27803.24</v>
      </c>
    </row>
    <row r="215" spans="2:3" x14ac:dyDescent="0.25">
      <c r="B215" s="216">
        <v>42576</v>
      </c>
      <c r="C215" s="122">
        <v>28095.34</v>
      </c>
    </row>
    <row r="216" spans="2:3" x14ac:dyDescent="0.25">
      <c r="B216" s="216">
        <v>42577</v>
      </c>
      <c r="C216" s="122">
        <v>27976.52</v>
      </c>
    </row>
    <row r="217" spans="2:3" x14ac:dyDescent="0.25">
      <c r="B217" s="216">
        <v>42578</v>
      </c>
      <c r="C217" s="122">
        <v>28024.33</v>
      </c>
    </row>
    <row r="218" spans="2:3" x14ac:dyDescent="0.25">
      <c r="B218" s="216">
        <v>42579</v>
      </c>
      <c r="C218" s="122">
        <v>28208.62</v>
      </c>
    </row>
    <row r="219" spans="2:3" x14ac:dyDescent="0.25">
      <c r="B219" s="216">
        <v>42580</v>
      </c>
      <c r="C219" s="122">
        <v>28051.86</v>
      </c>
    </row>
    <row r="220" spans="2:3" x14ac:dyDescent="0.25">
      <c r="B220" s="216">
        <v>42583</v>
      </c>
      <c r="C220" s="122">
        <v>28003.119999999999</v>
      </c>
    </row>
    <row r="221" spans="2:3" x14ac:dyDescent="0.25">
      <c r="B221" s="216">
        <v>42584</v>
      </c>
      <c r="C221" s="122">
        <v>27981.71</v>
      </c>
    </row>
    <row r="222" spans="2:3" x14ac:dyDescent="0.25">
      <c r="B222" s="216">
        <v>42585</v>
      </c>
      <c r="C222" s="122">
        <v>27697.51</v>
      </c>
    </row>
    <row r="223" spans="2:3" x14ac:dyDescent="0.25">
      <c r="B223" s="216">
        <v>42586</v>
      </c>
      <c r="C223" s="122">
        <v>27714.37</v>
      </c>
    </row>
    <row r="224" spans="2:3" x14ac:dyDescent="0.25">
      <c r="B224" s="216">
        <v>42587</v>
      </c>
      <c r="C224" s="122">
        <v>28078.35</v>
      </c>
    </row>
    <row r="225" spans="2:3" x14ac:dyDescent="0.25">
      <c r="B225" s="216">
        <v>42590</v>
      </c>
      <c r="C225" s="122">
        <v>28182.57</v>
      </c>
    </row>
    <row r="226" spans="2:3" x14ac:dyDescent="0.25">
      <c r="B226" s="216">
        <v>42591</v>
      </c>
      <c r="C226" s="122">
        <v>28085.16</v>
      </c>
    </row>
    <row r="227" spans="2:3" x14ac:dyDescent="0.25">
      <c r="B227" s="216">
        <v>42592</v>
      </c>
      <c r="C227" s="122">
        <v>27774.880000000001</v>
      </c>
    </row>
    <row r="228" spans="2:3" x14ac:dyDescent="0.25">
      <c r="B228" s="216">
        <v>42593</v>
      </c>
      <c r="C228" s="122">
        <v>27859.599999999999</v>
      </c>
    </row>
    <row r="229" spans="2:3" x14ac:dyDescent="0.25">
      <c r="B229" s="216">
        <v>42594</v>
      </c>
      <c r="C229" s="122">
        <v>28152.400000000001</v>
      </c>
    </row>
    <row r="230" spans="2:3" x14ac:dyDescent="0.25">
      <c r="B230" s="216">
        <v>42598</v>
      </c>
      <c r="C230" s="122">
        <v>28064.61</v>
      </c>
    </row>
    <row r="231" spans="2:3" x14ac:dyDescent="0.25">
      <c r="B231" s="216">
        <v>42599</v>
      </c>
      <c r="C231" s="122">
        <v>28005.37</v>
      </c>
    </row>
    <row r="232" spans="2:3" x14ac:dyDescent="0.25">
      <c r="B232" s="216">
        <v>42600</v>
      </c>
      <c r="C232" s="122">
        <v>28123.439999999999</v>
      </c>
    </row>
    <row r="233" spans="2:3" x14ac:dyDescent="0.25">
      <c r="B233" s="216">
        <v>42601</v>
      </c>
      <c r="C233" s="122">
        <v>28077</v>
      </c>
    </row>
    <row r="234" spans="2:3" x14ac:dyDescent="0.25">
      <c r="B234" s="216">
        <v>42604</v>
      </c>
      <c r="C234" s="122">
        <v>27985.54</v>
      </c>
    </row>
    <row r="235" spans="2:3" x14ac:dyDescent="0.25">
      <c r="B235" s="216">
        <v>42605</v>
      </c>
      <c r="C235" s="122">
        <v>27990.21</v>
      </c>
    </row>
    <row r="236" spans="2:3" x14ac:dyDescent="0.25">
      <c r="B236" s="216">
        <v>42606</v>
      </c>
      <c r="C236" s="122">
        <v>28059.94</v>
      </c>
    </row>
    <row r="237" spans="2:3" x14ac:dyDescent="0.25">
      <c r="B237" s="216">
        <v>42607</v>
      </c>
      <c r="C237" s="122">
        <v>27835.91</v>
      </c>
    </row>
    <row r="238" spans="2:3" x14ac:dyDescent="0.25">
      <c r="B238" s="216">
        <v>42608</v>
      </c>
      <c r="C238" s="122">
        <v>27782.25</v>
      </c>
    </row>
    <row r="239" spans="2:3" x14ac:dyDescent="0.25">
      <c r="B239" s="216">
        <v>42611</v>
      </c>
      <c r="C239" s="122">
        <v>27902.66</v>
      </c>
    </row>
    <row r="240" spans="2:3" x14ac:dyDescent="0.25">
      <c r="B240" s="216">
        <v>42612</v>
      </c>
      <c r="C240" s="122">
        <v>28343.01</v>
      </c>
    </row>
    <row r="241" spans="2:3" x14ac:dyDescent="0.25">
      <c r="B241" s="216">
        <v>42613</v>
      </c>
      <c r="C241" s="122">
        <v>28452.17</v>
      </c>
    </row>
    <row r="242" spans="2:3" x14ac:dyDescent="0.25">
      <c r="B242" s="216">
        <v>42614</v>
      </c>
      <c r="C242" s="122">
        <v>28423.48</v>
      </c>
    </row>
    <row r="243" spans="2:3" x14ac:dyDescent="0.25">
      <c r="B243" s="216">
        <v>42615</v>
      </c>
      <c r="C243" s="122">
        <v>28532.11</v>
      </c>
    </row>
    <row r="244" spans="2:3" x14ac:dyDescent="0.25">
      <c r="B244" s="216">
        <v>42619</v>
      </c>
      <c r="C244" s="122">
        <v>28978.02</v>
      </c>
    </row>
    <row r="245" spans="2:3" x14ac:dyDescent="0.25">
      <c r="B245" s="216">
        <v>42620</v>
      </c>
      <c r="C245" s="122">
        <v>28926.36</v>
      </c>
    </row>
    <row r="246" spans="2:3" x14ac:dyDescent="0.25">
      <c r="B246" s="216">
        <v>42621</v>
      </c>
      <c r="C246" s="122">
        <v>29045.279999999999</v>
      </c>
    </row>
    <row r="247" spans="2:3" x14ac:dyDescent="0.25">
      <c r="B247" s="216">
        <v>42622</v>
      </c>
      <c r="C247" s="122">
        <v>28797.25</v>
      </c>
    </row>
    <row r="248" spans="2:3" x14ac:dyDescent="0.25">
      <c r="B248" s="216">
        <v>42625</v>
      </c>
      <c r="C248" s="122">
        <v>28353.54</v>
      </c>
    </row>
    <row r="249" spans="2:3" x14ac:dyDescent="0.25">
      <c r="B249" s="216">
        <v>42627</v>
      </c>
      <c r="C249" s="122">
        <v>28372.23</v>
      </c>
    </row>
    <row r="250" spans="2:3" x14ac:dyDescent="0.25">
      <c r="B250" s="216">
        <v>42628</v>
      </c>
      <c r="C250" s="122">
        <v>28412.89</v>
      </c>
    </row>
    <row r="251" spans="2:3" x14ac:dyDescent="0.25">
      <c r="B251" s="216">
        <v>42629</v>
      </c>
      <c r="C251" s="122">
        <v>28599.03</v>
      </c>
    </row>
    <row r="252" spans="2:3" x14ac:dyDescent="0.25">
      <c r="B252" s="216">
        <v>42632</v>
      </c>
      <c r="C252" s="122">
        <v>28634.5</v>
      </c>
    </row>
    <row r="253" spans="2:3" x14ac:dyDescent="0.25">
      <c r="B253" s="216">
        <v>42633</v>
      </c>
      <c r="C253" s="122">
        <v>28523.200000000001</v>
      </c>
    </row>
    <row r="254" spans="2:3" x14ac:dyDescent="0.25">
      <c r="B254" s="216">
        <v>42634</v>
      </c>
      <c r="C254" s="122">
        <v>28507.42</v>
      </c>
    </row>
    <row r="255" spans="2:3" x14ac:dyDescent="0.25">
      <c r="B255" s="216">
        <v>42635</v>
      </c>
      <c r="C255" s="122">
        <v>28773.13</v>
      </c>
    </row>
    <row r="256" spans="2:3" x14ac:dyDescent="0.25">
      <c r="B256" s="216">
        <v>42636</v>
      </c>
      <c r="C256" s="122">
        <v>28668.22</v>
      </c>
    </row>
    <row r="257" spans="2:3" x14ac:dyDescent="0.25">
      <c r="B257" s="216">
        <v>42639</v>
      </c>
      <c r="C257" s="122">
        <v>28294.28</v>
      </c>
    </row>
    <row r="258" spans="2:3" x14ac:dyDescent="0.25">
      <c r="B258" s="216">
        <v>42640</v>
      </c>
      <c r="C258" s="122">
        <v>28223.7</v>
      </c>
    </row>
    <row r="259" spans="2:3" x14ac:dyDescent="0.25">
      <c r="B259" s="216">
        <v>42641</v>
      </c>
      <c r="C259" s="122">
        <v>28292.81</v>
      </c>
    </row>
    <row r="260" spans="2:3" x14ac:dyDescent="0.25">
      <c r="B260" s="216">
        <v>42642</v>
      </c>
      <c r="C260" s="122">
        <v>27827.53</v>
      </c>
    </row>
    <row r="261" spans="2:3" x14ac:dyDescent="0.25">
      <c r="B261" s="216">
        <v>42643</v>
      </c>
      <c r="C261" s="122">
        <v>27865.96</v>
      </c>
    </row>
    <row r="262" spans="2:3" x14ac:dyDescent="0.25">
      <c r="B262" s="216">
        <v>42646</v>
      </c>
      <c r="C262" s="122">
        <v>28243.29</v>
      </c>
    </row>
    <row r="263" spans="2:3" x14ac:dyDescent="0.25">
      <c r="B263" s="216">
        <v>42647</v>
      </c>
      <c r="C263" s="122">
        <v>28334.55</v>
      </c>
    </row>
    <row r="264" spans="2:3" x14ac:dyDescent="0.25">
      <c r="B264" s="216">
        <v>42648</v>
      </c>
      <c r="C264" s="122">
        <v>28220.98</v>
      </c>
    </row>
    <row r="265" spans="2:3" x14ac:dyDescent="0.25">
      <c r="B265" s="216">
        <v>42649</v>
      </c>
      <c r="C265" s="122">
        <v>28106.21</v>
      </c>
    </row>
    <row r="266" spans="2:3" x14ac:dyDescent="0.25">
      <c r="B266" s="216">
        <v>42650</v>
      </c>
      <c r="C266" s="122">
        <v>28061.14</v>
      </c>
    </row>
    <row r="267" spans="2:3" x14ac:dyDescent="0.25">
      <c r="B267" s="216">
        <v>42653</v>
      </c>
      <c r="C267" s="122">
        <v>28082.34</v>
      </c>
    </row>
    <row r="268" spans="2:3" x14ac:dyDescent="0.25">
      <c r="B268" s="216">
        <v>42656</v>
      </c>
      <c r="C268" s="122">
        <v>27643.11</v>
      </c>
    </row>
    <row r="269" spans="2:3" x14ac:dyDescent="0.25">
      <c r="B269" s="216">
        <v>42657</v>
      </c>
      <c r="C269" s="122">
        <v>27673.599999999999</v>
      </c>
    </row>
    <row r="270" spans="2:3" x14ac:dyDescent="0.25">
      <c r="B270" s="216">
        <v>42660</v>
      </c>
      <c r="C270" s="122">
        <v>27529.97</v>
      </c>
    </row>
    <row r="271" spans="2:3" x14ac:dyDescent="0.25">
      <c r="B271" s="216">
        <v>42661</v>
      </c>
      <c r="C271" s="122">
        <v>28050.880000000001</v>
      </c>
    </row>
    <row r="272" spans="2:3" x14ac:dyDescent="0.25">
      <c r="B272" s="216">
        <v>42662</v>
      </c>
      <c r="C272" s="122">
        <v>27984.37</v>
      </c>
    </row>
    <row r="273" spans="2:3" x14ac:dyDescent="0.25">
      <c r="B273" s="216">
        <v>42663</v>
      </c>
      <c r="C273" s="122">
        <v>28129.84</v>
      </c>
    </row>
    <row r="274" spans="2:3" x14ac:dyDescent="0.25">
      <c r="B274" s="216">
        <v>42664</v>
      </c>
      <c r="C274" s="122">
        <v>28077.18</v>
      </c>
    </row>
    <row r="275" spans="2:3" x14ac:dyDescent="0.25">
      <c r="B275" s="216">
        <v>42667</v>
      </c>
      <c r="C275" s="122">
        <v>28179.08</v>
      </c>
    </row>
    <row r="276" spans="2:3" x14ac:dyDescent="0.25">
      <c r="B276" s="216">
        <v>42668</v>
      </c>
      <c r="C276" s="122">
        <v>28091.42</v>
      </c>
    </row>
    <row r="277" spans="2:3" x14ac:dyDescent="0.25">
      <c r="B277" s="216">
        <v>42669</v>
      </c>
      <c r="C277" s="122">
        <v>27836.51</v>
      </c>
    </row>
    <row r="278" spans="2:3" x14ac:dyDescent="0.25">
      <c r="B278" s="216">
        <v>42670</v>
      </c>
      <c r="C278" s="122">
        <v>27915.9</v>
      </c>
    </row>
    <row r="279" spans="2:3" x14ac:dyDescent="0.25">
      <c r="B279" s="216">
        <v>42671</v>
      </c>
      <c r="C279" s="122">
        <v>27941.51</v>
      </c>
    </row>
    <row r="280" spans="2:3" x14ac:dyDescent="0.25">
      <c r="B280" s="216">
        <v>42673</v>
      </c>
      <c r="C280" s="122">
        <v>27930.21</v>
      </c>
    </row>
    <row r="281" spans="2:3" x14ac:dyDescent="0.25">
      <c r="B281" s="216">
        <v>42675</v>
      </c>
      <c r="C281" s="122">
        <v>27876.61</v>
      </c>
    </row>
    <row r="282" spans="2:3" x14ac:dyDescent="0.25">
      <c r="B282" s="216">
        <v>42676</v>
      </c>
      <c r="C282" s="122">
        <v>27527.22</v>
      </c>
    </row>
    <row r="283" spans="2:3" x14ac:dyDescent="0.25">
      <c r="B283" s="216">
        <v>42677</v>
      </c>
      <c r="C283" s="122">
        <v>27430.28</v>
      </c>
    </row>
    <row r="284" spans="2:3" x14ac:dyDescent="0.25">
      <c r="B284" s="216">
        <v>42678</v>
      </c>
      <c r="C284" s="122">
        <v>27274.15</v>
      </c>
    </row>
    <row r="285" spans="2:3" x14ac:dyDescent="0.25">
      <c r="B285" s="216">
        <v>42681</v>
      </c>
      <c r="C285" s="122">
        <v>27458.99</v>
      </c>
    </row>
    <row r="286" spans="2:3" x14ac:dyDescent="0.25">
      <c r="B286" s="216">
        <v>42682</v>
      </c>
      <c r="C286" s="122">
        <v>27591.14</v>
      </c>
    </row>
    <row r="287" spans="2:3" x14ac:dyDescent="0.25">
      <c r="B287" s="216">
        <v>42683</v>
      </c>
      <c r="C287" s="122">
        <v>27252.53</v>
      </c>
    </row>
    <row r="288" spans="2:3" x14ac:dyDescent="0.25">
      <c r="B288" s="216">
        <v>42684</v>
      </c>
      <c r="C288" s="122">
        <v>27517.68</v>
      </c>
    </row>
    <row r="289" spans="2:3" x14ac:dyDescent="0.25">
      <c r="B289" s="216">
        <v>42685</v>
      </c>
      <c r="C289" s="122">
        <v>26818.82</v>
      </c>
    </row>
    <row r="290" spans="2:3" x14ac:dyDescent="0.25">
      <c r="B290" s="216">
        <v>42689</v>
      </c>
      <c r="C290" s="122">
        <v>26304.63</v>
      </c>
    </row>
    <row r="291" spans="2:3" x14ac:dyDescent="0.25">
      <c r="B291" s="216">
        <v>42690</v>
      </c>
      <c r="C291" s="122">
        <v>26298.69</v>
      </c>
    </row>
    <row r="292" spans="2:3" x14ac:dyDescent="0.25">
      <c r="B292" s="216">
        <v>42691</v>
      </c>
      <c r="C292" s="122">
        <v>26227.62</v>
      </c>
    </row>
    <row r="293" spans="2:3" x14ac:dyDescent="0.25">
      <c r="B293" s="216">
        <v>42692</v>
      </c>
      <c r="C293" s="122">
        <v>26150.240000000002</v>
      </c>
    </row>
    <row r="294" spans="2:3" x14ac:dyDescent="0.25">
      <c r="B294" s="216">
        <v>42695</v>
      </c>
      <c r="C294" s="122">
        <v>25765.14</v>
      </c>
    </row>
    <row r="295" spans="2:3" x14ac:dyDescent="0.25">
      <c r="B295" s="216">
        <v>42696</v>
      </c>
      <c r="C295" s="122">
        <v>25960.78</v>
      </c>
    </row>
    <row r="296" spans="2:3" x14ac:dyDescent="0.25">
      <c r="B296" s="216">
        <v>42697</v>
      </c>
      <c r="C296" s="122">
        <v>26051.81</v>
      </c>
    </row>
    <row r="297" spans="2:3" x14ac:dyDescent="0.25">
      <c r="B297" s="216">
        <v>42698</v>
      </c>
      <c r="C297" s="122">
        <v>25860.17</v>
      </c>
    </row>
    <row r="298" spans="2:3" x14ac:dyDescent="0.25">
      <c r="B298" s="216">
        <v>42699</v>
      </c>
      <c r="C298" s="122">
        <v>26316.34</v>
      </c>
    </row>
    <row r="299" spans="2:3" x14ac:dyDescent="0.25">
      <c r="B299" s="216">
        <v>42702</v>
      </c>
      <c r="C299" s="122">
        <v>26350.17</v>
      </c>
    </row>
    <row r="300" spans="2:3" x14ac:dyDescent="0.25">
      <c r="B300" s="216">
        <v>42703</v>
      </c>
      <c r="C300" s="122">
        <v>26394.01</v>
      </c>
    </row>
    <row r="301" spans="2:3" x14ac:dyDescent="0.25">
      <c r="B301" s="216">
        <v>42704</v>
      </c>
      <c r="C301" s="122">
        <v>26652.81</v>
      </c>
    </row>
    <row r="302" spans="2:3" x14ac:dyDescent="0.25">
      <c r="B302" s="216">
        <v>42705</v>
      </c>
      <c r="C302" s="122">
        <v>26559.919999999998</v>
      </c>
    </row>
    <row r="303" spans="2:3" x14ac:dyDescent="0.25">
      <c r="B303" s="216">
        <v>42706</v>
      </c>
      <c r="C303" s="122">
        <v>26230.66</v>
      </c>
    </row>
    <row r="304" spans="2:3" x14ac:dyDescent="0.25">
      <c r="B304" s="216">
        <v>42709</v>
      </c>
      <c r="C304" s="122">
        <v>26349.1</v>
      </c>
    </row>
    <row r="305" spans="2:3" x14ac:dyDescent="0.25">
      <c r="B305" s="216">
        <v>42710</v>
      </c>
      <c r="C305" s="122">
        <v>26392.76</v>
      </c>
    </row>
    <row r="306" spans="2:3" x14ac:dyDescent="0.25">
      <c r="B306" s="216">
        <v>42711</v>
      </c>
      <c r="C306" s="122">
        <v>26236.87</v>
      </c>
    </row>
    <row r="307" spans="2:3" x14ac:dyDescent="0.25">
      <c r="B307" s="216">
        <v>42712</v>
      </c>
      <c r="C307" s="122">
        <v>26694.28</v>
      </c>
    </row>
    <row r="308" spans="2:3" x14ac:dyDescent="0.25">
      <c r="B308" s="216">
        <v>42713</v>
      </c>
      <c r="C308" s="122">
        <v>26747.18</v>
      </c>
    </row>
    <row r="309" spans="2:3" x14ac:dyDescent="0.25">
      <c r="B309" s="216">
        <v>42716</v>
      </c>
      <c r="C309" s="122">
        <v>26515.24</v>
      </c>
    </row>
    <row r="310" spans="2:3" x14ac:dyDescent="0.25">
      <c r="B310" s="216">
        <v>42717</v>
      </c>
      <c r="C310" s="122">
        <v>26697.82</v>
      </c>
    </row>
    <row r="311" spans="2:3" x14ac:dyDescent="0.25">
      <c r="B311" s="216">
        <v>42718</v>
      </c>
      <c r="C311" s="122">
        <v>26602.84</v>
      </c>
    </row>
    <row r="312" spans="2:3" x14ac:dyDescent="0.25">
      <c r="B312" s="216">
        <v>42719</v>
      </c>
      <c r="C312" s="122">
        <v>26519.07</v>
      </c>
    </row>
    <row r="313" spans="2:3" x14ac:dyDescent="0.25">
      <c r="B313" s="216">
        <v>42720</v>
      </c>
      <c r="C313" s="122">
        <v>26489.56</v>
      </c>
    </row>
    <row r="314" spans="2:3" x14ac:dyDescent="0.25">
      <c r="B314" s="216">
        <v>42723</v>
      </c>
      <c r="C314" s="122">
        <v>26374.7</v>
      </c>
    </row>
    <row r="315" spans="2:3" x14ac:dyDescent="0.25">
      <c r="B315" s="216">
        <v>42724</v>
      </c>
      <c r="C315" s="122">
        <v>26307.98</v>
      </c>
    </row>
    <row r="316" spans="2:3" x14ac:dyDescent="0.25">
      <c r="B316" s="216">
        <v>42725</v>
      </c>
      <c r="C316" s="122">
        <v>26242.38</v>
      </c>
    </row>
    <row r="317" spans="2:3" x14ac:dyDescent="0.25">
      <c r="B317" s="216">
        <v>42726</v>
      </c>
      <c r="C317" s="122">
        <v>25979.599999999999</v>
      </c>
    </row>
    <row r="318" spans="2:3" x14ac:dyDescent="0.25">
      <c r="B318" s="216">
        <v>42727</v>
      </c>
      <c r="C318" s="122">
        <v>26040.7</v>
      </c>
    </row>
    <row r="319" spans="2:3" x14ac:dyDescent="0.25">
      <c r="B319" s="216">
        <v>42730</v>
      </c>
      <c r="C319" s="122">
        <v>25807.1</v>
      </c>
    </row>
    <row r="320" spans="2:3" x14ac:dyDescent="0.25">
      <c r="B320" s="216">
        <v>42731</v>
      </c>
      <c r="C320" s="122">
        <v>26213.439999999999</v>
      </c>
    </row>
    <row r="321" spans="2:3" x14ac:dyDescent="0.25">
      <c r="B321" s="216">
        <v>42732</v>
      </c>
      <c r="C321" s="122">
        <v>26210.68</v>
      </c>
    </row>
    <row r="322" spans="2:3" x14ac:dyDescent="0.25">
      <c r="B322" s="216">
        <v>42733</v>
      </c>
      <c r="C322" s="122">
        <v>26366.15</v>
      </c>
    </row>
    <row r="323" spans="2:3" x14ac:dyDescent="0.25">
      <c r="B323" s="216">
        <v>42734</v>
      </c>
      <c r="C323" s="122">
        <v>26626.46</v>
      </c>
    </row>
    <row r="324" spans="2:3" x14ac:dyDescent="0.25">
      <c r="B324" s="216">
        <v>42737</v>
      </c>
      <c r="C324" s="122">
        <v>26595.45</v>
      </c>
    </row>
    <row r="325" spans="2:3" x14ac:dyDescent="0.25">
      <c r="B325" s="216">
        <v>42738</v>
      </c>
      <c r="C325" s="122">
        <v>26643.24</v>
      </c>
    </row>
    <row r="326" spans="2:3" x14ac:dyDescent="0.25">
      <c r="B326" s="216">
        <v>42739</v>
      </c>
      <c r="C326" s="122">
        <v>26633.13</v>
      </c>
    </row>
    <row r="327" spans="2:3" x14ac:dyDescent="0.25">
      <c r="B327" s="216">
        <v>42740</v>
      </c>
      <c r="C327" s="122">
        <v>26878.240000000002</v>
      </c>
    </row>
    <row r="328" spans="2:3" x14ac:dyDescent="0.25">
      <c r="B328" s="216">
        <v>42741</v>
      </c>
      <c r="C328" s="122">
        <v>26759.23</v>
      </c>
    </row>
    <row r="329" spans="2:3" x14ac:dyDescent="0.25">
      <c r="B329" s="216">
        <v>42744</v>
      </c>
      <c r="C329" s="122">
        <v>26726.55</v>
      </c>
    </row>
    <row r="330" spans="2:3" x14ac:dyDescent="0.25">
      <c r="B330" s="216">
        <v>42745</v>
      </c>
      <c r="C330" s="122">
        <v>26899.56</v>
      </c>
    </row>
    <row r="331" spans="2:3" x14ac:dyDescent="0.25">
      <c r="B331" s="216">
        <v>42746</v>
      </c>
      <c r="C331" s="122">
        <v>27140.41</v>
      </c>
    </row>
    <row r="332" spans="2:3" x14ac:dyDescent="0.25">
      <c r="B332" s="216">
        <v>42747</v>
      </c>
      <c r="C332" s="122">
        <v>27247.16</v>
      </c>
    </row>
    <row r="333" spans="2:3" x14ac:dyDescent="0.25">
      <c r="B333" s="216">
        <v>42748</v>
      </c>
      <c r="C333" s="122">
        <v>27238.06</v>
      </c>
    </row>
    <row r="334" spans="2:3" x14ac:dyDescent="0.25">
      <c r="B334" s="216">
        <v>42751</v>
      </c>
      <c r="C334" s="122">
        <v>27288.17</v>
      </c>
    </row>
    <row r="335" spans="2:3" x14ac:dyDescent="0.25">
      <c r="B335" s="216">
        <v>42752</v>
      </c>
      <c r="C335" s="122">
        <v>27235.66</v>
      </c>
    </row>
    <row r="336" spans="2:3" x14ac:dyDescent="0.25">
      <c r="B336" s="216">
        <v>42753</v>
      </c>
      <c r="C336" s="122">
        <v>27257.64</v>
      </c>
    </row>
    <row r="337" spans="2:3" x14ac:dyDescent="0.25">
      <c r="B337" s="216">
        <v>42754</v>
      </c>
      <c r="C337" s="122">
        <v>27308.6</v>
      </c>
    </row>
    <row r="338" spans="2:3" x14ac:dyDescent="0.25">
      <c r="B338" s="216">
        <v>42755</v>
      </c>
      <c r="C338" s="122">
        <v>27034.5</v>
      </c>
    </row>
    <row r="339" spans="2:3" x14ac:dyDescent="0.25">
      <c r="B339" s="216">
        <v>42758</v>
      </c>
      <c r="C339" s="122">
        <v>27117.34</v>
      </c>
    </row>
    <row r="340" spans="2:3" x14ac:dyDescent="0.25">
      <c r="B340" s="216">
        <v>42759</v>
      </c>
      <c r="C340" s="122">
        <v>27375.58</v>
      </c>
    </row>
    <row r="341" spans="2:3" x14ac:dyDescent="0.25">
      <c r="B341" s="216">
        <v>42760</v>
      </c>
      <c r="C341" s="122">
        <v>27708.14</v>
      </c>
    </row>
    <row r="342" spans="2:3" x14ac:dyDescent="0.25">
      <c r="B342" s="216">
        <v>42762</v>
      </c>
      <c r="C342" s="122">
        <v>27882.46</v>
      </c>
    </row>
    <row r="343" spans="2:3" x14ac:dyDescent="0.25">
      <c r="B343" s="216">
        <v>42765</v>
      </c>
      <c r="C343" s="122">
        <v>27849.56</v>
      </c>
    </row>
    <row r="344" spans="2:3" x14ac:dyDescent="0.25">
      <c r="B344" s="216">
        <v>42766</v>
      </c>
      <c r="C344" s="122">
        <v>27655.96</v>
      </c>
    </row>
    <row r="345" spans="2:3" x14ac:dyDescent="0.25">
      <c r="B345" s="216">
        <v>42767</v>
      </c>
      <c r="C345" s="122">
        <v>28141.64</v>
      </c>
    </row>
    <row r="346" spans="2:3" x14ac:dyDescent="0.25">
      <c r="B346" s="216">
        <v>42768</v>
      </c>
      <c r="C346" s="122">
        <v>28226.61</v>
      </c>
    </row>
    <row r="347" spans="2:3" x14ac:dyDescent="0.25">
      <c r="B347" s="216">
        <v>42769</v>
      </c>
      <c r="C347" s="122">
        <v>28240.52</v>
      </c>
    </row>
    <row r="348" spans="2:3" x14ac:dyDescent="0.25">
      <c r="B348" s="216">
        <v>42772</v>
      </c>
      <c r="C348" s="122">
        <v>28439.279999999999</v>
      </c>
    </row>
    <row r="349" spans="2:3" x14ac:dyDescent="0.25">
      <c r="B349" s="216">
        <v>42773</v>
      </c>
      <c r="C349" s="122">
        <v>28335.16</v>
      </c>
    </row>
    <row r="350" spans="2:3" x14ac:dyDescent="0.25">
      <c r="B350" s="216">
        <v>42774</v>
      </c>
      <c r="C350" s="122">
        <v>28289.919999999998</v>
      </c>
    </row>
    <row r="351" spans="2:3" x14ac:dyDescent="0.25">
      <c r="B351" s="216">
        <v>42775</v>
      </c>
      <c r="C351" s="122">
        <v>28329.7</v>
      </c>
    </row>
    <row r="352" spans="2:3" x14ac:dyDescent="0.25">
      <c r="B352" s="216">
        <v>42776</v>
      </c>
      <c r="C352" s="122">
        <v>28334.25</v>
      </c>
    </row>
    <row r="353" spans="2:3" x14ac:dyDescent="0.25">
      <c r="B353" s="216">
        <v>42779</v>
      </c>
      <c r="C353" s="122">
        <v>28351.62</v>
      </c>
    </row>
    <row r="354" spans="2:3" x14ac:dyDescent="0.25">
      <c r="B354" s="216">
        <v>42780</v>
      </c>
      <c r="C354" s="122">
        <v>28339.31</v>
      </c>
    </row>
    <row r="355" spans="2:3" x14ac:dyDescent="0.25">
      <c r="B355" s="216">
        <v>42781</v>
      </c>
      <c r="C355" s="122">
        <v>28155.56</v>
      </c>
    </row>
    <row r="356" spans="2:3" x14ac:dyDescent="0.25">
      <c r="B356" s="216">
        <v>42782</v>
      </c>
      <c r="C356" s="122">
        <v>28301.27</v>
      </c>
    </row>
    <row r="357" spans="2:3" x14ac:dyDescent="0.25">
      <c r="B357" s="216">
        <v>42783</v>
      </c>
      <c r="C357" s="122">
        <v>28468.75</v>
      </c>
    </row>
    <row r="358" spans="2:3" x14ac:dyDescent="0.25">
      <c r="B358" s="216">
        <v>42786</v>
      </c>
      <c r="C358" s="122">
        <v>28661.58</v>
      </c>
    </row>
    <row r="359" spans="2:3" x14ac:dyDescent="0.25">
      <c r="B359" s="216">
        <v>42787</v>
      </c>
      <c r="C359" s="122">
        <v>28761.59</v>
      </c>
    </row>
    <row r="360" spans="2:3" x14ac:dyDescent="0.25">
      <c r="B360" s="216">
        <v>42788</v>
      </c>
      <c r="C360" s="122">
        <v>28864.71</v>
      </c>
    </row>
    <row r="361" spans="2:3" x14ac:dyDescent="0.25">
      <c r="B361" s="216">
        <v>42789</v>
      </c>
      <c r="C361" s="122">
        <v>28892.97</v>
      </c>
    </row>
    <row r="362" spans="2:3" x14ac:dyDescent="0.25">
      <c r="B362" s="216">
        <v>42793</v>
      </c>
      <c r="C362" s="122">
        <v>28812.880000000001</v>
      </c>
    </row>
    <row r="363" spans="2:3" x14ac:dyDescent="0.25">
      <c r="B363" s="216">
        <v>42794</v>
      </c>
      <c r="C363" s="122">
        <v>28743.32</v>
      </c>
    </row>
    <row r="364" spans="2:3" x14ac:dyDescent="0.25">
      <c r="B364" s="216">
        <v>42795</v>
      </c>
      <c r="C364" s="122">
        <v>28984.49</v>
      </c>
    </row>
    <row r="365" spans="2:3" x14ac:dyDescent="0.25">
      <c r="B365" s="216">
        <v>42796</v>
      </c>
      <c r="C365" s="122">
        <v>28839.79</v>
      </c>
    </row>
    <row r="366" spans="2:3" x14ac:dyDescent="0.25">
      <c r="B366" s="216">
        <v>42797</v>
      </c>
      <c r="C366" s="122">
        <v>28832.45</v>
      </c>
    </row>
    <row r="367" spans="2:3" x14ac:dyDescent="0.25">
      <c r="B367" s="216">
        <v>42800</v>
      </c>
      <c r="C367" s="122">
        <v>29048.19</v>
      </c>
    </row>
    <row r="368" spans="2:3" x14ac:dyDescent="0.25">
      <c r="B368" s="216">
        <v>42801</v>
      </c>
      <c r="C368" s="122">
        <v>28999.56</v>
      </c>
    </row>
    <row r="369" spans="2:3" x14ac:dyDescent="0.25">
      <c r="B369" s="216">
        <v>42802</v>
      </c>
      <c r="C369" s="122">
        <v>28901.94</v>
      </c>
    </row>
    <row r="370" spans="2:3" x14ac:dyDescent="0.25">
      <c r="B370" s="216">
        <v>42803</v>
      </c>
      <c r="C370" s="122">
        <v>28929.13</v>
      </c>
    </row>
    <row r="371" spans="2:3" x14ac:dyDescent="0.25">
      <c r="B371" s="216">
        <v>42804</v>
      </c>
      <c r="C371" s="122">
        <v>28946.23</v>
      </c>
    </row>
    <row r="372" spans="2:3" x14ac:dyDescent="0.25">
      <c r="B372" s="216">
        <v>42808</v>
      </c>
      <c r="C372" s="122">
        <v>29442.63</v>
      </c>
    </row>
    <row r="373" spans="2:3" x14ac:dyDescent="0.25">
      <c r="B373" s="216">
        <v>42809</v>
      </c>
      <c r="C373" s="122">
        <v>29398.11</v>
      </c>
    </row>
    <row r="374" spans="2:3" x14ac:dyDescent="0.25">
      <c r="B374" s="216">
        <v>42810</v>
      </c>
      <c r="C374" s="122">
        <v>29585.85</v>
      </c>
    </row>
    <row r="375" spans="2:3" x14ac:dyDescent="0.25">
      <c r="B375" s="216">
        <v>42811</v>
      </c>
      <c r="C375" s="122">
        <v>29648.99</v>
      </c>
    </row>
    <row r="376" spans="2:3" x14ac:dyDescent="0.25">
      <c r="B376" s="216">
        <v>42814</v>
      </c>
      <c r="C376" s="122">
        <v>29518.74</v>
      </c>
    </row>
    <row r="377" spans="2:3" x14ac:dyDescent="0.25">
      <c r="B377" s="216">
        <v>42815</v>
      </c>
      <c r="C377" s="122">
        <v>29485.45</v>
      </c>
    </row>
    <row r="378" spans="2:3" x14ac:dyDescent="0.25">
      <c r="B378" s="216">
        <v>42816</v>
      </c>
      <c r="C378" s="122">
        <v>29167.68</v>
      </c>
    </row>
    <row r="379" spans="2:3" x14ac:dyDescent="0.25">
      <c r="B379" s="216">
        <v>42817</v>
      </c>
      <c r="C379" s="122">
        <v>29332.16</v>
      </c>
    </row>
    <row r="380" spans="2:3" x14ac:dyDescent="0.25">
      <c r="B380" s="216">
        <v>42818</v>
      </c>
      <c r="C380" s="122">
        <v>29421.4</v>
      </c>
    </row>
    <row r="381" spans="2:3" x14ac:dyDescent="0.25">
      <c r="B381" s="216">
        <v>42821</v>
      </c>
      <c r="C381" s="122">
        <v>29237.15</v>
      </c>
    </row>
    <row r="382" spans="2:3" x14ac:dyDescent="0.25">
      <c r="B382" s="216">
        <v>42822</v>
      </c>
      <c r="C382" s="122">
        <v>29409.52</v>
      </c>
    </row>
    <row r="383" spans="2:3" x14ac:dyDescent="0.25">
      <c r="B383" s="216">
        <v>42823</v>
      </c>
      <c r="C383" s="122">
        <v>29531.43</v>
      </c>
    </row>
    <row r="384" spans="2:3" x14ac:dyDescent="0.25">
      <c r="B384" s="216">
        <v>42824</v>
      </c>
      <c r="C384" s="122">
        <v>29647.42</v>
      </c>
    </row>
    <row r="385" spans="2:3" x14ac:dyDescent="0.25">
      <c r="B385" s="216">
        <v>42825</v>
      </c>
      <c r="C385" s="122">
        <v>29620.5</v>
      </c>
    </row>
    <row r="386" spans="2:3" x14ac:dyDescent="0.25">
      <c r="B386" s="216">
        <v>42828</v>
      </c>
      <c r="C386" s="122">
        <v>29910.22</v>
      </c>
    </row>
    <row r="387" spans="2:3" x14ac:dyDescent="0.25">
      <c r="B387" s="216">
        <v>42830</v>
      </c>
      <c r="C387" s="122">
        <v>29974.240000000002</v>
      </c>
    </row>
    <row r="388" spans="2:3" x14ac:dyDescent="0.25">
      <c r="B388" s="216">
        <v>42831</v>
      </c>
      <c r="C388" s="122">
        <v>29927.34</v>
      </c>
    </row>
    <row r="389" spans="2:3" x14ac:dyDescent="0.25">
      <c r="B389" s="216">
        <v>42832</v>
      </c>
      <c r="C389" s="122">
        <v>29706.61</v>
      </c>
    </row>
    <row r="390" spans="2:3" x14ac:dyDescent="0.25">
      <c r="B390" s="216">
        <v>42835</v>
      </c>
      <c r="C390" s="122">
        <v>29575.74</v>
      </c>
    </row>
    <row r="391" spans="2:3" x14ac:dyDescent="0.25">
      <c r="B391" s="216">
        <v>42836</v>
      </c>
      <c r="C391" s="122">
        <v>29788.35</v>
      </c>
    </row>
    <row r="392" spans="2:3" x14ac:dyDescent="0.25">
      <c r="B392" s="216">
        <v>42837</v>
      </c>
      <c r="C392" s="122">
        <v>29643.48</v>
      </c>
    </row>
    <row r="393" spans="2:3" x14ac:dyDescent="0.25">
      <c r="B393" s="216">
        <v>42838</v>
      </c>
      <c r="C393" s="122">
        <v>29461.45</v>
      </c>
    </row>
    <row r="394" spans="2:3" x14ac:dyDescent="0.25">
      <c r="B394" s="216">
        <v>42842</v>
      </c>
      <c r="C394" s="122">
        <v>29413.66</v>
      </c>
    </row>
    <row r="395" spans="2:3" x14ac:dyDescent="0.25">
      <c r="B395" s="216">
        <v>42843</v>
      </c>
      <c r="C395" s="122">
        <v>29319.1</v>
      </c>
    </row>
    <row r="396" spans="2:3" x14ac:dyDescent="0.25">
      <c r="B396" s="216">
        <v>42844</v>
      </c>
      <c r="C396" s="122">
        <v>29336.57</v>
      </c>
    </row>
    <row r="397" spans="2:3" x14ac:dyDescent="0.25">
      <c r="B397" s="216">
        <v>42845</v>
      </c>
      <c r="C397" s="122">
        <v>29422.39</v>
      </c>
    </row>
    <row r="398" spans="2:3" x14ac:dyDescent="0.25">
      <c r="B398" s="216">
        <v>42846</v>
      </c>
      <c r="C398" s="122">
        <v>29365.3</v>
      </c>
    </row>
    <row r="399" spans="2:3" x14ac:dyDescent="0.25">
      <c r="B399" s="216">
        <v>42849</v>
      </c>
      <c r="C399" s="122">
        <v>29655.84</v>
      </c>
    </row>
    <row r="400" spans="2:3" x14ac:dyDescent="0.25">
      <c r="B400" s="216">
        <v>42850</v>
      </c>
      <c r="C400" s="122">
        <v>29943.24</v>
      </c>
    </row>
    <row r="401" spans="2:3" x14ac:dyDescent="0.25">
      <c r="B401" s="216">
        <v>42851</v>
      </c>
      <c r="C401" s="122">
        <v>30133.35</v>
      </c>
    </row>
    <row r="402" spans="2:3" x14ac:dyDescent="0.25">
      <c r="B402" s="216">
        <v>42852</v>
      </c>
      <c r="C402" s="122">
        <v>30029.74</v>
      </c>
    </row>
    <row r="403" spans="2:3" x14ac:dyDescent="0.25">
      <c r="B403" s="216">
        <v>42853</v>
      </c>
      <c r="C403" s="122">
        <v>29918.400000000001</v>
      </c>
    </row>
    <row r="404" spans="2:3" x14ac:dyDescent="0.25">
      <c r="B404" s="216">
        <v>42857</v>
      </c>
      <c r="C404" s="122">
        <v>29921.18</v>
      </c>
    </row>
    <row r="405" spans="2:3" x14ac:dyDescent="0.25">
      <c r="B405" s="216">
        <v>42858</v>
      </c>
      <c r="C405" s="122">
        <v>29894.799999999999</v>
      </c>
    </row>
    <row r="406" spans="2:3" x14ac:dyDescent="0.25">
      <c r="B406" s="216">
        <v>42859</v>
      </c>
      <c r="C406" s="122">
        <v>30126.21</v>
      </c>
    </row>
    <row r="407" spans="2:3" x14ac:dyDescent="0.25">
      <c r="B407" s="216">
        <v>42860</v>
      </c>
      <c r="C407" s="122">
        <v>29858.799999999999</v>
      </c>
    </row>
    <row r="408" spans="2:3" x14ac:dyDescent="0.25">
      <c r="B408" s="216">
        <v>42863</v>
      </c>
      <c r="C408" s="122">
        <v>29926.15</v>
      </c>
    </row>
    <row r="409" spans="2:3" x14ac:dyDescent="0.25">
      <c r="B409" s="216">
        <v>42864</v>
      </c>
      <c r="C409" s="122">
        <v>29933.25</v>
      </c>
    </row>
    <row r="410" spans="2:3" x14ac:dyDescent="0.25">
      <c r="B410" s="216">
        <v>42865</v>
      </c>
      <c r="C410" s="122">
        <v>30248.17</v>
      </c>
    </row>
    <row r="411" spans="2:3" x14ac:dyDescent="0.25">
      <c r="B411" s="216">
        <v>42866</v>
      </c>
      <c r="C411" s="122">
        <v>30250.98</v>
      </c>
    </row>
    <row r="412" spans="2:3" x14ac:dyDescent="0.25">
      <c r="B412" s="216">
        <v>42867</v>
      </c>
      <c r="C412" s="122">
        <v>30188.15</v>
      </c>
    </row>
    <row r="413" spans="2:3" x14ac:dyDescent="0.25">
      <c r="B413" s="216">
        <v>42870</v>
      </c>
      <c r="C413" s="122">
        <v>30322.12</v>
      </c>
    </row>
    <row r="414" spans="2:3" x14ac:dyDescent="0.25">
      <c r="B414" s="216">
        <v>42871</v>
      </c>
      <c r="C414" s="122">
        <v>30582.6</v>
      </c>
    </row>
    <row r="415" spans="2:3" x14ac:dyDescent="0.25">
      <c r="B415" s="216">
        <v>42872</v>
      </c>
      <c r="C415" s="122">
        <v>30658.77</v>
      </c>
    </row>
    <row r="416" spans="2:3" x14ac:dyDescent="0.25">
      <c r="B416" s="216">
        <v>42873</v>
      </c>
      <c r="C416" s="122">
        <v>30434.79</v>
      </c>
    </row>
    <row r="417" spans="2:3" x14ac:dyDescent="0.25">
      <c r="B417" s="216">
        <v>42874</v>
      </c>
      <c r="C417" s="122">
        <v>30464.92</v>
      </c>
    </row>
    <row r="418" spans="2:3" x14ac:dyDescent="0.25">
      <c r="B418" s="216">
        <v>42877</v>
      </c>
      <c r="C418" s="122">
        <v>30570.97</v>
      </c>
    </row>
    <row r="419" spans="2:3" x14ac:dyDescent="0.25">
      <c r="B419" s="216">
        <v>42878</v>
      </c>
      <c r="C419" s="122">
        <v>30365.25</v>
      </c>
    </row>
    <row r="420" spans="2:3" x14ac:dyDescent="0.25">
      <c r="B420" s="216">
        <v>42879</v>
      </c>
      <c r="C420" s="122">
        <v>30301.64</v>
      </c>
    </row>
    <row r="421" spans="2:3" x14ac:dyDescent="0.25">
      <c r="B421" s="216">
        <v>42880</v>
      </c>
      <c r="C421" s="122">
        <v>30750.03</v>
      </c>
    </row>
    <row r="422" spans="2:3" x14ac:dyDescent="0.25">
      <c r="B422" s="216">
        <v>42881</v>
      </c>
      <c r="C422" s="122">
        <v>31028.21</v>
      </c>
    </row>
    <row r="423" spans="2:3" x14ac:dyDescent="0.25">
      <c r="B423" s="216">
        <v>42884</v>
      </c>
      <c r="C423" s="122">
        <v>31109.279999999999</v>
      </c>
    </row>
    <row r="424" spans="2:3" x14ac:dyDescent="0.25">
      <c r="B424" s="216">
        <v>42885</v>
      </c>
      <c r="C424" s="122">
        <v>31159.4</v>
      </c>
    </row>
    <row r="425" spans="2:3" x14ac:dyDescent="0.25">
      <c r="B425" s="216">
        <v>42886</v>
      </c>
      <c r="C425" s="122">
        <v>31145.8</v>
      </c>
    </row>
    <row r="426" spans="2:3" x14ac:dyDescent="0.25">
      <c r="B426" s="216">
        <v>42887</v>
      </c>
      <c r="C426" s="122">
        <v>31137.59</v>
      </c>
    </row>
    <row r="427" spans="2:3" x14ac:dyDescent="0.25">
      <c r="B427" s="216">
        <v>42888</v>
      </c>
      <c r="C427" s="122">
        <v>31273.29</v>
      </c>
    </row>
    <row r="428" spans="2:3" x14ac:dyDescent="0.25">
      <c r="B428" s="216">
        <v>42891</v>
      </c>
      <c r="C428" s="122">
        <v>31309.49</v>
      </c>
    </row>
    <row r="429" spans="2:3" x14ac:dyDescent="0.25">
      <c r="B429" s="216">
        <v>42892</v>
      </c>
      <c r="C429" s="122">
        <v>31190.560000000001</v>
      </c>
    </row>
    <row r="430" spans="2:3" x14ac:dyDescent="0.25">
      <c r="B430" s="216">
        <v>42893</v>
      </c>
      <c r="C430" s="122">
        <v>31271.279999999999</v>
      </c>
    </row>
    <row r="431" spans="2:3" x14ac:dyDescent="0.25">
      <c r="B431" s="216">
        <v>42894</v>
      </c>
      <c r="C431" s="122">
        <v>31213.360000000001</v>
      </c>
    </row>
    <row r="432" spans="2:3" x14ac:dyDescent="0.25">
      <c r="B432" s="216">
        <v>42895</v>
      </c>
      <c r="C432" s="122">
        <v>31262.06</v>
      </c>
    </row>
    <row r="433" spans="2:3" x14ac:dyDescent="0.25">
      <c r="B433" s="216">
        <v>42898</v>
      </c>
      <c r="C433" s="122">
        <v>31095.7</v>
      </c>
    </row>
    <row r="434" spans="2:3" x14ac:dyDescent="0.25">
      <c r="B434" s="216">
        <v>42899</v>
      </c>
      <c r="C434" s="122">
        <v>31103.49</v>
      </c>
    </row>
    <row r="435" spans="2:3" x14ac:dyDescent="0.25">
      <c r="B435" s="216">
        <v>42900</v>
      </c>
      <c r="C435" s="122">
        <v>31155.91</v>
      </c>
    </row>
    <row r="436" spans="2:3" x14ac:dyDescent="0.25">
      <c r="B436" s="216">
        <v>42901</v>
      </c>
      <c r="C436" s="122">
        <v>31075.73</v>
      </c>
    </row>
    <row r="437" spans="2:3" x14ac:dyDescent="0.25">
      <c r="B437" s="216">
        <v>42902</v>
      </c>
      <c r="C437" s="122">
        <v>31056.400000000001</v>
      </c>
    </row>
    <row r="438" spans="2:3" x14ac:dyDescent="0.25">
      <c r="B438" s="216">
        <v>42905</v>
      </c>
      <c r="C438" s="122">
        <v>31311.57</v>
      </c>
    </row>
    <row r="439" spans="2:3" x14ac:dyDescent="0.25">
      <c r="B439" s="216">
        <v>42906</v>
      </c>
      <c r="C439" s="122">
        <v>31297.53</v>
      </c>
    </row>
    <row r="440" spans="2:3" x14ac:dyDescent="0.25">
      <c r="B440" s="216">
        <v>42907</v>
      </c>
      <c r="C440" s="122">
        <v>31283.64</v>
      </c>
    </row>
    <row r="441" spans="2:3" x14ac:dyDescent="0.25">
      <c r="B441" s="216">
        <v>42908</v>
      </c>
      <c r="C441" s="122">
        <v>31290.74</v>
      </c>
    </row>
    <row r="442" spans="2:3" x14ac:dyDescent="0.25">
      <c r="B442" s="216">
        <v>42909</v>
      </c>
      <c r="C442" s="122">
        <v>31138.21</v>
      </c>
    </row>
    <row r="443" spans="2:3" x14ac:dyDescent="0.25">
      <c r="B443" s="216">
        <v>42913</v>
      </c>
      <c r="C443" s="122">
        <v>30958.25</v>
      </c>
    </row>
    <row r="444" spans="2:3" x14ac:dyDescent="0.25">
      <c r="B444" s="216">
        <v>42914</v>
      </c>
      <c r="C444" s="122">
        <v>30834.32</v>
      </c>
    </row>
    <row r="445" spans="2:3" x14ac:dyDescent="0.25">
      <c r="B445" s="216">
        <v>42915</v>
      </c>
      <c r="C445" s="122">
        <v>30857.52</v>
      </c>
    </row>
    <row r="446" spans="2:3" x14ac:dyDescent="0.25">
      <c r="B446" s="216">
        <v>42916</v>
      </c>
      <c r="C446" s="122">
        <v>30921.61</v>
      </c>
    </row>
    <row r="447" spans="2:3" x14ac:dyDescent="0.25">
      <c r="B447" s="216">
        <v>42919</v>
      </c>
      <c r="C447" s="122">
        <v>31221.62</v>
      </c>
    </row>
    <row r="448" spans="2:3" x14ac:dyDescent="0.25">
      <c r="B448" s="216">
        <v>42920</v>
      </c>
      <c r="C448" s="122">
        <v>31209.79</v>
      </c>
    </row>
    <row r="449" spans="2:3" x14ac:dyDescent="0.25">
      <c r="B449" s="216">
        <v>42921</v>
      </c>
      <c r="C449" s="122">
        <v>31245.56</v>
      </c>
    </row>
    <row r="450" spans="2:3" x14ac:dyDescent="0.25">
      <c r="B450" s="216">
        <v>42922</v>
      </c>
      <c r="C450" s="122">
        <v>31369.34</v>
      </c>
    </row>
    <row r="451" spans="2:3" x14ac:dyDescent="0.25">
      <c r="B451" s="216">
        <v>42923</v>
      </c>
      <c r="C451" s="122">
        <v>31360.63</v>
      </c>
    </row>
    <row r="452" spans="2:3" x14ac:dyDescent="0.25">
      <c r="B452" s="216">
        <v>42926</v>
      </c>
      <c r="C452" s="122">
        <v>31715.64</v>
      </c>
    </row>
    <row r="453" spans="2:3" x14ac:dyDescent="0.25">
      <c r="B453" s="216">
        <v>42927</v>
      </c>
      <c r="C453" s="122">
        <v>31747.09</v>
      </c>
    </row>
    <row r="454" spans="2:3" x14ac:dyDescent="0.25">
      <c r="B454" s="216">
        <v>42928</v>
      </c>
      <c r="C454" s="122">
        <v>31804.82</v>
      </c>
    </row>
    <row r="455" spans="2:3" x14ac:dyDescent="0.25">
      <c r="B455" s="216">
        <v>42929</v>
      </c>
      <c r="C455" s="122">
        <v>32037.38</v>
      </c>
    </row>
    <row r="456" spans="2:3" x14ac:dyDescent="0.25">
      <c r="B456" s="216">
        <v>42930</v>
      </c>
      <c r="C456" s="122">
        <v>32020.75</v>
      </c>
    </row>
    <row r="457" spans="2:3" x14ac:dyDescent="0.25">
      <c r="B457" s="216">
        <v>42933</v>
      </c>
      <c r="C457" s="122">
        <v>32074.78</v>
      </c>
    </row>
    <row r="458" spans="2:3" x14ac:dyDescent="0.25">
      <c r="B458" s="216">
        <v>42934</v>
      </c>
      <c r="C458" s="122">
        <v>31710.99</v>
      </c>
    </row>
    <row r="459" spans="2:3" x14ac:dyDescent="0.25">
      <c r="B459" s="216">
        <v>42935</v>
      </c>
      <c r="C459" s="122">
        <v>31955.35</v>
      </c>
    </row>
    <row r="460" spans="2:3" x14ac:dyDescent="0.25">
      <c r="B460" s="216">
        <v>42936</v>
      </c>
      <c r="C460" s="122">
        <v>31904.400000000001</v>
      </c>
    </row>
    <row r="461" spans="2:3" x14ac:dyDescent="0.25">
      <c r="B461" s="216">
        <v>42937</v>
      </c>
      <c r="C461" s="122">
        <v>32028.89</v>
      </c>
    </row>
    <row r="462" spans="2:3" x14ac:dyDescent="0.25">
      <c r="B462" s="216">
        <v>42940</v>
      </c>
      <c r="C462" s="122">
        <v>32245.87</v>
      </c>
    </row>
    <row r="463" spans="2:3" x14ac:dyDescent="0.25">
      <c r="B463" s="216">
        <v>42941</v>
      </c>
      <c r="C463" s="122">
        <v>32228.27</v>
      </c>
    </row>
    <row r="464" spans="2:3" x14ac:dyDescent="0.25">
      <c r="B464" s="216">
        <v>42942</v>
      </c>
      <c r="C464" s="122">
        <v>32382.46</v>
      </c>
    </row>
    <row r="465" spans="2:3" x14ac:dyDescent="0.25">
      <c r="B465" s="216">
        <v>42943</v>
      </c>
      <c r="C465" s="122">
        <v>32383.3</v>
      </c>
    </row>
    <row r="466" spans="2:3" x14ac:dyDescent="0.25">
      <c r="B466" s="216">
        <v>42944</v>
      </c>
      <c r="C466" s="122">
        <v>32309.88</v>
      </c>
    </row>
    <row r="467" spans="2:3" x14ac:dyDescent="0.25">
      <c r="B467" s="216">
        <v>42947</v>
      </c>
      <c r="C467" s="122">
        <v>32514.94</v>
      </c>
    </row>
    <row r="468" spans="2:3" x14ac:dyDescent="0.25">
      <c r="B468" s="216">
        <v>42948</v>
      </c>
      <c r="C468" s="122">
        <v>32575.17</v>
      </c>
    </row>
    <row r="469" spans="2:3" x14ac:dyDescent="0.25">
      <c r="B469" s="216">
        <v>42949</v>
      </c>
      <c r="C469" s="122">
        <v>32476.74</v>
      </c>
    </row>
    <row r="470" spans="2:3" x14ac:dyDescent="0.25">
      <c r="B470" s="216">
        <v>42950</v>
      </c>
      <c r="C470" s="122">
        <v>32237.88</v>
      </c>
    </row>
    <row r="471" spans="2:3" x14ac:dyDescent="0.25">
      <c r="B471" s="216">
        <v>42951</v>
      </c>
      <c r="C471" s="122">
        <v>32325.41</v>
      </c>
    </row>
    <row r="472" spans="2:3" x14ac:dyDescent="0.25">
      <c r="B472" s="216">
        <v>42954</v>
      </c>
      <c r="C472" s="122">
        <v>32273.67</v>
      </c>
    </row>
    <row r="473" spans="2:3" x14ac:dyDescent="0.25">
      <c r="B473" s="216">
        <v>42955</v>
      </c>
      <c r="C473" s="122">
        <v>32014.19</v>
      </c>
    </row>
    <row r="474" spans="2:3" x14ac:dyDescent="0.25">
      <c r="B474" s="216">
        <v>42956</v>
      </c>
      <c r="C474" s="122">
        <v>31797.84</v>
      </c>
    </row>
    <row r="475" spans="2:3" x14ac:dyDescent="0.25">
      <c r="B475" s="216">
        <v>42957</v>
      </c>
      <c r="C475" s="122">
        <v>31531.33</v>
      </c>
    </row>
    <row r="476" spans="2:3" x14ac:dyDescent="0.25">
      <c r="B476" s="216">
        <v>42958</v>
      </c>
      <c r="C476" s="122">
        <v>31213.59</v>
      </c>
    </row>
    <row r="477" spans="2:3" x14ac:dyDescent="0.25">
      <c r="B477" s="216">
        <v>42961</v>
      </c>
      <c r="C477" s="122">
        <v>31449.03</v>
      </c>
    </row>
    <row r="478" spans="2:3" x14ac:dyDescent="0.25">
      <c r="B478" s="216">
        <v>42963</v>
      </c>
      <c r="C478" s="122">
        <v>31770.89</v>
      </c>
    </row>
    <row r="479" spans="2:3" x14ac:dyDescent="0.25">
      <c r="B479" s="216">
        <v>42964</v>
      </c>
      <c r="C479" s="122">
        <v>31795.46</v>
      </c>
    </row>
    <row r="480" spans="2:3" x14ac:dyDescent="0.25">
      <c r="B480" s="216">
        <v>42965</v>
      </c>
      <c r="C480" s="122">
        <v>31524.68</v>
      </c>
    </row>
    <row r="481" spans="2:3" x14ac:dyDescent="0.25">
      <c r="B481" s="216">
        <v>42968</v>
      </c>
      <c r="C481" s="122">
        <v>31258.85</v>
      </c>
    </row>
    <row r="482" spans="2:3" x14ac:dyDescent="0.25">
      <c r="B482" s="216">
        <v>42969</v>
      </c>
      <c r="C482" s="122">
        <v>31291.85</v>
      </c>
    </row>
    <row r="483" spans="2:3" x14ac:dyDescent="0.25">
      <c r="B483" s="216">
        <v>42970</v>
      </c>
      <c r="C483" s="122">
        <v>31568.01</v>
      </c>
    </row>
    <row r="484" spans="2:3" x14ac:dyDescent="0.25">
      <c r="B484" s="216">
        <v>42971</v>
      </c>
      <c r="C484" s="122">
        <v>31596.06</v>
      </c>
    </row>
    <row r="485" spans="2:3" x14ac:dyDescent="0.25">
      <c r="B485" s="216">
        <v>42975</v>
      </c>
      <c r="C485" s="122">
        <v>31750.82</v>
      </c>
    </row>
    <row r="486" spans="2:3" x14ac:dyDescent="0.25">
      <c r="B486" s="216">
        <v>42976</v>
      </c>
      <c r="C486" s="122">
        <v>31388.39</v>
      </c>
    </row>
    <row r="487" spans="2:3" x14ac:dyDescent="0.25">
      <c r="B487" s="216">
        <v>42977</v>
      </c>
      <c r="C487" s="122">
        <v>31646.46</v>
      </c>
    </row>
    <row r="488" spans="2:3" x14ac:dyDescent="0.25">
      <c r="B488" s="216">
        <v>42978</v>
      </c>
      <c r="C488" s="122">
        <v>31730.49</v>
      </c>
    </row>
    <row r="489" spans="2:3" x14ac:dyDescent="0.25">
      <c r="B489" s="216">
        <v>42979</v>
      </c>
      <c r="C489" s="122">
        <v>31892.23</v>
      </c>
    </row>
    <row r="490" spans="2:3" x14ac:dyDescent="0.25">
      <c r="B490" s="216">
        <v>42982</v>
      </c>
      <c r="C490" s="122">
        <v>31702.25</v>
      </c>
    </row>
    <row r="491" spans="2:3" x14ac:dyDescent="0.25">
      <c r="B491" s="216">
        <v>42983</v>
      </c>
      <c r="C491" s="122">
        <v>31809.55</v>
      </c>
    </row>
    <row r="492" spans="2:3" x14ac:dyDescent="0.25">
      <c r="B492" s="216">
        <v>42984</v>
      </c>
      <c r="C492" s="122">
        <v>31661.97</v>
      </c>
    </row>
    <row r="493" spans="2:3" x14ac:dyDescent="0.25">
      <c r="B493" s="216">
        <v>42985</v>
      </c>
      <c r="C493" s="122">
        <v>31662.74</v>
      </c>
    </row>
    <row r="494" spans="2:3" x14ac:dyDescent="0.25">
      <c r="B494" s="216">
        <v>42986</v>
      </c>
      <c r="C494" s="122">
        <v>31687.52</v>
      </c>
    </row>
    <row r="495" spans="2:3" x14ac:dyDescent="0.25">
      <c r="B495" s="216">
        <v>42989</v>
      </c>
      <c r="C495" s="122">
        <v>31882.16</v>
      </c>
    </row>
    <row r="496" spans="2:3" x14ac:dyDescent="0.25">
      <c r="B496" s="216">
        <v>42990</v>
      </c>
      <c r="C496" s="122">
        <v>32158.66</v>
      </c>
    </row>
    <row r="497" spans="2:3" x14ac:dyDescent="0.25">
      <c r="B497" s="216">
        <v>42991</v>
      </c>
      <c r="C497" s="122">
        <v>32186.41</v>
      </c>
    </row>
    <row r="498" spans="2:3" x14ac:dyDescent="0.25">
      <c r="B498" s="216">
        <v>42992</v>
      </c>
      <c r="C498" s="122">
        <v>32241.93</v>
      </c>
    </row>
    <row r="499" spans="2:3" x14ac:dyDescent="0.25">
      <c r="B499" s="216">
        <v>42993</v>
      </c>
      <c r="C499" s="122">
        <v>32272.61</v>
      </c>
    </row>
    <row r="500" spans="2:3" x14ac:dyDescent="0.25">
      <c r="B500" s="216">
        <v>42996</v>
      </c>
      <c r="C500" s="122">
        <v>32423.759999999998</v>
      </c>
    </row>
    <row r="501" spans="2:3" x14ac:dyDescent="0.25">
      <c r="B501" s="216">
        <v>42997</v>
      </c>
      <c r="C501" s="122">
        <v>32402.37</v>
      </c>
    </row>
    <row r="502" spans="2:3" x14ac:dyDescent="0.25">
      <c r="B502" s="216">
        <v>42998</v>
      </c>
      <c r="C502" s="122">
        <v>32400.51</v>
      </c>
    </row>
    <row r="503" spans="2:3" x14ac:dyDescent="0.25">
      <c r="B503" s="216">
        <v>42999</v>
      </c>
      <c r="C503" s="122">
        <v>32370.04</v>
      </c>
    </row>
    <row r="504" spans="2:3" x14ac:dyDescent="0.25">
      <c r="B504" s="216">
        <v>43000</v>
      </c>
      <c r="C504" s="122">
        <v>31922.44</v>
      </c>
    </row>
    <row r="505" spans="2:3" x14ac:dyDescent="0.25">
      <c r="B505" s="216">
        <v>43003</v>
      </c>
      <c r="C505" s="122">
        <v>31626.63</v>
      </c>
    </row>
    <row r="506" spans="2:3" x14ac:dyDescent="0.25">
      <c r="B506" s="216">
        <v>43004</v>
      </c>
      <c r="C506" s="122">
        <v>31599.759999999998</v>
      </c>
    </row>
    <row r="507" spans="2:3" x14ac:dyDescent="0.25">
      <c r="B507" s="216">
        <v>43005</v>
      </c>
      <c r="C507" s="122">
        <v>31159.81</v>
      </c>
    </row>
    <row r="508" spans="2:3" x14ac:dyDescent="0.25">
      <c r="B508" s="216">
        <v>43006</v>
      </c>
      <c r="C508" s="122">
        <v>31282.48</v>
      </c>
    </row>
    <row r="509" spans="2:3" x14ac:dyDescent="0.25">
      <c r="B509" s="216">
        <v>43007</v>
      </c>
      <c r="C509" s="122">
        <v>31283.72</v>
      </c>
    </row>
    <row r="510" spans="2:3" x14ac:dyDescent="0.25">
      <c r="B510" s="216">
        <v>43011</v>
      </c>
      <c r="C510" s="122">
        <v>31497.38</v>
      </c>
    </row>
    <row r="511" spans="2:3" x14ac:dyDescent="0.25">
      <c r="B511" s="216">
        <v>43012</v>
      </c>
      <c r="C511" s="122">
        <v>31671.71</v>
      </c>
    </row>
    <row r="512" spans="2:3" x14ac:dyDescent="0.25">
      <c r="B512" s="216">
        <v>43013</v>
      </c>
      <c r="C512" s="122">
        <v>31592.03</v>
      </c>
    </row>
    <row r="513" spans="2:3" x14ac:dyDescent="0.25">
      <c r="B513" s="216">
        <v>43014</v>
      </c>
      <c r="C513" s="122">
        <v>31814.22</v>
      </c>
    </row>
    <row r="514" spans="2:3" x14ac:dyDescent="0.25">
      <c r="B514" s="216">
        <v>43017</v>
      </c>
      <c r="C514" s="122">
        <v>31846.89</v>
      </c>
    </row>
    <row r="515" spans="2:3" x14ac:dyDescent="0.25">
      <c r="B515" s="216">
        <v>43018</v>
      </c>
      <c r="C515" s="122">
        <v>31924.41</v>
      </c>
    </row>
    <row r="516" spans="2:3" x14ac:dyDescent="0.25">
      <c r="B516" s="216">
        <v>43019</v>
      </c>
      <c r="C516" s="122">
        <v>31833.99</v>
      </c>
    </row>
    <row r="517" spans="2:3" x14ac:dyDescent="0.25">
      <c r="B517" s="216">
        <v>43020</v>
      </c>
      <c r="C517" s="122">
        <v>32182.22</v>
      </c>
    </row>
    <row r="518" spans="2:3" x14ac:dyDescent="0.25">
      <c r="B518" s="216">
        <v>43021</v>
      </c>
      <c r="C518" s="122">
        <v>32432.69</v>
      </c>
    </row>
    <row r="519" spans="2:3" x14ac:dyDescent="0.25">
      <c r="B519" s="216">
        <v>43024</v>
      </c>
      <c r="C519" s="122">
        <v>32633.64</v>
      </c>
    </row>
    <row r="520" spans="2:3" x14ac:dyDescent="0.25">
      <c r="B520" s="216">
        <v>43025</v>
      </c>
      <c r="C520" s="122">
        <v>32609.16</v>
      </c>
    </row>
    <row r="521" spans="2:3" x14ac:dyDescent="0.25">
      <c r="B521" s="216">
        <v>43026</v>
      </c>
      <c r="C521" s="122">
        <v>32584.35</v>
      </c>
    </row>
    <row r="522" spans="2:3" x14ac:dyDescent="0.25">
      <c r="B522" s="216">
        <v>43027</v>
      </c>
      <c r="C522" s="122">
        <v>32389.96</v>
      </c>
    </row>
    <row r="523" spans="2:3" x14ac:dyDescent="0.25">
      <c r="B523" s="216">
        <v>43031</v>
      </c>
      <c r="C523" s="122">
        <v>32506.720000000001</v>
      </c>
    </row>
    <row r="524" spans="2:3" x14ac:dyDescent="0.25">
      <c r="B524" s="216">
        <v>43032</v>
      </c>
      <c r="C524" s="122">
        <v>32607.34</v>
      </c>
    </row>
    <row r="525" spans="2:3" x14ac:dyDescent="0.25">
      <c r="B525" s="216">
        <v>43033</v>
      </c>
      <c r="C525" s="122">
        <v>33042.5</v>
      </c>
    </row>
    <row r="526" spans="2:3" x14ac:dyDescent="0.25">
      <c r="B526" s="216">
        <v>43034</v>
      </c>
      <c r="C526" s="122">
        <v>33147.129999999997</v>
      </c>
    </row>
    <row r="527" spans="2:3" x14ac:dyDescent="0.25">
      <c r="B527" s="216">
        <v>43035</v>
      </c>
      <c r="C527" s="122">
        <v>33157.22</v>
      </c>
    </row>
    <row r="528" spans="2:3" x14ac:dyDescent="0.25">
      <c r="B528" s="216">
        <v>43038</v>
      </c>
      <c r="C528" s="122">
        <v>33266.160000000003</v>
      </c>
    </row>
    <row r="529" spans="2:3" x14ac:dyDescent="0.25">
      <c r="B529" s="216">
        <v>43039</v>
      </c>
      <c r="C529" s="122">
        <v>33213.129999999997</v>
      </c>
    </row>
    <row r="530" spans="2:3" x14ac:dyDescent="0.25">
      <c r="B530" s="216">
        <v>43040</v>
      </c>
      <c r="C530" s="122">
        <v>33600.269999999997</v>
      </c>
    </row>
    <row r="531" spans="2:3" x14ac:dyDescent="0.25">
      <c r="B531" s="216">
        <v>43041</v>
      </c>
      <c r="C531" s="122">
        <v>33573.22</v>
      </c>
    </row>
    <row r="532" spans="2:3" x14ac:dyDescent="0.25">
      <c r="B532" s="216">
        <v>43042</v>
      </c>
      <c r="C532" s="122">
        <v>33685.56</v>
      </c>
    </row>
    <row r="533" spans="2:3" x14ac:dyDescent="0.25">
      <c r="B533" s="216">
        <v>43045</v>
      </c>
      <c r="C533" s="122">
        <v>33731.19</v>
      </c>
    </row>
    <row r="534" spans="2:3" x14ac:dyDescent="0.25">
      <c r="B534" s="216">
        <v>43046</v>
      </c>
      <c r="C534" s="122">
        <v>33370.76</v>
      </c>
    </row>
    <row r="535" spans="2:3" x14ac:dyDescent="0.25">
      <c r="B535" s="216">
        <v>43047</v>
      </c>
      <c r="C535" s="122">
        <v>33218.81</v>
      </c>
    </row>
    <row r="536" spans="2:3" x14ac:dyDescent="0.25">
      <c r="B536" s="216">
        <v>43048</v>
      </c>
      <c r="C536" s="122">
        <v>33250.93</v>
      </c>
    </row>
    <row r="537" spans="2:3" x14ac:dyDescent="0.25">
      <c r="B537" s="216">
        <v>43049</v>
      </c>
      <c r="C537" s="122">
        <v>33314.559999999998</v>
      </c>
    </row>
    <row r="538" spans="2:3" x14ac:dyDescent="0.25">
      <c r="B538" s="216">
        <v>43052</v>
      </c>
      <c r="C538" s="122">
        <v>33033.56</v>
      </c>
    </row>
    <row r="539" spans="2:3" x14ac:dyDescent="0.25">
      <c r="B539" s="216">
        <v>43053</v>
      </c>
      <c r="C539" s="122">
        <v>32941.870000000003</v>
      </c>
    </row>
    <row r="540" spans="2:3" x14ac:dyDescent="0.25">
      <c r="B540" s="216">
        <v>43054</v>
      </c>
      <c r="C540" s="122">
        <v>32760.44</v>
      </c>
    </row>
    <row r="541" spans="2:3" x14ac:dyDescent="0.25">
      <c r="B541" s="216">
        <v>43055</v>
      </c>
      <c r="C541" s="122">
        <v>33106.82</v>
      </c>
    </row>
    <row r="542" spans="2:3" x14ac:dyDescent="0.25">
      <c r="B542" s="216">
        <v>43056</v>
      </c>
      <c r="C542" s="122">
        <v>33342.800000000003</v>
      </c>
    </row>
    <row r="543" spans="2:3" x14ac:dyDescent="0.25">
      <c r="B543" s="216">
        <v>43059</v>
      </c>
      <c r="C543" s="122">
        <v>33359.9</v>
      </c>
    </row>
    <row r="544" spans="2:3" x14ac:dyDescent="0.25">
      <c r="B544" s="216">
        <v>43060</v>
      </c>
      <c r="C544" s="122">
        <v>33478.35</v>
      </c>
    </row>
    <row r="545" spans="2:3" x14ac:dyDescent="0.25">
      <c r="B545" s="216">
        <v>43061</v>
      </c>
      <c r="C545" s="122">
        <v>33561.550000000003</v>
      </c>
    </row>
    <row r="546" spans="2:3" x14ac:dyDescent="0.25">
      <c r="B546" s="216">
        <v>43062</v>
      </c>
      <c r="C546" s="122">
        <v>33588.080000000002</v>
      </c>
    </row>
    <row r="547" spans="2:3" x14ac:dyDescent="0.25">
      <c r="B547" s="216">
        <v>43063</v>
      </c>
      <c r="C547" s="122">
        <v>33679.24</v>
      </c>
    </row>
    <row r="548" spans="2:3" x14ac:dyDescent="0.25">
      <c r="B548" s="216">
        <v>43066</v>
      </c>
      <c r="C548" s="122">
        <v>33724.44</v>
      </c>
    </row>
    <row r="549" spans="2:3" x14ac:dyDescent="0.25">
      <c r="B549" s="216">
        <v>43067</v>
      </c>
      <c r="C549" s="122">
        <v>33618.589999999997</v>
      </c>
    </row>
    <row r="550" spans="2:3" x14ac:dyDescent="0.25">
      <c r="B550" s="216">
        <v>43068</v>
      </c>
      <c r="C550" s="122">
        <v>33602.76</v>
      </c>
    </row>
    <row r="551" spans="2:3" x14ac:dyDescent="0.25">
      <c r="B551" s="216">
        <v>43069</v>
      </c>
      <c r="C551" s="122">
        <v>33149.35</v>
      </c>
    </row>
    <row r="552" spans="2:3" x14ac:dyDescent="0.25">
      <c r="B552" s="216">
        <v>43070</v>
      </c>
      <c r="C552" s="122">
        <v>32832.94</v>
      </c>
    </row>
    <row r="553" spans="2:3" x14ac:dyDescent="0.25">
      <c r="B553" s="216">
        <v>43073</v>
      </c>
      <c r="C553" s="122">
        <v>32869.72</v>
      </c>
    </row>
    <row r="554" spans="2:3" x14ac:dyDescent="0.25">
      <c r="B554" s="216">
        <v>43074</v>
      </c>
      <c r="C554" s="122">
        <v>32802.44</v>
      </c>
    </row>
    <row r="555" spans="2:3" x14ac:dyDescent="0.25">
      <c r="B555" s="216">
        <v>43075</v>
      </c>
      <c r="C555" s="122">
        <v>32597.18</v>
      </c>
    </row>
    <row r="556" spans="2:3" x14ac:dyDescent="0.25">
      <c r="B556" s="216">
        <v>43076</v>
      </c>
      <c r="C556" s="122">
        <v>32949.21</v>
      </c>
    </row>
    <row r="557" spans="2:3" x14ac:dyDescent="0.25">
      <c r="B557" s="216">
        <v>43077</v>
      </c>
      <c r="C557" s="122">
        <v>33250.300000000003</v>
      </c>
    </row>
    <row r="558" spans="2:3" x14ac:dyDescent="0.25">
      <c r="B558" s="216">
        <v>43080</v>
      </c>
      <c r="C558" s="122">
        <v>33455.79</v>
      </c>
    </row>
    <row r="559" spans="2:3" x14ac:dyDescent="0.25">
      <c r="B559" s="216">
        <v>43081</v>
      </c>
      <c r="C559" s="122">
        <v>33227.99</v>
      </c>
    </row>
    <row r="560" spans="2:3" x14ac:dyDescent="0.25">
      <c r="B560" s="216">
        <v>43082</v>
      </c>
      <c r="C560" s="122">
        <v>33053.040000000001</v>
      </c>
    </row>
    <row r="561" spans="2:3" x14ac:dyDescent="0.25">
      <c r="B561" s="216">
        <v>43083</v>
      </c>
      <c r="C561" s="122">
        <v>33246.699999999997</v>
      </c>
    </row>
    <row r="562" spans="2:3" x14ac:dyDescent="0.25">
      <c r="B562" s="216">
        <v>43084</v>
      </c>
      <c r="C562" s="122">
        <v>33462.97</v>
      </c>
    </row>
    <row r="563" spans="2:3" x14ac:dyDescent="0.25">
      <c r="B563" s="216">
        <v>43087</v>
      </c>
      <c r="C563" s="122">
        <v>33601.68</v>
      </c>
    </row>
    <row r="564" spans="2:3" x14ac:dyDescent="0.25">
      <c r="B564" s="216">
        <v>43088</v>
      </c>
      <c r="C564" s="122">
        <v>33836.74</v>
      </c>
    </row>
    <row r="565" spans="2:3" x14ac:dyDescent="0.25">
      <c r="B565" s="216">
        <v>43089</v>
      </c>
      <c r="C565" s="122">
        <v>33777.379999999997</v>
      </c>
    </row>
    <row r="566" spans="2:3" x14ac:dyDescent="0.25">
      <c r="B566" s="216">
        <v>43090</v>
      </c>
      <c r="C566" s="122">
        <v>33756.28</v>
      </c>
    </row>
    <row r="567" spans="2:3" x14ac:dyDescent="0.25">
      <c r="B567" s="216">
        <v>43091</v>
      </c>
      <c r="C567" s="122">
        <v>33940.300000000003</v>
      </c>
    </row>
    <row r="568" spans="2:3" x14ac:dyDescent="0.25">
      <c r="B568" s="216">
        <v>43095</v>
      </c>
      <c r="C568" s="122">
        <v>34010.61</v>
      </c>
    </row>
    <row r="569" spans="2:3" x14ac:dyDescent="0.25">
      <c r="B569" s="216">
        <v>43096</v>
      </c>
      <c r="C569" s="122">
        <v>33911.81</v>
      </c>
    </row>
    <row r="570" spans="2:3" x14ac:dyDescent="0.25">
      <c r="B570" s="216">
        <v>43097</v>
      </c>
      <c r="C570" s="122">
        <v>33848.03</v>
      </c>
    </row>
    <row r="571" spans="2:3" x14ac:dyDescent="0.25">
      <c r="B571" s="216">
        <v>43098</v>
      </c>
      <c r="C571" s="122">
        <v>34056.83</v>
      </c>
    </row>
    <row r="572" spans="2:3" x14ac:dyDescent="0.25">
      <c r="B572" s="216">
        <v>43101</v>
      </c>
      <c r="C572" s="122">
        <v>33812.75</v>
      </c>
    </row>
    <row r="573" spans="2:3" x14ac:dyDescent="0.25">
      <c r="B573" s="216">
        <v>43102</v>
      </c>
      <c r="C573" s="122">
        <v>33812.26</v>
      </c>
    </row>
    <row r="574" spans="2:3" x14ac:dyDescent="0.25">
      <c r="B574" s="216">
        <v>43103</v>
      </c>
      <c r="C574" s="122">
        <v>33793.379999999997</v>
      </c>
    </row>
    <row r="575" spans="2:3" x14ac:dyDescent="0.25">
      <c r="B575" s="216">
        <v>43104</v>
      </c>
      <c r="C575" s="122">
        <v>33969.64</v>
      </c>
    </row>
    <row r="576" spans="2:3" x14ac:dyDescent="0.25">
      <c r="B576" s="216">
        <v>43105</v>
      </c>
      <c r="C576" s="122">
        <v>34153.85</v>
      </c>
    </row>
    <row r="577" spans="2:3" x14ac:dyDescent="0.25">
      <c r="B577" s="216">
        <v>43108</v>
      </c>
      <c r="C577" s="122">
        <v>34352.79</v>
      </c>
    </row>
    <row r="578" spans="2:3" x14ac:dyDescent="0.25">
      <c r="B578" s="216">
        <v>43109</v>
      </c>
      <c r="C578" s="122">
        <v>34443.19</v>
      </c>
    </row>
    <row r="579" spans="2:3" x14ac:dyDescent="0.25">
      <c r="B579" s="216">
        <v>43110</v>
      </c>
      <c r="C579" s="122">
        <v>34433.07</v>
      </c>
    </row>
    <row r="580" spans="2:3" x14ac:dyDescent="0.25">
      <c r="B580" s="216">
        <v>43111</v>
      </c>
      <c r="C580" s="122">
        <v>34503.49</v>
      </c>
    </row>
    <row r="581" spans="2:3" x14ac:dyDescent="0.25">
      <c r="B581" s="216">
        <v>43112</v>
      </c>
      <c r="C581" s="122">
        <v>34592.39</v>
      </c>
    </row>
    <row r="582" spans="2:3" x14ac:dyDescent="0.25">
      <c r="B582" s="216">
        <v>43115</v>
      </c>
      <c r="C582" s="122">
        <v>34843.51</v>
      </c>
    </row>
    <row r="583" spans="2:3" x14ac:dyDescent="0.25">
      <c r="B583" s="216">
        <v>43116</v>
      </c>
      <c r="C583" s="122">
        <v>34771.050000000003</v>
      </c>
    </row>
    <row r="584" spans="2:3" x14ac:dyDescent="0.25">
      <c r="B584" s="216">
        <v>43117</v>
      </c>
      <c r="C584" s="122">
        <v>35081.82</v>
      </c>
    </row>
    <row r="585" spans="2:3" x14ac:dyDescent="0.25">
      <c r="B585" s="216">
        <v>43118</v>
      </c>
      <c r="C585" s="122">
        <v>35260.29</v>
      </c>
    </row>
    <row r="586" spans="2:3" x14ac:dyDescent="0.25">
      <c r="B586" s="216">
        <v>43119</v>
      </c>
      <c r="C586" s="122">
        <v>35511.58</v>
      </c>
    </row>
    <row r="587" spans="2:3" x14ac:dyDescent="0.25">
      <c r="B587" s="216">
        <v>43122</v>
      </c>
      <c r="C587" s="122">
        <v>35798.01</v>
      </c>
    </row>
    <row r="588" spans="2:3" x14ac:dyDescent="0.25">
      <c r="B588" s="216">
        <v>43123</v>
      </c>
      <c r="C588" s="122">
        <v>36139.980000000003</v>
      </c>
    </row>
    <row r="589" spans="2:3" x14ac:dyDescent="0.25">
      <c r="B589" s="216">
        <v>43124</v>
      </c>
      <c r="C589" s="122">
        <v>36161.64</v>
      </c>
    </row>
    <row r="590" spans="2:3" x14ac:dyDescent="0.25">
      <c r="B590" s="216">
        <v>43125</v>
      </c>
      <c r="C590" s="122">
        <v>36050.44</v>
      </c>
    </row>
    <row r="591" spans="2:3" x14ac:dyDescent="0.25">
      <c r="B591" s="216">
        <v>43129</v>
      </c>
      <c r="C591" s="122">
        <v>36283.25</v>
      </c>
    </row>
    <row r="592" spans="2:3" x14ac:dyDescent="0.25">
      <c r="B592" s="216">
        <v>43130</v>
      </c>
      <c r="C592" s="122">
        <v>36033.730000000003</v>
      </c>
    </row>
    <row r="593" spans="2:3" x14ac:dyDescent="0.25">
      <c r="B593" s="216">
        <v>43131</v>
      </c>
      <c r="C593" s="122">
        <v>35965.019999999997</v>
      </c>
    </row>
    <row r="594" spans="2:3" x14ac:dyDescent="0.25">
      <c r="B594" s="216">
        <v>43132</v>
      </c>
      <c r="C594" s="122">
        <v>35906.660000000003</v>
      </c>
    </row>
    <row r="595" spans="2:3" x14ac:dyDescent="0.25">
      <c r="B595" s="216">
        <v>43133</v>
      </c>
      <c r="C595" s="122">
        <v>35066.75</v>
      </c>
    </row>
    <row r="596" spans="2:3" x14ac:dyDescent="0.25">
      <c r="B596" s="216">
        <v>43136</v>
      </c>
      <c r="C596" s="122">
        <v>34757.160000000003</v>
      </c>
    </row>
    <row r="597" spans="2:3" x14ac:dyDescent="0.25">
      <c r="B597" s="216">
        <v>43137</v>
      </c>
      <c r="C597" s="122">
        <v>34195.94</v>
      </c>
    </row>
    <row r="598" spans="2:3" x14ac:dyDescent="0.25">
      <c r="B598" s="216">
        <v>43138</v>
      </c>
      <c r="C598" s="122">
        <v>34082.71</v>
      </c>
    </row>
    <row r="599" spans="2:3" x14ac:dyDescent="0.25">
      <c r="B599" s="216">
        <v>43139</v>
      </c>
      <c r="C599" s="122">
        <v>34413.160000000003</v>
      </c>
    </row>
    <row r="600" spans="2:3" x14ac:dyDescent="0.25">
      <c r="B600" s="216">
        <v>43140</v>
      </c>
      <c r="C600" s="122">
        <v>34005.760000000002</v>
      </c>
    </row>
    <row r="601" spans="2:3" x14ac:dyDescent="0.25">
      <c r="B601" s="216">
        <v>43143</v>
      </c>
      <c r="C601" s="122">
        <v>34300.47</v>
      </c>
    </row>
    <row r="602" spans="2:3" x14ac:dyDescent="0.25">
      <c r="B602" s="216">
        <v>43145</v>
      </c>
      <c r="C602" s="122">
        <v>34155.949999999997</v>
      </c>
    </row>
    <row r="603" spans="2:3" x14ac:dyDescent="0.25">
      <c r="B603" s="216">
        <v>43146</v>
      </c>
      <c r="C603" s="122">
        <v>34297.47</v>
      </c>
    </row>
    <row r="604" spans="2:3" x14ac:dyDescent="0.25">
      <c r="B604" s="216">
        <v>43147</v>
      </c>
      <c r="C604" s="122">
        <v>34010.76</v>
      </c>
    </row>
    <row r="605" spans="2:3" x14ac:dyDescent="0.25">
      <c r="B605" s="216">
        <v>43150</v>
      </c>
      <c r="C605" s="122">
        <v>33774.660000000003</v>
      </c>
    </row>
    <row r="606" spans="2:3" x14ac:dyDescent="0.25">
      <c r="B606" s="216">
        <v>43151</v>
      </c>
      <c r="C606" s="122">
        <v>33703.589999999997</v>
      </c>
    </row>
    <row r="607" spans="2:3" x14ac:dyDescent="0.25">
      <c r="B607" s="216">
        <v>43152</v>
      </c>
      <c r="C607" s="122">
        <v>33844.86</v>
      </c>
    </row>
    <row r="608" spans="2:3" x14ac:dyDescent="0.25">
      <c r="B608" s="216">
        <v>43153</v>
      </c>
      <c r="C608" s="122">
        <v>33819.5</v>
      </c>
    </row>
    <row r="609" spans="2:3" x14ac:dyDescent="0.25">
      <c r="B609" s="216">
        <v>43154</v>
      </c>
      <c r="C609" s="122">
        <v>34142.15</v>
      </c>
    </row>
    <row r="610" spans="2:3" x14ac:dyDescent="0.25">
      <c r="B610" s="216">
        <v>43157</v>
      </c>
      <c r="C610" s="122">
        <v>34445.75</v>
      </c>
    </row>
    <row r="611" spans="2:3" x14ac:dyDescent="0.25">
      <c r="B611" s="216">
        <v>43158</v>
      </c>
      <c r="C611" s="122">
        <v>34346.39</v>
      </c>
    </row>
    <row r="612" spans="2:3" x14ac:dyDescent="0.25">
      <c r="B612" s="216">
        <v>43159</v>
      </c>
      <c r="C612" s="122">
        <v>34184.04</v>
      </c>
    </row>
    <row r="613" spans="2:3" x14ac:dyDescent="0.25">
      <c r="B613" s="216">
        <v>43160</v>
      </c>
      <c r="C613" s="122">
        <v>34046.94</v>
      </c>
    </row>
    <row r="614" spans="2:3" x14ac:dyDescent="0.25">
      <c r="B614" s="216">
        <v>43164</v>
      </c>
      <c r="C614" s="122">
        <v>33746.78</v>
      </c>
    </row>
    <row r="615" spans="2:3" x14ac:dyDescent="0.25">
      <c r="B615" s="216">
        <v>43165</v>
      </c>
      <c r="C615" s="122">
        <v>33317.199999999997</v>
      </c>
    </row>
    <row r="616" spans="2:3" x14ac:dyDescent="0.25">
      <c r="B616" s="216">
        <v>43166</v>
      </c>
      <c r="C616" s="122">
        <v>33033.089999999997</v>
      </c>
    </row>
    <row r="617" spans="2:3" x14ac:dyDescent="0.25">
      <c r="B617" s="216">
        <v>43167</v>
      </c>
      <c r="C617" s="122">
        <v>33351.57</v>
      </c>
    </row>
    <row r="618" spans="2:3" x14ac:dyDescent="0.25">
      <c r="B618" s="216">
        <v>43168</v>
      </c>
      <c r="C618" s="122">
        <v>33307.14</v>
      </c>
    </row>
    <row r="619" spans="2:3" x14ac:dyDescent="0.25">
      <c r="B619" s="216">
        <v>43171</v>
      </c>
      <c r="C619" s="122">
        <v>33917.94</v>
      </c>
    </row>
    <row r="620" spans="2:3" x14ac:dyDescent="0.25">
      <c r="B620" s="216">
        <v>43172</v>
      </c>
      <c r="C620" s="122">
        <v>33856.78</v>
      </c>
    </row>
    <row r="621" spans="2:3" x14ac:dyDescent="0.25">
      <c r="B621" s="216">
        <v>43173</v>
      </c>
      <c r="C621" s="122">
        <v>33835.74</v>
      </c>
    </row>
    <row r="622" spans="2:3" x14ac:dyDescent="0.25">
      <c r="B622" s="216">
        <v>43174</v>
      </c>
      <c r="C622" s="122">
        <v>33685.54</v>
      </c>
    </row>
    <row r="623" spans="2:3" x14ac:dyDescent="0.25">
      <c r="B623" s="216">
        <v>43175</v>
      </c>
      <c r="C623" s="122">
        <v>33176</v>
      </c>
    </row>
    <row r="624" spans="2:3" x14ac:dyDescent="0.25">
      <c r="B624" s="216">
        <v>43178</v>
      </c>
      <c r="C624" s="122">
        <v>32923.120000000003</v>
      </c>
    </row>
    <row r="625" spans="2:3" x14ac:dyDescent="0.25">
      <c r="B625" s="216">
        <v>43179</v>
      </c>
      <c r="C625" s="122">
        <v>32996.76</v>
      </c>
    </row>
    <row r="626" spans="2:3" x14ac:dyDescent="0.25">
      <c r="B626" s="216">
        <v>43180</v>
      </c>
      <c r="C626" s="122">
        <v>33136.18</v>
      </c>
    </row>
    <row r="627" spans="2:3" x14ac:dyDescent="0.25">
      <c r="B627" s="216">
        <v>43181</v>
      </c>
      <c r="C627" s="122">
        <v>33006.269999999997</v>
      </c>
    </row>
    <row r="628" spans="2:3" x14ac:dyDescent="0.25">
      <c r="B628" s="216">
        <v>43182</v>
      </c>
      <c r="C628" s="122">
        <v>32596.54</v>
      </c>
    </row>
    <row r="629" spans="2:3" x14ac:dyDescent="0.25">
      <c r="B629" s="216">
        <v>43185</v>
      </c>
      <c r="C629" s="122">
        <v>33066.410000000003</v>
      </c>
    </row>
    <row r="630" spans="2:3" x14ac:dyDescent="0.25">
      <c r="B630" s="216">
        <v>43186</v>
      </c>
      <c r="C630" s="122">
        <v>33174.39</v>
      </c>
    </row>
    <row r="631" spans="2:3" x14ac:dyDescent="0.25">
      <c r="B631" s="216">
        <v>43187</v>
      </c>
      <c r="C631" s="122">
        <v>32968.68</v>
      </c>
    </row>
    <row r="632" spans="2:3" x14ac:dyDescent="0.25">
      <c r="B632" s="216">
        <v>43192</v>
      </c>
      <c r="C632" s="122">
        <v>33255.360000000001</v>
      </c>
    </row>
    <row r="633" spans="2:3" x14ac:dyDescent="0.25">
      <c r="B633" s="216">
        <v>43193</v>
      </c>
      <c r="C633" s="122">
        <v>33370.629999999997</v>
      </c>
    </row>
    <row r="634" spans="2:3" x14ac:dyDescent="0.25">
      <c r="B634" s="216">
        <v>43194</v>
      </c>
      <c r="C634" s="122">
        <v>33019.07</v>
      </c>
    </row>
    <row r="635" spans="2:3" x14ac:dyDescent="0.25">
      <c r="B635" s="216">
        <v>43195</v>
      </c>
      <c r="C635" s="122">
        <v>33596.800000000003</v>
      </c>
    </row>
    <row r="636" spans="2:3" x14ac:dyDescent="0.25">
      <c r="B636" s="216">
        <v>43196</v>
      </c>
      <c r="C636" s="122">
        <v>33626.97</v>
      </c>
    </row>
    <row r="637" spans="2:3" x14ac:dyDescent="0.25">
      <c r="B637" s="216">
        <v>43199</v>
      </c>
      <c r="C637" s="122">
        <v>33788.54</v>
      </c>
    </row>
    <row r="638" spans="2:3" x14ac:dyDescent="0.25">
      <c r="B638" s="216">
        <v>43200</v>
      </c>
      <c r="C638" s="122">
        <v>33880.25</v>
      </c>
    </row>
    <row r="639" spans="2:3" x14ac:dyDescent="0.25">
      <c r="B639" s="216">
        <v>43201</v>
      </c>
      <c r="C639" s="122">
        <v>33940.44</v>
      </c>
    </row>
    <row r="640" spans="2:3" x14ac:dyDescent="0.25">
      <c r="B640" s="216">
        <v>43202</v>
      </c>
      <c r="C640" s="122">
        <v>34101.129999999997</v>
      </c>
    </row>
    <row r="641" spans="2:3" x14ac:dyDescent="0.25">
      <c r="B641" s="216">
        <v>43203</v>
      </c>
      <c r="C641" s="122">
        <v>34192.65</v>
      </c>
    </row>
    <row r="642" spans="2:3" x14ac:dyDescent="0.25">
      <c r="B642" s="216">
        <v>43206</v>
      </c>
      <c r="C642" s="122">
        <v>34305.43</v>
      </c>
    </row>
    <row r="643" spans="2:3" x14ac:dyDescent="0.25">
      <c r="B643" s="216">
        <v>43207</v>
      </c>
      <c r="C643" s="122">
        <v>34395.06</v>
      </c>
    </row>
    <row r="644" spans="2:3" x14ac:dyDescent="0.25">
      <c r="B644" s="216">
        <v>43208</v>
      </c>
      <c r="C644" s="122">
        <v>34331.68</v>
      </c>
    </row>
    <row r="645" spans="2:3" x14ac:dyDescent="0.25">
      <c r="B645" s="216">
        <v>43209</v>
      </c>
      <c r="C645" s="122">
        <v>34427.29</v>
      </c>
    </row>
    <row r="646" spans="2:3" x14ac:dyDescent="0.25">
      <c r="B646" s="216">
        <v>43210</v>
      </c>
      <c r="C646" s="122">
        <v>34415.58</v>
      </c>
    </row>
    <row r="647" spans="2:3" x14ac:dyDescent="0.25">
      <c r="B647" s="216">
        <v>43213</v>
      </c>
      <c r="C647" s="122">
        <v>34450.769999999997</v>
      </c>
    </row>
    <row r="648" spans="2:3" x14ac:dyDescent="0.25">
      <c r="B648" s="216">
        <v>43214</v>
      </c>
      <c r="C648" s="122">
        <v>34616.639999999999</v>
      </c>
    </row>
    <row r="649" spans="2:3" x14ac:dyDescent="0.25">
      <c r="B649" s="216">
        <v>43215</v>
      </c>
      <c r="C649" s="122">
        <v>34501.269999999997</v>
      </c>
    </row>
    <row r="650" spans="2:3" x14ac:dyDescent="0.25">
      <c r="B650" s="216">
        <v>43216</v>
      </c>
      <c r="C650" s="122">
        <v>34713.599999999999</v>
      </c>
    </row>
    <row r="651" spans="2:3" x14ac:dyDescent="0.25">
      <c r="B651" s="216">
        <v>43217</v>
      </c>
      <c r="C651" s="122">
        <v>34969.699999999997</v>
      </c>
    </row>
    <row r="652" spans="2:3" x14ac:dyDescent="0.25">
      <c r="B652" s="216">
        <v>43220</v>
      </c>
      <c r="C652" s="122">
        <v>35160.36</v>
      </c>
    </row>
    <row r="653" spans="2:3" x14ac:dyDescent="0.25">
      <c r="B653" s="216">
        <v>43222</v>
      </c>
      <c r="C653" s="122">
        <v>35176.42</v>
      </c>
    </row>
    <row r="654" spans="2:3" x14ac:dyDescent="0.25">
      <c r="B654" s="216">
        <v>43223</v>
      </c>
      <c r="C654" s="122">
        <v>35103.14</v>
      </c>
    </row>
    <row r="655" spans="2:3" x14ac:dyDescent="0.25">
      <c r="B655" s="216">
        <v>43224</v>
      </c>
      <c r="C655" s="122">
        <v>34915.379999999997</v>
      </c>
    </row>
    <row r="656" spans="2:3" x14ac:dyDescent="0.25">
      <c r="B656" s="216">
        <v>43227</v>
      </c>
      <c r="C656" s="122">
        <v>35208.14</v>
      </c>
    </row>
    <row r="657" spans="2:3" x14ac:dyDescent="0.25">
      <c r="B657" s="216">
        <v>43228</v>
      </c>
      <c r="C657" s="122">
        <v>35216.32</v>
      </c>
    </row>
    <row r="658" spans="2:3" x14ac:dyDescent="0.25">
      <c r="B658" s="216">
        <v>43229</v>
      </c>
      <c r="C658" s="122">
        <v>35319.35</v>
      </c>
    </row>
    <row r="659" spans="2:3" x14ac:dyDescent="0.25">
      <c r="B659" s="216">
        <v>43230</v>
      </c>
      <c r="C659" s="122">
        <v>35246.269999999997</v>
      </c>
    </row>
    <row r="660" spans="2:3" x14ac:dyDescent="0.25">
      <c r="B660" s="216">
        <v>43231</v>
      </c>
      <c r="C660" s="122">
        <v>35535.79</v>
      </c>
    </row>
    <row r="661" spans="2:3" x14ac:dyDescent="0.25">
      <c r="B661" s="216">
        <v>43234</v>
      </c>
      <c r="C661" s="122">
        <v>35556.71</v>
      </c>
    </row>
    <row r="662" spans="2:3" x14ac:dyDescent="0.25">
      <c r="B662" s="216">
        <v>43235</v>
      </c>
      <c r="C662" s="122">
        <v>35543.94</v>
      </c>
    </row>
    <row r="663" spans="2:3" x14ac:dyDescent="0.25">
      <c r="B663" s="216">
        <v>43236</v>
      </c>
      <c r="C663" s="122">
        <v>35387.879999999997</v>
      </c>
    </row>
    <row r="664" spans="2:3" x14ac:dyDescent="0.25">
      <c r="B664" s="216">
        <v>43237</v>
      </c>
      <c r="C664" s="122">
        <v>35149.120000000003</v>
      </c>
    </row>
    <row r="665" spans="2:3" x14ac:dyDescent="0.25">
      <c r="B665" s="216">
        <v>43238</v>
      </c>
      <c r="C665" s="122">
        <v>34848.300000000003</v>
      </c>
    </row>
    <row r="666" spans="2:3" x14ac:dyDescent="0.25">
      <c r="B666" s="216">
        <v>43241</v>
      </c>
      <c r="C666" s="122">
        <v>34616.129999999997</v>
      </c>
    </row>
    <row r="667" spans="2:3" x14ac:dyDescent="0.25">
      <c r="B667" s="216">
        <v>43242</v>
      </c>
      <c r="C667" s="122">
        <v>34651.24</v>
      </c>
    </row>
    <row r="668" spans="2:3" x14ac:dyDescent="0.25">
      <c r="B668" s="216">
        <v>43243</v>
      </c>
      <c r="C668" s="122">
        <v>34344.910000000003</v>
      </c>
    </row>
    <row r="669" spans="2:3" x14ac:dyDescent="0.25">
      <c r="B669" s="216">
        <v>43244</v>
      </c>
      <c r="C669" s="122">
        <v>34663.11</v>
      </c>
    </row>
    <row r="670" spans="2:3" x14ac:dyDescent="0.25">
      <c r="B670" s="216">
        <v>43245</v>
      </c>
      <c r="C670" s="122">
        <v>34924.870000000003</v>
      </c>
    </row>
    <row r="671" spans="2:3" x14ac:dyDescent="0.25">
      <c r="B671" s="216">
        <v>43248</v>
      </c>
      <c r="C671" s="122">
        <v>35165.480000000003</v>
      </c>
    </row>
    <row r="672" spans="2:3" x14ac:dyDescent="0.25">
      <c r="B672" s="216">
        <v>43249</v>
      </c>
      <c r="C672" s="122">
        <v>34949.24</v>
      </c>
    </row>
    <row r="673" spans="2:3" x14ac:dyDescent="0.25">
      <c r="B673" s="216">
        <v>43250</v>
      </c>
      <c r="C673" s="122">
        <v>34906.11</v>
      </c>
    </row>
    <row r="674" spans="2:3" x14ac:dyDescent="0.25">
      <c r="B674" s="216">
        <v>43251</v>
      </c>
      <c r="C674" s="122">
        <v>35322.379999999997</v>
      </c>
    </row>
    <row r="675" spans="2:3" x14ac:dyDescent="0.25">
      <c r="B675" s="216">
        <v>43252</v>
      </c>
      <c r="C675" s="122">
        <v>35227.26</v>
      </c>
    </row>
    <row r="676" spans="2:3" x14ac:dyDescent="0.25">
      <c r="B676" s="216">
        <v>43255</v>
      </c>
      <c r="C676" s="122">
        <v>35011.89</v>
      </c>
    </row>
    <row r="677" spans="2:3" x14ac:dyDescent="0.25">
      <c r="B677" s="216">
        <v>43256</v>
      </c>
      <c r="C677" s="122">
        <v>34903.21</v>
      </c>
    </row>
    <row r="678" spans="2:3" x14ac:dyDescent="0.25">
      <c r="B678" s="216">
        <v>43257</v>
      </c>
      <c r="C678" s="122">
        <v>35178.879999999997</v>
      </c>
    </row>
    <row r="679" spans="2:3" x14ac:dyDescent="0.25">
      <c r="B679" s="216">
        <v>43258</v>
      </c>
      <c r="C679" s="122">
        <v>35463.08</v>
      </c>
    </row>
    <row r="680" spans="2:3" x14ac:dyDescent="0.25">
      <c r="B680" s="216">
        <v>43259</v>
      </c>
      <c r="C680" s="122">
        <v>35443.67</v>
      </c>
    </row>
    <row r="681" spans="2:3" x14ac:dyDescent="0.25">
      <c r="B681" s="216">
        <v>43262</v>
      </c>
      <c r="C681" s="122">
        <v>35483.47</v>
      </c>
    </row>
    <row r="682" spans="2:3" x14ac:dyDescent="0.25">
      <c r="B682" s="216">
        <v>43263</v>
      </c>
      <c r="C682" s="122">
        <v>35692.519999999997</v>
      </c>
    </row>
    <row r="683" spans="2:3" x14ac:dyDescent="0.25">
      <c r="B683" s="216">
        <v>43264</v>
      </c>
      <c r="C683" s="122">
        <v>35739.160000000003</v>
      </c>
    </row>
    <row r="684" spans="2:3" x14ac:dyDescent="0.25">
      <c r="B684" s="216">
        <v>43265</v>
      </c>
      <c r="C684" s="122">
        <v>35599.82</v>
      </c>
    </row>
    <row r="685" spans="2:3" x14ac:dyDescent="0.25">
      <c r="B685" s="216">
        <v>43266</v>
      </c>
      <c r="C685" s="122">
        <v>35622.14</v>
      </c>
    </row>
    <row r="686" spans="2:3" x14ac:dyDescent="0.25">
      <c r="B686" s="216">
        <v>43269</v>
      </c>
      <c r="C686" s="122">
        <v>35548.26</v>
      </c>
    </row>
    <row r="687" spans="2:3" x14ac:dyDescent="0.25">
      <c r="B687" s="216">
        <v>43270</v>
      </c>
      <c r="C687" s="122">
        <v>35286.74</v>
      </c>
    </row>
    <row r="688" spans="2:3" x14ac:dyDescent="0.25">
      <c r="B688" s="216">
        <v>43271</v>
      </c>
      <c r="C688" s="122">
        <v>35547.33</v>
      </c>
    </row>
    <row r="689" spans="2:3" x14ac:dyDescent="0.25">
      <c r="B689" s="216">
        <v>43272</v>
      </c>
      <c r="C689" s="122">
        <v>35432.39</v>
      </c>
    </row>
    <row r="690" spans="2:3" x14ac:dyDescent="0.25">
      <c r="B690" s="216">
        <v>43273</v>
      </c>
      <c r="C690" s="122">
        <v>35689.599999999999</v>
      </c>
    </row>
    <row r="691" spans="2:3" x14ac:dyDescent="0.25">
      <c r="B691" s="216">
        <v>43276</v>
      </c>
      <c r="C691" s="122">
        <v>35470.35</v>
      </c>
    </row>
    <row r="692" spans="2:3" x14ac:dyDescent="0.25">
      <c r="B692" s="216">
        <v>43277</v>
      </c>
      <c r="C692" s="122">
        <v>35490.04</v>
      </c>
    </row>
    <row r="693" spans="2:3" x14ac:dyDescent="0.25">
      <c r="B693" s="216">
        <v>43278</v>
      </c>
      <c r="C693" s="122">
        <v>35217.11</v>
      </c>
    </row>
    <row r="694" spans="2:3" x14ac:dyDescent="0.25">
      <c r="B694" s="216">
        <v>43279</v>
      </c>
      <c r="C694" s="122">
        <v>35037.64</v>
      </c>
    </row>
    <row r="695" spans="2:3" x14ac:dyDescent="0.25">
      <c r="B695" s="216">
        <v>43280</v>
      </c>
      <c r="C695" s="122">
        <v>35423.480000000003</v>
      </c>
    </row>
    <row r="696" spans="2:3" x14ac:dyDescent="0.25">
      <c r="B696" s="216">
        <v>43283</v>
      </c>
      <c r="C696" s="122">
        <v>35264.410000000003</v>
      </c>
    </row>
    <row r="697" spans="2:3" x14ac:dyDescent="0.25">
      <c r="B697" s="216">
        <v>43284</v>
      </c>
      <c r="C697" s="122">
        <v>35378.6</v>
      </c>
    </row>
    <row r="698" spans="2:3" x14ac:dyDescent="0.25">
      <c r="B698" s="216">
        <v>43285</v>
      </c>
      <c r="C698" s="122">
        <v>35645.4</v>
      </c>
    </row>
    <row r="699" spans="2:3" x14ac:dyDescent="0.25">
      <c r="B699" s="216">
        <v>43286</v>
      </c>
      <c r="C699" s="122">
        <v>35574.550000000003</v>
      </c>
    </row>
    <row r="700" spans="2:3" x14ac:dyDescent="0.25">
      <c r="B700" s="216">
        <v>43287</v>
      </c>
      <c r="C700" s="122">
        <v>35657.86</v>
      </c>
    </row>
    <row r="701" spans="2:3" x14ac:dyDescent="0.25">
      <c r="B701" s="216">
        <v>43290</v>
      </c>
      <c r="C701" s="122">
        <v>35934.720000000001</v>
      </c>
    </row>
    <row r="702" spans="2:3" x14ac:dyDescent="0.25">
      <c r="B702" s="216">
        <v>43291</v>
      </c>
      <c r="C702" s="122">
        <v>36239.620000000003</v>
      </c>
    </row>
    <row r="703" spans="2:3" x14ac:dyDescent="0.25">
      <c r="B703" s="216">
        <v>43292</v>
      </c>
      <c r="C703" s="122">
        <v>36265.93</v>
      </c>
    </row>
    <row r="704" spans="2:3" x14ac:dyDescent="0.25">
      <c r="B704" s="216">
        <v>43293</v>
      </c>
      <c r="C704" s="122">
        <v>36548.410000000003</v>
      </c>
    </row>
    <row r="705" spans="2:3" x14ac:dyDescent="0.25">
      <c r="B705" s="216">
        <v>43294</v>
      </c>
      <c r="C705" s="122">
        <v>36541.629999999997</v>
      </c>
    </row>
    <row r="706" spans="2:3" x14ac:dyDescent="0.25">
      <c r="B706" s="216">
        <v>43297</v>
      </c>
      <c r="C706" s="122">
        <v>36323.769999999997</v>
      </c>
    </row>
    <row r="707" spans="2:3" x14ac:dyDescent="0.25">
      <c r="B707" s="216">
        <v>43298</v>
      </c>
      <c r="C707" s="122">
        <v>36519.96</v>
      </c>
    </row>
    <row r="708" spans="2:3" x14ac:dyDescent="0.25">
      <c r="B708" s="216">
        <v>43299</v>
      </c>
      <c r="C708" s="122">
        <v>36373.440000000002</v>
      </c>
    </row>
    <row r="709" spans="2:3" x14ac:dyDescent="0.25">
      <c r="B709" s="216">
        <v>43300</v>
      </c>
      <c r="C709" s="122">
        <v>36351.230000000003</v>
      </c>
    </row>
    <row r="710" spans="2:3" x14ac:dyDescent="0.25">
      <c r="B710" s="216">
        <v>43301</v>
      </c>
      <c r="C710" s="122">
        <v>36496.370000000003</v>
      </c>
    </row>
    <row r="711" spans="2:3" x14ac:dyDescent="0.25">
      <c r="B711" s="216">
        <v>43304</v>
      </c>
      <c r="C711" s="122">
        <v>36718.6</v>
      </c>
    </row>
    <row r="712" spans="2:3" x14ac:dyDescent="0.25">
      <c r="B712" s="216">
        <v>43305</v>
      </c>
      <c r="C712" s="122">
        <v>36825.1</v>
      </c>
    </row>
    <row r="713" spans="2:3" x14ac:dyDescent="0.25">
      <c r="B713" s="216">
        <v>43306</v>
      </c>
      <c r="C713" s="122">
        <v>36858.230000000003</v>
      </c>
    </row>
    <row r="714" spans="2:3" x14ac:dyDescent="0.25">
      <c r="B714" s="216">
        <v>43307</v>
      </c>
      <c r="C714" s="122">
        <v>36984.639999999999</v>
      </c>
    </row>
    <row r="715" spans="2:3" x14ac:dyDescent="0.25">
      <c r="B715" s="216">
        <v>43308</v>
      </c>
      <c r="C715" s="122">
        <v>37336.85</v>
      </c>
    </row>
    <row r="716" spans="2:3" x14ac:dyDescent="0.25">
      <c r="B716" s="216">
        <v>43311</v>
      </c>
      <c r="C716" s="122">
        <v>37494.400000000001</v>
      </c>
    </row>
    <row r="717" spans="2:3" x14ac:dyDescent="0.25">
      <c r="B717" s="216">
        <v>43312</v>
      </c>
      <c r="C717" s="122">
        <v>37606.58</v>
      </c>
    </row>
    <row r="718" spans="2:3" x14ac:dyDescent="0.25">
      <c r="B718" s="216">
        <v>43313</v>
      </c>
      <c r="C718" s="122">
        <v>37521.620000000003</v>
      </c>
    </row>
    <row r="719" spans="2:3" x14ac:dyDescent="0.25">
      <c r="B719" s="216">
        <v>43314</v>
      </c>
      <c r="C719" s="122">
        <v>37165.160000000003</v>
      </c>
    </row>
    <row r="720" spans="2:3" x14ac:dyDescent="0.25">
      <c r="B720" s="216">
        <v>43315</v>
      </c>
      <c r="C720" s="122">
        <v>37556.160000000003</v>
      </c>
    </row>
    <row r="721" spans="2:3" x14ac:dyDescent="0.25">
      <c r="B721" s="216">
        <v>43318</v>
      </c>
      <c r="C721" s="122">
        <v>37691.89</v>
      </c>
    </row>
    <row r="722" spans="2:3" x14ac:dyDescent="0.25">
      <c r="B722" s="216">
        <v>43319</v>
      </c>
      <c r="C722" s="122">
        <v>37665.800000000003</v>
      </c>
    </row>
    <row r="723" spans="2:3" x14ac:dyDescent="0.25">
      <c r="B723" s="216">
        <v>43320</v>
      </c>
      <c r="C723" s="122">
        <v>37887.56</v>
      </c>
    </row>
    <row r="724" spans="2:3" x14ac:dyDescent="0.25">
      <c r="B724" s="216">
        <v>43321</v>
      </c>
      <c r="C724" s="122">
        <v>38024.370000000003</v>
      </c>
    </row>
    <row r="725" spans="2:3" x14ac:dyDescent="0.25">
      <c r="B725" s="216">
        <v>43322</v>
      </c>
      <c r="C725" s="122">
        <v>37869.230000000003</v>
      </c>
    </row>
    <row r="726" spans="2:3" x14ac:dyDescent="0.25">
      <c r="B726" s="216">
        <v>43325</v>
      </c>
      <c r="C726" s="122">
        <v>37644.9</v>
      </c>
    </row>
    <row r="727" spans="2:3" x14ac:dyDescent="0.25">
      <c r="B727" s="216">
        <v>43326</v>
      </c>
      <c r="C727" s="122">
        <v>37852</v>
      </c>
    </row>
    <row r="728" spans="2:3" x14ac:dyDescent="0.25">
      <c r="B728" s="216">
        <v>43328</v>
      </c>
      <c r="C728" s="122">
        <v>37663.56</v>
      </c>
    </row>
    <row r="729" spans="2:3" x14ac:dyDescent="0.25">
      <c r="B729" s="216">
        <v>43329</v>
      </c>
      <c r="C729" s="122">
        <v>37947.879999999997</v>
      </c>
    </row>
    <row r="730" spans="2:3" x14ac:dyDescent="0.25">
      <c r="B730" s="216">
        <v>43332</v>
      </c>
      <c r="C730" s="122">
        <v>38278.75</v>
      </c>
    </row>
    <row r="731" spans="2:3" x14ac:dyDescent="0.25">
      <c r="B731" s="216">
        <v>43333</v>
      </c>
      <c r="C731" s="122">
        <v>38285.75</v>
      </c>
    </row>
    <row r="732" spans="2:3" x14ac:dyDescent="0.25">
      <c r="B732" s="216">
        <v>43335</v>
      </c>
      <c r="C732" s="122">
        <v>38336.76</v>
      </c>
    </row>
    <row r="733" spans="2:3" x14ac:dyDescent="0.25">
      <c r="B733" s="216">
        <v>43336</v>
      </c>
      <c r="C733" s="122">
        <v>38251.800000000003</v>
      </c>
    </row>
    <row r="734" spans="2:3" x14ac:dyDescent="0.25">
      <c r="B734" s="216">
        <v>43339</v>
      </c>
      <c r="C734" s="122">
        <v>38694.11</v>
      </c>
    </row>
    <row r="735" spans="2:3" x14ac:dyDescent="0.25">
      <c r="B735" s="216">
        <v>43340</v>
      </c>
      <c r="C735" s="122">
        <v>38896.629999999997</v>
      </c>
    </row>
    <row r="736" spans="2:3" x14ac:dyDescent="0.25">
      <c r="B736" s="216">
        <v>43341</v>
      </c>
      <c r="C736" s="122">
        <v>38722.93</v>
      </c>
    </row>
    <row r="737" spans="2:3" x14ac:dyDescent="0.25">
      <c r="B737" s="216">
        <v>43342</v>
      </c>
      <c r="C737" s="122">
        <v>38690.1</v>
      </c>
    </row>
    <row r="738" spans="2:3" x14ac:dyDescent="0.25">
      <c r="B738" s="216">
        <v>43343</v>
      </c>
      <c r="C738" s="122">
        <v>38645.07</v>
      </c>
    </row>
    <row r="739" spans="2:3" x14ac:dyDescent="0.25">
      <c r="B739" s="216">
        <v>43346</v>
      </c>
      <c r="C739" s="122">
        <v>38312.519999999997</v>
      </c>
    </row>
    <row r="740" spans="2:3" x14ac:dyDescent="0.25">
      <c r="B740" s="216">
        <v>43347</v>
      </c>
      <c r="C740" s="122">
        <v>38157.919999999998</v>
      </c>
    </row>
    <row r="741" spans="2:3" x14ac:dyDescent="0.25">
      <c r="B741" s="216">
        <v>43348</v>
      </c>
      <c r="C741" s="122">
        <v>38018.31</v>
      </c>
    </row>
    <row r="742" spans="2:3" x14ac:dyDescent="0.25">
      <c r="B742" s="216">
        <v>43349</v>
      </c>
      <c r="C742" s="122">
        <v>38242.81</v>
      </c>
    </row>
    <row r="743" spans="2:3" x14ac:dyDescent="0.25">
      <c r="B743" s="216">
        <v>43350</v>
      </c>
      <c r="C743" s="122">
        <v>38389.82</v>
      </c>
    </row>
    <row r="744" spans="2:3" x14ac:dyDescent="0.25">
      <c r="B744" s="216">
        <v>43353</v>
      </c>
      <c r="C744" s="122">
        <v>37922.17</v>
      </c>
    </row>
    <row r="745" spans="2:3" x14ac:dyDescent="0.25">
      <c r="B745" s="216">
        <v>43354</v>
      </c>
      <c r="C745" s="122">
        <v>37413.129999999997</v>
      </c>
    </row>
    <row r="746" spans="2:3" x14ac:dyDescent="0.25">
      <c r="B746" s="216">
        <v>43355</v>
      </c>
      <c r="C746" s="122">
        <v>37717.96</v>
      </c>
    </row>
    <row r="747" spans="2:3" x14ac:dyDescent="0.25">
      <c r="B747" s="216">
        <v>43357</v>
      </c>
      <c r="C747" s="122">
        <v>38090.639999999999</v>
      </c>
    </row>
    <row r="748" spans="2:3" x14ac:dyDescent="0.25">
      <c r="B748" s="216">
        <v>43360</v>
      </c>
      <c r="C748" s="122">
        <v>37585.51</v>
      </c>
    </row>
    <row r="749" spans="2:3" x14ac:dyDescent="0.25">
      <c r="B749" s="216">
        <v>43361</v>
      </c>
      <c r="C749" s="122">
        <v>37290.67</v>
      </c>
    </row>
    <row r="750" spans="2:3" x14ac:dyDescent="0.25">
      <c r="B750" s="216">
        <v>43362</v>
      </c>
      <c r="C750" s="122">
        <v>37121.22</v>
      </c>
    </row>
    <row r="751" spans="2:3" x14ac:dyDescent="0.25">
      <c r="B751" s="216">
        <v>43364</v>
      </c>
      <c r="C751" s="122">
        <v>36841.599999999999</v>
      </c>
    </row>
    <row r="752" spans="2:3" x14ac:dyDescent="0.25">
      <c r="B752" s="216">
        <v>43367</v>
      </c>
      <c r="C752" s="122">
        <v>36305.019999999997</v>
      </c>
    </row>
    <row r="753" spans="2:3" x14ac:dyDescent="0.25">
      <c r="B753" s="216">
        <v>43368</v>
      </c>
      <c r="C753" s="122">
        <v>36652.06</v>
      </c>
    </row>
    <row r="754" spans="2:3" x14ac:dyDescent="0.25">
      <c r="B754" s="216">
        <v>43369</v>
      </c>
      <c r="C754" s="122">
        <v>36542.269999999997</v>
      </c>
    </row>
    <row r="755" spans="2:3" x14ac:dyDescent="0.25">
      <c r="B755" s="216">
        <v>43370</v>
      </c>
      <c r="C755" s="122">
        <v>36324.17</v>
      </c>
    </row>
    <row r="756" spans="2:3" x14ac:dyDescent="0.25">
      <c r="B756" s="216">
        <v>43371</v>
      </c>
      <c r="C756" s="122">
        <v>36227.14</v>
      </c>
    </row>
    <row r="757" spans="2:3" x14ac:dyDescent="0.25">
      <c r="B757" s="216">
        <v>43374</v>
      </c>
      <c r="C757" s="122">
        <v>36526.14</v>
      </c>
    </row>
    <row r="758" spans="2:3" x14ac:dyDescent="0.25">
      <c r="B758" s="216">
        <v>43376</v>
      </c>
      <c r="C758" s="122">
        <v>35975.629999999997</v>
      </c>
    </row>
    <row r="759" spans="2:3" x14ac:dyDescent="0.25">
      <c r="B759" s="216">
        <v>43377</v>
      </c>
      <c r="C759" s="122">
        <v>35169.160000000003</v>
      </c>
    </row>
    <row r="760" spans="2:3" x14ac:dyDescent="0.25">
      <c r="B760" s="216">
        <v>43378</v>
      </c>
      <c r="C760" s="122">
        <v>34376.99</v>
      </c>
    </row>
    <row r="761" spans="2:3" x14ac:dyDescent="0.25">
      <c r="B761" s="216">
        <v>43381</v>
      </c>
      <c r="C761" s="122">
        <v>34474.379999999997</v>
      </c>
    </row>
    <row r="762" spans="2:3" x14ac:dyDescent="0.25">
      <c r="B762" s="216">
        <v>43382</v>
      </c>
      <c r="C762" s="122">
        <v>34299.47</v>
      </c>
    </row>
    <row r="763" spans="2:3" x14ac:dyDescent="0.25">
      <c r="B763" s="216">
        <v>43383</v>
      </c>
      <c r="C763" s="122">
        <v>34760.89</v>
      </c>
    </row>
    <row r="764" spans="2:3" x14ac:dyDescent="0.25">
      <c r="B764" s="216">
        <v>43384</v>
      </c>
      <c r="C764" s="122">
        <v>34001.15</v>
      </c>
    </row>
    <row r="765" spans="2:3" x14ac:dyDescent="0.25">
      <c r="B765" s="216">
        <v>43385</v>
      </c>
      <c r="C765" s="122">
        <v>34733.58</v>
      </c>
    </row>
    <row r="766" spans="2:3" x14ac:dyDescent="0.25">
      <c r="B766" s="216">
        <v>43388</v>
      </c>
      <c r="C766" s="122">
        <v>34865.1</v>
      </c>
    </row>
    <row r="767" spans="2:3" x14ac:dyDescent="0.25">
      <c r="B767" s="216">
        <v>43389</v>
      </c>
      <c r="C767" s="122">
        <v>35162.480000000003</v>
      </c>
    </row>
    <row r="768" spans="2:3" x14ac:dyDescent="0.25">
      <c r="B768" s="216">
        <v>43390</v>
      </c>
      <c r="C768" s="122">
        <v>34779.58</v>
      </c>
    </row>
    <row r="769" spans="2:3" x14ac:dyDescent="0.25">
      <c r="B769" s="216">
        <v>43392</v>
      </c>
      <c r="C769" s="122">
        <v>34315.629999999997</v>
      </c>
    </row>
    <row r="770" spans="2:3" x14ac:dyDescent="0.25">
      <c r="B770" s="216">
        <v>43395</v>
      </c>
      <c r="C770" s="122">
        <v>34134.379999999997</v>
      </c>
    </row>
    <row r="771" spans="2:3" x14ac:dyDescent="0.25">
      <c r="B771" s="216">
        <v>43396</v>
      </c>
      <c r="C771" s="122">
        <v>33847.230000000003</v>
      </c>
    </row>
    <row r="772" spans="2:3" x14ac:dyDescent="0.25">
      <c r="B772" s="216">
        <v>43397</v>
      </c>
      <c r="C772" s="122">
        <v>34033.96</v>
      </c>
    </row>
    <row r="773" spans="2:3" x14ac:dyDescent="0.25">
      <c r="B773" s="216">
        <v>43398</v>
      </c>
      <c r="C773" s="122">
        <v>33690.089999999997</v>
      </c>
    </row>
    <row r="774" spans="2:3" x14ac:dyDescent="0.25">
      <c r="B774" s="216">
        <v>43399</v>
      </c>
      <c r="C774" s="122">
        <v>33349.31</v>
      </c>
    </row>
    <row r="775" spans="2:3" x14ac:dyDescent="0.25">
      <c r="B775" s="216">
        <v>43402</v>
      </c>
      <c r="C775" s="122">
        <v>34067.4</v>
      </c>
    </row>
    <row r="776" spans="2:3" x14ac:dyDescent="0.25">
      <c r="B776" s="216">
        <v>43403</v>
      </c>
      <c r="C776" s="122">
        <v>33891.129999999997</v>
      </c>
    </row>
    <row r="777" spans="2:3" x14ac:dyDescent="0.25">
      <c r="B777" s="216">
        <v>43404</v>
      </c>
      <c r="C777" s="122">
        <v>34442.050000000003</v>
      </c>
    </row>
    <row r="778" spans="2:3" x14ac:dyDescent="0.25">
      <c r="B778" s="216">
        <v>43405</v>
      </c>
      <c r="C778" s="122">
        <v>34431.97</v>
      </c>
    </row>
    <row r="779" spans="2:3" x14ac:dyDescent="0.25">
      <c r="B779" s="216">
        <v>43406</v>
      </c>
      <c r="C779" s="122">
        <v>35011.65</v>
      </c>
    </row>
    <row r="780" spans="2:3" x14ac:dyDescent="0.25">
      <c r="B780" s="216">
        <v>43409</v>
      </c>
      <c r="C780" s="122">
        <v>34950.92</v>
      </c>
    </row>
    <row r="781" spans="2:3" x14ac:dyDescent="0.25">
      <c r="B781" s="216">
        <v>43410</v>
      </c>
      <c r="C781" s="122">
        <v>34991.910000000003</v>
      </c>
    </row>
    <row r="782" spans="2:3" x14ac:dyDescent="0.25">
      <c r="B782" s="216">
        <v>43411</v>
      </c>
      <c r="C782" s="122">
        <v>35237.68</v>
      </c>
    </row>
    <row r="783" spans="2:3" x14ac:dyDescent="0.25">
      <c r="B783" s="216">
        <v>43413</v>
      </c>
      <c r="C783" s="122">
        <v>35158.550000000003</v>
      </c>
    </row>
    <row r="784" spans="2:3" x14ac:dyDescent="0.25">
      <c r="B784" s="216">
        <v>43416</v>
      </c>
      <c r="C784" s="122">
        <v>34812.99</v>
      </c>
    </row>
    <row r="785" spans="2:3" x14ac:dyDescent="0.25">
      <c r="B785" s="216">
        <v>43417</v>
      </c>
      <c r="C785" s="122">
        <v>35144.49</v>
      </c>
    </row>
    <row r="786" spans="2:3" x14ac:dyDescent="0.25">
      <c r="B786" s="216">
        <v>43418</v>
      </c>
      <c r="C786" s="122">
        <v>35141.99</v>
      </c>
    </row>
    <row r="787" spans="2:3" x14ac:dyDescent="0.25">
      <c r="B787" s="216">
        <v>43419</v>
      </c>
      <c r="C787" s="122">
        <v>35260.54</v>
      </c>
    </row>
    <row r="788" spans="2:3" x14ac:dyDescent="0.25">
      <c r="B788" s="216">
        <v>43420</v>
      </c>
      <c r="C788" s="122">
        <v>35457.160000000003</v>
      </c>
    </row>
    <row r="789" spans="2:3" x14ac:dyDescent="0.25">
      <c r="B789" s="216">
        <v>43423</v>
      </c>
      <c r="C789" s="122">
        <v>35774.879999999997</v>
      </c>
    </row>
    <row r="790" spans="2:3" x14ac:dyDescent="0.25">
      <c r="B790" s="216">
        <v>43424</v>
      </c>
      <c r="C790" s="122">
        <v>35474.51</v>
      </c>
    </row>
    <row r="791" spans="2:3" x14ac:dyDescent="0.25">
      <c r="B791" s="216">
        <v>43425</v>
      </c>
      <c r="C791" s="122">
        <v>35199.800000000003</v>
      </c>
    </row>
    <row r="792" spans="2:3" x14ac:dyDescent="0.25">
      <c r="B792" s="216">
        <v>43426</v>
      </c>
      <c r="C792" s="122">
        <v>34981.019999999997</v>
      </c>
    </row>
    <row r="793" spans="2:3" x14ac:dyDescent="0.25">
      <c r="B793" s="216">
        <v>43430</v>
      </c>
      <c r="C793" s="122">
        <v>35354.080000000002</v>
      </c>
    </row>
    <row r="794" spans="2:3" x14ac:dyDescent="0.25">
      <c r="B794" s="216">
        <v>43431</v>
      </c>
      <c r="C794" s="122">
        <v>35513.14</v>
      </c>
    </row>
    <row r="795" spans="2:3" x14ac:dyDescent="0.25">
      <c r="B795" s="216">
        <v>43432</v>
      </c>
      <c r="C795" s="122">
        <v>35716.949999999997</v>
      </c>
    </row>
    <row r="796" spans="2:3" x14ac:dyDescent="0.25">
      <c r="B796" s="216">
        <v>43433</v>
      </c>
      <c r="C796" s="122">
        <v>36170.410000000003</v>
      </c>
    </row>
    <row r="797" spans="2:3" x14ac:dyDescent="0.25">
      <c r="B797" s="216">
        <v>43434</v>
      </c>
      <c r="C797" s="122">
        <v>36194.300000000003</v>
      </c>
    </row>
    <row r="798" spans="2:3" x14ac:dyDescent="0.25">
      <c r="B798" s="216">
        <v>43437</v>
      </c>
      <c r="C798" s="122">
        <v>36241</v>
      </c>
    </row>
    <row r="799" spans="2:3" x14ac:dyDescent="0.25">
      <c r="B799" s="216">
        <v>43438</v>
      </c>
      <c r="C799" s="122">
        <v>36134.31</v>
      </c>
    </row>
    <row r="800" spans="2:3" x14ac:dyDescent="0.25">
      <c r="B800" s="216">
        <v>43439</v>
      </c>
      <c r="C800" s="122">
        <v>35884.410000000003</v>
      </c>
    </row>
    <row r="801" spans="2:3" x14ac:dyDescent="0.25">
      <c r="B801" s="216">
        <v>43440</v>
      </c>
      <c r="C801" s="122">
        <v>35312.129999999997</v>
      </c>
    </row>
    <row r="802" spans="2:3" x14ac:dyDescent="0.25">
      <c r="B802" s="216">
        <v>43441</v>
      </c>
      <c r="C802" s="122">
        <v>35673.25</v>
      </c>
    </row>
    <row r="803" spans="2:3" x14ac:dyDescent="0.25">
      <c r="B803" s="216">
        <v>43444</v>
      </c>
      <c r="C803" s="122">
        <v>34959.72</v>
      </c>
    </row>
    <row r="804" spans="2:3" x14ac:dyDescent="0.25">
      <c r="B804" s="216">
        <v>43445</v>
      </c>
      <c r="C804" s="122">
        <v>35150.01</v>
      </c>
    </row>
    <row r="805" spans="2:3" x14ac:dyDescent="0.25">
      <c r="B805" s="216">
        <v>43446</v>
      </c>
      <c r="C805" s="122">
        <v>35779.07</v>
      </c>
    </row>
    <row r="806" spans="2:3" x14ac:dyDescent="0.25">
      <c r="B806" s="216">
        <v>43447</v>
      </c>
      <c r="C806" s="122">
        <v>35929.64</v>
      </c>
    </row>
    <row r="807" spans="2:3" x14ac:dyDescent="0.25">
      <c r="B807" s="216">
        <v>43448</v>
      </c>
      <c r="C807" s="122">
        <v>35962.93</v>
      </c>
    </row>
    <row r="808" spans="2:3" x14ac:dyDescent="0.25">
      <c r="B808" s="216">
        <v>43451</v>
      </c>
      <c r="C808" s="122">
        <v>36270.07</v>
      </c>
    </row>
    <row r="809" spans="2:3" x14ac:dyDescent="0.25">
      <c r="B809" s="216">
        <v>43452</v>
      </c>
      <c r="C809" s="122">
        <v>36347.08</v>
      </c>
    </row>
    <row r="810" spans="2:3" x14ac:dyDescent="0.25">
      <c r="B810" s="216">
        <v>43453</v>
      </c>
      <c r="C810" s="122">
        <v>36484.33</v>
      </c>
    </row>
    <row r="811" spans="2:3" x14ac:dyDescent="0.25">
      <c r="B811" s="216">
        <v>43454</v>
      </c>
      <c r="C811" s="122">
        <v>36431.67</v>
      </c>
    </row>
    <row r="812" spans="2:3" x14ac:dyDescent="0.25">
      <c r="B812" s="216">
        <v>43455</v>
      </c>
      <c r="C812" s="122">
        <v>35742.07</v>
      </c>
    </row>
    <row r="813" spans="2:3" x14ac:dyDescent="0.25">
      <c r="B813" s="216">
        <v>43458</v>
      </c>
      <c r="C813" s="122">
        <v>35470.15</v>
      </c>
    </row>
    <row r="814" spans="2:3" x14ac:dyDescent="0.25">
      <c r="B814" s="216">
        <v>43460</v>
      </c>
      <c r="C814" s="122">
        <v>35649.94</v>
      </c>
    </row>
    <row r="815" spans="2:3" x14ac:dyDescent="0.25">
      <c r="B815" s="216">
        <v>43461</v>
      </c>
      <c r="C815" s="122">
        <v>35807.279999999999</v>
      </c>
    </row>
    <row r="816" spans="2:3" x14ac:dyDescent="0.25">
      <c r="B816" s="216">
        <v>43462</v>
      </c>
      <c r="C816" s="122">
        <v>36076.720000000001</v>
      </c>
    </row>
    <row r="817" spans="2:3" x14ac:dyDescent="0.25">
      <c r="B817" s="216">
        <v>43465</v>
      </c>
      <c r="C817" s="122">
        <v>36068.33</v>
      </c>
    </row>
    <row r="818" spans="2:3" x14ac:dyDescent="0.25">
      <c r="B818" s="216">
        <v>43466</v>
      </c>
      <c r="C818" s="122">
        <v>36254.57</v>
      </c>
    </row>
    <row r="819" spans="2:3" x14ac:dyDescent="0.25">
      <c r="B819" s="216">
        <v>43467</v>
      </c>
      <c r="C819" s="122">
        <v>35891.519999999997</v>
      </c>
    </row>
    <row r="820" spans="2:3" x14ac:dyDescent="0.25">
      <c r="B820" s="216">
        <v>43468</v>
      </c>
      <c r="C820" s="122">
        <v>35513.71</v>
      </c>
    </row>
    <row r="821" spans="2:3" x14ac:dyDescent="0.25">
      <c r="B821" s="216">
        <v>43469</v>
      </c>
      <c r="C821" s="122">
        <v>35695.1</v>
      </c>
    </row>
    <row r="822" spans="2:3" x14ac:dyDescent="0.25">
      <c r="B822" s="216">
        <v>43472</v>
      </c>
      <c r="C822" s="122">
        <v>35850.160000000003</v>
      </c>
    </row>
    <row r="823" spans="2:3" x14ac:dyDescent="0.25">
      <c r="B823" s="216">
        <v>43473</v>
      </c>
      <c r="C823" s="122">
        <v>35980.93</v>
      </c>
    </row>
    <row r="824" spans="2:3" x14ac:dyDescent="0.25">
      <c r="B824" s="216">
        <v>43474</v>
      </c>
      <c r="C824" s="122">
        <v>36212.910000000003</v>
      </c>
    </row>
    <row r="825" spans="2:3" x14ac:dyDescent="0.25">
      <c r="B825" s="216">
        <v>43475</v>
      </c>
      <c r="C825" s="122">
        <v>36106.5</v>
      </c>
    </row>
    <row r="826" spans="2:3" x14ac:dyDescent="0.25">
      <c r="B826" s="216">
        <v>43476</v>
      </c>
      <c r="C826" s="122">
        <v>36009.839999999997</v>
      </c>
    </row>
    <row r="827" spans="2:3" x14ac:dyDescent="0.25">
      <c r="B827" s="216">
        <v>43479</v>
      </c>
      <c r="C827" s="122">
        <v>35853.56</v>
      </c>
    </row>
    <row r="828" spans="2:3" x14ac:dyDescent="0.25">
      <c r="B828" s="216">
        <v>43480</v>
      </c>
      <c r="C828" s="122">
        <v>36318.33</v>
      </c>
    </row>
    <row r="829" spans="2:3" x14ac:dyDescent="0.25">
      <c r="B829" s="216">
        <v>43481</v>
      </c>
      <c r="C829" s="122">
        <v>36321.29</v>
      </c>
    </row>
    <row r="830" spans="2:3" x14ac:dyDescent="0.25">
      <c r="B830" s="216">
        <v>43482</v>
      </c>
      <c r="C830" s="122">
        <v>36374.080000000002</v>
      </c>
    </row>
    <row r="831" spans="2:3" x14ac:dyDescent="0.25">
      <c r="B831" s="216">
        <v>43483</v>
      </c>
      <c r="C831" s="122">
        <v>36386.61</v>
      </c>
    </row>
    <row r="832" spans="2:3" x14ac:dyDescent="0.25">
      <c r="B832" s="216">
        <v>43486</v>
      </c>
      <c r="C832" s="122">
        <v>36578.959999999999</v>
      </c>
    </row>
    <row r="833" spans="2:3" x14ac:dyDescent="0.25">
      <c r="B833" s="216">
        <v>43487</v>
      </c>
      <c r="C833" s="122">
        <v>36444.639999999999</v>
      </c>
    </row>
    <row r="834" spans="2:3" x14ac:dyDescent="0.25">
      <c r="B834" s="216">
        <v>43488</v>
      </c>
      <c r="C834" s="122">
        <v>36108.47</v>
      </c>
    </row>
    <row r="835" spans="2:3" x14ac:dyDescent="0.25">
      <c r="B835" s="216">
        <v>43489</v>
      </c>
      <c r="C835" s="122">
        <v>36195.1</v>
      </c>
    </row>
    <row r="836" spans="2:3" x14ac:dyDescent="0.25">
      <c r="B836" s="216">
        <v>43490</v>
      </c>
      <c r="C836" s="122">
        <v>36025.54</v>
      </c>
    </row>
    <row r="837" spans="2:3" x14ac:dyDescent="0.25">
      <c r="B837" s="216">
        <v>43493</v>
      </c>
      <c r="C837" s="122">
        <v>35656.699999999997</v>
      </c>
    </row>
    <row r="838" spans="2:3" x14ac:dyDescent="0.25">
      <c r="B838" s="216">
        <v>43494</v>
      </c>
      <c r="C838" s="122">
        <v>35592.5</v>
      </c>
    </row>
    <row r="839" spans="2:3" x14ac:dyDescent="0.25">
      <c r="B839" s="216">
        <v>43495</v>
      </c>
      <c r="C839" s="122">
        <v>35591.25</v>
      </c>
    </row>
    <row r="840" spans="2:3" x14ac:dyDescent="0.25">
      <c r="B840" s="216">
        <v>43496</v>
      </c>
      <c r="C840" s="122">
        <v>36256.69</v>
      </c>
    </row>
    <row r="841" spans="2:3" x14ac:dyDescent="0.25">
      <c r="B841" s="216">
        <v>43497</v>
      </c>
      <c r="C841" s="122">
        <v>36469.43</v>
      </c>
    </row>
    <row r="842" spans="2:3" x14ac:dyDescent="0.25">
      <c r="B842" s="216">
        <v>43500</v>
      </c>
      <c r="C842" s="122">
        <v>36582.74</v>
      </c>
    </row>
    <row r="843" spans="2:3" x14ac:dyDescent="0.25">
      <c r="B843" s="216">
        <v>43501</v>
      </c>
      <c r="C843" s="122">
        <v>36616.81</v>
      </c>
    </row>
    <row r="844" spans="2:3" x14ac:dyDescent="0.25">
      <c r="B844" s="216">
        <v>43502</v>
      </c>
      <c r="C844" s="122">
        <v>36975.230000000003</v>
      </c>
    </row>
    <row r="845" spans="2:3" x14ac:dyDescent="0.25">
      <c r="B845" s="216">
        <v>43503</v>
      </c>
      <c r="C845" s="122">
        <v>36971.089999999997</v>
      </c>
    </row>
    <row r="846" spans="2:3" x14ac:dyDescent="0.25">
      <c r="B846" s="216">
        <v>43504</v>
      </c>
      <c r="C846" s="122">
        <v>36546.480000000003</v>
      </c>
    </row>
    <row r="847" spans="2:3" x14ac:dyDescent="0.25">
      <c r="B847" s="216">
        <v>43507</v>
      </c>
      <c r="C847" s="122">
        <v>36395.03</v>
      </c>
    </row>
    <row r="848" spans="2:3" x14ac:dyDescent="0.25">
      <c r="B848" s="216">
        <v>43508</v>
      </c>
      <c r="C848" s="122">
        <v>36153.620000000003</v>
      </c>
    </row>
    <row r="849" spans="2:3" x14ac:dyDescent="0.25">
      <c r="B849" s="216">
        <v>43509</v>
      </c>
      <c r="C849" s="122">
        <v>36034.11</v>
      </c>
    </row>
    <row r="850" spans="2:3" x14ac:dyDescent="0.25">
      <c r="B850" s="216">
        <v>43510</v>
      </c>
      <c r="C850" s="122">
        <v>35876.22</v>
      </c>
    </row>
    <row r="851" spans="2:3" x14ac:dyDescent="0.25">
      <c r="B851" s="216">
        <v>43511</v>
      </c>
      <c r="C851" s="122">
        <v>35808.949999999997</v>
      </c>
    </row>
    <row r="852" spans="2:3" x14ac:dyDescent="0.25">
      <c r="B852" s="216">
        <v>43514</v>
      </c>
      <c r="C852" s="122">
        <v>35498.44</v>
      </c>
    </row>
    <row r="853" spans="2:3" x14ac:dyDescent="0.25">
      <c r="B853" s="216">
        <v>43515</v>
      </c>
      <c r="C853" s="122">
        <v>35352.61</v>
      </c>
    </row>
    <row r="854" spans="2:3" x14ac:dyDescent="0.25">
      <c r="B854" s="216">
        <v>43516</v>
      </c>
      <c r="C854" s="122">
        <v>35756.26</v>
      </c>
    </row>
    <row r="855" spans="2:3" x14ac:dyDescent="0.25">
      <c r="B855" s="216">
        <v>43517</v>
      </c>
      <c r="C855" s="122">
        <v>35898.35</v>
      </c>
    </row>
    <row r="856" spans="2:3" x14ac:dyDescent="0.25">
      <c r="B856" s="216">
        <v>43518</v>
      </c>
      <c r="C856" s="122">
        <v>35871.480000000003</v>
      </c>
    </row>
    <row r="857" spans="2:3" x14ac:dyDescent="0.25">
      <c r="B857" s="216">
        <v>43521</v>
      </c>
      <c r="C857" s="122">
        <v>36213.379999999997</v>
      </c>
    </row>
    <row r="858" spans="2:3" x14ac:dyDescent="0.25">
      <c r="B858" s="216">
        <v>43522</v>
      </c>
      <c r="C858" s="122">
        <v>35973.71</v>
      </c>
    </row>
    <row r="859" spans="2:3" x14ac:dyDescent="0.25">
      <c r="B859" s="216">
        <v>43523</v>
      </c>
      <c r="C859" s="122">
        <v>35905.43</v>
      </c>
    </row>
    <row r="860" spans="2:3" x14ac:dyDescent="0.25">
      <c r="B860" s="216">
        <v>43524</v>
      </c>
      <c r="C860" s="122">
        <v>35867.440000000002</v>
      </c>
    </row>
    <row r="861" spans="2:3" x14ac:dyDescent="0.25">
      <c r="B861" s="216">
        <v>43525</v>
      </c>
      <c r="C861" s="122">
        <v>36063.81</v>
      </c>
    </row>
    <row r="862" spans="2:3" x14ac:dyDescent="0.25">
      <c r="B862" s="216">
        <v>43529</v>
      </c>
      <c r="C862" s="122">
        <v>36442.54</v>
      </c>
    </row>
    <row r="863" spans="2:3" x14ac:dyDescent="0.25">
      <c r="B863" s="216">
        <v>43530</v>
      </c>
      <c r="C863" s="122">
        <v>36636.1</v>
      </c>
    </row>
    <row r="864" spans="2:3" x14ac:dyDescent="0.25">
      <c r="B864" s="216">
        <v>43531</v>
      </c>
      <c r="C864" s="122">
        <v>36725.42</v>
      </c>
    </row>
    <row r="865" spans="2:3" x14ac:dyDescent="0.25">
      <c r="B865" s="216">
        <v>43532</v>
      </c>
      <c r="C865" s="122">
        <v>36671.43</v>
      </c>
    </row>
    <row r="866" spans="2:3" x14ac:dyDescent="0.25">
      <c r="B866" s="216">
        <v>43535</v>
      </c>
      <c r="C866" s="122">
        <v>37054.1</v>
      </c>
    </row>
    <row r="867" spans="2:3" x14ac:dyDescent="0.25">
      <c r="B867" s="216">
        <v>43536</v>
      </c>
      <c r="C867" s="122">
        <v>37535.660000000003</v>
      </c>
    </row>
    <row r="868" spans="2:3" x14ac:dyDescent="0.25">
      <c r="B868" s="216">
        <v>43537</v>
      </c>
      <c r="C868" s="122">
        <v>37752.17</v>
      </c>
    </row>
    <row r="869" spans="2:3" x14ac:dyDescent="0.25">
      <c r="B869" s="216">
        <v>43538</v>
      </c>
      <c r="C869" s="122">
        <v>37754.89</v>
      </c>
    </row>
    <row r="870" spans="2:3" x14ac:dyDescent="0.25">
      <c r="B870" s="216">
        <v>43539</v>
      </c>
      <c r="C870" s="122">
        <v>38024.32</v>
      </c>
    </row>
    <row r="871" spans="2:3" x14ac:dyDescent="0.25">
      <c r="B871" s="216">
        <v>43542</v>
      </c>
      <c r="C871" s="122">
        <v>38095.07</v>
      </c>
    </row>
    <row r="872" spans="2:3" x14ac:dyDescent="0.25">
      <c r="B872" s="216">
        <v>43543</v>
      </c>
      <c r="C872" s="122">
        <v>38363.47</v>
      </c>
    </row>
    <row r="873" spans="2:3" x14ac:dyDescent="0.25">
      <c r="B873" s="216">
        <v>43544</v>
      </c>
      <c r="C873" s="122">
        <v>38386.75</v>
      </c>
    </row>
    <row r="874" spans="2:3" x14ac:dyDescent="0.25">
      <c r="B874" s="216">
        <v>43546</v>
      </c>
      <c r="C874" s="122">
        <v>38164.61</v>
      </c>
    </row>
    <row r="875" spans="2:3" x14ac:dyDescent="0.25">
      <c r="B875" s="216">
        <v>43549</v>
      </c>
      <c r="C875" s="122">
        <v>37808.910000000003</v>
      </c>
    </row>
    <row r="876" spans="2:3" x14ac:dyDescent="0.25">
      <c r="B876" s="216">
        <v>43550</v>
      </c>
      <c r="C876" s="122">
        <v>38233.410000000003</v>
      </c>
    </row>
    <row r="877" spans="2:3" x14ac:dyDescent="0.25">
      <c r="B877" s="216">
        <v>43551</v>
      </c>
      <c r="C877" s="122">
        <v>38132.879999999997</v>
      </c>
    </row>
    <row r="878" spans="2:3" x14ac:dyDescent="0.25">
      <c r="B878" s="216">
        <v>43552</v>
      </c>
      <c r="C878" s="122">
        <v>38545.72</v>
      </c>
    </row>
    <row r="879" spans="2:3" x14ac:dyDescent="0.25">
      <c r="B879" s="216">
        <v>43553</v>
      </c>
      <c r="C879" s="122">
        <v>38672.910000000003</v>
      </c>
    </row>
    <row r="880" spans="2:3" x14ac:dyDescent="0.25">
      <c r="B880" s="216">
        <v>43556</v>
      </c>
      <c r="C880" s="122">
        <v>38871.870000000003</v>
      </c>
    </row>
    <row r="881" spans="2:3" x14ac:dyDescent="0.25">
      <c r="B881" s="216">
        <v>43557</v>
      </c>
      <c r="C881" s="122">
        <v>39056.65</v>
      </c>
    </row>
    <row r="882" spans="2:3" x14ac:dyDescent="0.25">
      <c r="B882" s="216">
        <v>43558</v>
      </c>
      <c r="C882" s="122">
        <v>38877.120000000003</v>
      </c>
    </row>
    <row r="883" spans="2:3" x14ac:dyDescent="0.25">
      <c r="B883" s="216">
        <v>43559</v>
      </c>
      <c r="C883" s="122">
        <v>38684.720000000001</v>
      </c>
    </row>
    <row r="884" spans="2:3" x14ac:dyDescent="0.25">
      <c r="B884" s="216">
        <v>43560</v>
      </c>
      <c r="C884" s="122">
        <v>38862.230000000003</v>
      </c>
    </row>
    <row r="885" spans="2:3" x14ac:dyDescent="0.25">
      <c r="B885" s="216">
        <v>43563</v>
      </c>
      <c r="C885" s="122">
        <v>38700.53</v>
      </c>
    </row>
    <row r="886" spans="2:3" x14ac:dyDescent="0.25">
      <c r="B886" s="216">
        <v>43564</v>
      </c>
      <c r="C886" s="122">
        <v>38939.22</v>
      </c>
    </row>
    <row r="887" spans="2:3" x14ac:dyDescent="0.25">
      <c r="B887" s="216">
        <v>43565</v>
      </c>
      <c r="C887" s="122">
        <v>38585.35</v>
      </c>
    </row>
    <row r="888" spans="2:3" x14ac:dyDescent="0.25">
      <c r="B888" s="216">
        <v>43566</v>
      </c>
      <c r="C888" s="122">
        <v>38607.01</v>
      </c>
    </row>
    <row r="889" spans="2:3" x14ac:dyDescent="0.25">
      <c r="B889" s="216">
        <v>43567</v>
      </c>
      <c r="C889" s="122">
        <v>38767.11</v>
      </c>
    </row>
    <row r="890" spans="2:3" x14ac:dyDescent="0.25">
      <c r="B890" s="216">
        <v>43570</v>
      </c>
      <c r="C890" s="122">
        <v>38905.839999999997</v>
      </c>
    </row>
    <row r="891" spans="2:3" x14ac:dyDescent="0.25">
      <c r="B891" s="216">
        <v>43571</v>
      </c>
      <c r="C891" s="122">
        <v>39275.64</v>
      </c>
    </row>
    <row r="892" spans="2:3" x14ac:dyDescent="0.25">
      <c r="B892" s="216">
        <v>43573</v>
      </c>
      <c r="C892" s="122">
        <v>39140.28</v>
      </c>
    </row>
    <row r="893" spans="2:3" x14ac:dyDescent="0.25">
      <c r="B893" s="216">
        <v>43577</v>
      </c>
      <c r="C893" s="122">
        <v>38645.18</v>
      </c>
    </row>
    <row r="894" spans="2:3" x14ac:dyDescent="0.25">
      <c r="B894" s="216">
        <v>43578</v>
      </c>
      <c r="C894" s="122">
        <v>38564.879999999997</v>
      </c>
    </row>
    <row r="895" spans="2:3" x14ac:dyDescent="0.25">
      <c r="B895" s="216">
        <v>43579</v>
      </c>
      <c r="C895" s="122">
        <v>39054.68</v>
      </c>
    </row>
    <row r="896" spans="2:3" x14ac:dyDescent="0.25">
      <c r="B896" s="216">
        <v>43580</v>
      </c>
      <c r="C896" s="122">
        <v>38730.86</v>
      </c>
    </row>
    <row r="897" spans="2:3" x14ac:dyDescent="0.25">
      <c r="B897" s="216">
        <v>43581</v>
      </c>
      <c r="C897" s="122">
        <v>39067.33</v>
      </c>
    </row>
    <row r="898" spans="2:3" x14ac:dyDescent="0.25">
      <c r="B898" s="216">
        <v>43585</v>
      </c>
      <c r="C898" s="122">
        <v>39031.550000000003</v>
      </c>
    </row>
    <row r="899" spans="2:3" x14ac:dyDescent="0.25">
      <c r="B899" s="216">
        <v>43587</v>
      </c>
      <c r="C899" s="122">
        <v>38981.43</v>
      </c>
    </row>
    <row r="900" spans="2:3" x14ac:dyDescent="0.25">
      <c r="B900" s="216">
        <v>43588</v>
      </c>
      <c r="C900" s="122">
        <v>38963.26</v>
      </c>
    </row>
    <row r="901" spans="2:3" x14ac:dyDescent="0.25">
      <c r="B901" s="216">
        <v>43591</v>
      </c>
      <c r="C901" s="122">
        <v>38600.339999999997</v>
      </c>
    </row>
    <row r="902" spans="2:3" x14ac:dyDescent="0.25">
      <c r="B902" s="216">
        <v>43592</v>
      </c>
      <c r="C902" s="122">
        <v>38276.629999999997</v>
      </c>
    </row>
    <row r="903" spans="2:3" x14ac:dyDescent="0.25">
      <c r="B903" s="216">
        <v>43593</v>
      </c>
      <c r="C903" s="122">
        <v>37789.129999999997</v>
      </c>
    </row>
    <row r="904" spans="2:3" x14ac:dyDescent="0.25">
      <c r="B904" s="216">
        <v>43594</v>
      </c>
      <c r="C904" s="122">
        <v>37558.910000000003</v>
      </c>
    </row>
    <row r="905" spans="2:3" x14ac:dyDescent="0.25">
      <c r="B905" s="216">
        <v>43595</v>
      </c>
      <c r="C905" s="122">
        <v>37462.99</v>
      </c>
    </row>
    <row r="906" spans="2:3" x14ac:dyDescent="0.25">
      <c r="B906" s="216">
        <v>43598</v>
      </c>
      <c r="C906" s="122">
        <v>37090.82</v>
      </c>
    </row>
    <row r="907" spans="2:3" x14ac:dyDescent="0.25">
      <c r="B907" s="216">
        <v>43599</v>
      </c>
      <c r="C907" s="122">
        <v>37318.53</v>
      </c>
    </row>
    <row r="908" spans="2:3" x14ac:dyDescent="0.25">
      <c r="B908" s="216">
        <v>43600</v>
      </c>
      <c r="C908" s="122">
        <v>37114.879999999997</v>
      </c>
    </row>
    <row r="909" spans="2:3" x14ac:dyDescent="0.25">
      <c r="B909" s="216">
        <v>43601</v>
      </c>
      <c r="C909" s="122">
        <v>37393.480000000003</v>
      </c>
    </row>
    <row r="910" spans="2:3" x14ac:dyDescent="0.25">
      <c r="B910" s="216">
        <v>43602</v>
      </c>
      <c r="C910" s="122">
        <v>37930.769999999997</v>
      </c>
    </row>
    <row r="911" spans="2:3" x14ac:dyDescent="0.25">
      <c r="B911" s="216">
        <v>43605</v>
      </c>
      <c r="C911" s="122">
        <v>39352.67</v>
      </c>
    </row>
    <row r="912" spans="2:3" x14ac:dyDescent="0.25">
      <c r="B912" s="216">
        <v>43606</v>
      </c>
      <c r="C912" s="122">
        <v>38969.800000000003</v>
      </c>
    </row>
    <row r="913" spans="2:3" x14ac:dyDescent="0.25">
      <c r="B913" s="216">
        <v>43607</v>
      </c>
      <c r="C913" s="122">
        <v>39110.21</v>
      </c>
    </row>
    <row r="914" spans="2:3" x14ac:dyDescent="0.25">
      <c r="B914" s="216">
        <v>43608</v>
      </c>
      <c r="C914" s="122">
        <v>38811.39</v>
      </c>
    </row>
    <row r="915" spans="2:3" x14ac:dyDescent="0.25">
      <c r="B915" s="216">
        <v>43609</v>
      </c>
      <c r="C915" s="122">
        <v>39434.720000000001</v>
      </c>
    </row>
    <row r="916" spans="2:3" x14ac:dyDescent="0.25">
      <c r="B916" s="216">
        <v>43612</v>
      </c>
      <c r="C916" s="122">
        <v>39683.29</v>
      </c>
    </row>
    <row r="917" spans="2:3" x14ac:dyDescent="0.25">
      <c r="B917" s="216">
        <v>43613</v>
      </c>
      <c r="C917" s="122">
        <v>39749.730000000003</v>
      </c>
    </row>
    <row r="918" spans="2:3" x14ac:dyDescent="0.25">
      <c r="B918" s="216">
        <v>43614</v>
      </c>
      <c r="C918" s="122">
        <v>39502.050000000003</v>
      </c>
    </row>
    <row r="919" spans="2:3" x14ac:dyDescent="0.25">
      <c r="B919" s="216">
        <v>43615</v>
      </c>
      <c r="C919" s="122">
        <v>39831.97</v>
      </c>
    </row>
    <row r="920" spans="2:3" x14ac:dyDescent="0.25">
      <c r="B920" s="216">
        <v>43616</v>
      </c>
      <c r="C920" s="122">
        <v>39714.199999999997</v>
      </c>
    </row>
    <row r="921" spans="2:3" x14ac:dyDescent="0.25">
      <c r="B921" s="216">
        <v>43619</v>
      </c>
      <c r="C921" s="122">
        <v>40267.620000000003</v>
      </c>
    </row>
    <row r="922" spans="2:3" x14ac:dyDescent="0.25">
      <c r="B922" s="216">
        <v>43620</v>
      </c>
      <c r="C922" s="122">
        <v>40083.54</v>
      </c>
    </row>
    <row r="923" spans="2:3" x14ac:dyDescent="0.25">
      <c r="B923" s="216">
        <v>43622</v>
      </c>
      <c r="C923" s="122">
        <v>39529.72</v>
      </c>
    </row>
    <row r="924" spans="2:3" x14ac:dyDescent="0.25">
      <c r="B924" s="216">
        <v>43623</v>
      </c>
      <c r="C924" s="122">
        <v>39615.9</v>
      </c>
    </row>
    <row r="925" spans="2:3" x14ac:dyDescent="0.25">
      <c r="B925" s="216">
        <v>43626</v>
      </c>
      <c r="C925" s="122">
        <v>39784.519999999997</v>
      </c>
    </row>
    <row r="926" spans="2:3" x14ac:dyDescent="0.25">
      <c r="B926" s="216">
        <v>43627</v>
      </c>
      <c r="C926" s="122">
        <v>39950.46</v>
      </c>
    </row>
    <row r="927" spans="2:3" x14ac:dyDescent="0.25">
      <c r="B927" s="216">
        <v>43628</v>
      </c>
      <c r="C927" s="122">
        <v>39756.81</v>
      </c>
    </row>
    <row r="928" spans="2:3" x14ac:dyDescent="0.25">
      <c r="B928" s="216">
        <v>43629</v>
      </c>
      <c r="C928" s="122">
        <v>39741.360000000001</v>
      </c>
    </row>
    <row r="929" spans="2:3" x14ac:dyDescent="0.25">
      <c r="B929" s="216">
        <v>43630</v>
      </c>
      <c r="C929" s="122">
        <v>39452.07</v>
      </c>
    </row>
    <row r="930" spans="2:3" x14ac:dyDescent="0.25">
      <c r="B930" s="216">
        <v>43633</v>
      </c>
      <c r="C930" s="122">
        <v>38960.79</v>
      </c>
    </row>
    <row r="931" spans="2:3" x14ac:dyDescent="0.25">
      <c r="B931" s="216">
        <v>43634</v>
      </c>
      <c r="C931" s="122">
        <v>39046.339999999997</v>
      </c>
    </row>
    <row r="932" spans="2:3" x14ac:dyDescent="0.25">
      <c r="B932" s="216">
        <v>43635</v>
      </c>
      <c r="C932" s="122">
        <v>39112.74</v>
      </c>
    </row>
    <row r="933" spans="2:3" x14ac:dyDescent="0.25">
      <c r="B933" s="216">
        <v>43636</v>
      </c>
      <c r="C933" s="122">
        <v>39601.629999999997</v>
      </c>
    </row>
    <row r="934" spans="2:3" x14ac:dyDescent="0.25">
      <c r="B934" s="216">
        <v>43637</v>
      </c>
      <c r="C934" s="122">
        <v>39194.49</v>
      </c>
    </row>
    <row r="935" spans="2:3" x14ac:dyDescent="0.25">
      <c r="B935" s="216">
        <v>43640</v>
      </c>
      <c r="C935" s="122">
        <v>39122.959999999999</v>
      </c>
    </row>
    <row r="936" spans="2:3" x14ac:dyDescent="0.25">
      <c r="B936" s="216">
        <v>43641</v>
      </c>
      <c r="C936" s="122">
        <v>39434.94</v>
      </c>
    </row>
    <row r="937" spans="2:3" x14ac:dyDescent="0.25">
      <c r="B937" s="216">
        <v>43642</v>
      </c>
      <c r="C937" s="122">
        <v>39592.080000000002</v>
      </c>
    </row>
    <row r="938" spans="2:3" x14ac:dyDescent="0.25">
      <c r="B938" s="216">
        <v>43643</v>
      </c>
      <c r="C938" s="122">
        <v>39586.410000000003</v>
      </c>
    </row>
    <row r="939" spans="2:3" x14ac:dyDescent="0.25">
      <c r="B939" s="216">
        <v>43644</v>
      </c>
      <c r="C939" s="122">
        <v>39394.639999999999</v>
      </c>
    </row>
    <row r="940" spans="2:3" x14ac:dyDescent="0.25">
      <c r="B940" s="216">
        <v>43647</v>
      </c>
      <c r="C940" s="122">
        <v>39686.5</v>
      </c>
    </row>
    <row r="941" spans="2:3" x14ac:dyDescent="0.25">
      <c r="B941" s="216">
        <v>43648</v>
      </c>
      <c r="C941" s="122">
        <v>39816.480000000003</v>
      </c>
    </row>
    <row r="942" spans="2:3" x14ac:dyDescent="0.25">
      <c r="B942" s="216">
        <v>43649</v>
      </c>
      <c r="C942" s="122">
        <v>39839.25</v>
      </c>
    </row>
    <row r="943" spans="2:3" x14ac:dyDescent="0.25">
      <c r="B943" s="216">
        <v>43650</v>
      </c>
      <c r="C943" s="122">
        <v>39908.06</v>
      </c>
    </row>
    <row r="944" spans="2:3" x14ac:dyDescent="0.25">
      <c r="B944" s="216">
        <v>43651</v>
      </c>
      <c r="C944" s="122">
        <v>39513.39</v>
      </c>
    </row>
    <row r="945" spans="2:3" x14ac:dyDescent="0.25">
      <c r="B945" s="216">
        <v>43654</v>
      </c>
      <c r="C945" s="122">
        <v>38720.57</v>
      </c>
    </row>
    <row r="946" spans="2:3" x14ac:dyDescent="0.25">
      <c r="B946" s="216">
        <v>43655</v>
      </c>
      <c r="C946" s="122">
        <v>38730.82</v>
      </c>
    </row>
    <row r="947" spans="2:3" x14ac:dyDescent="0.25">
      <c r="B947" s="216">
        <v>43656</v>
      </c>
      <c r="C947" s="122">
        <v>38557.040000000001</v>
      </c>
    </row>
    <row r="948" spans="2:3" x14ac:dyDescent="0.25">
      <c r="B948" s="216">
        <v>43657</v>
      </c>
      <c r="C948" s="122">
        <v>38823.11</v>
      </c>
    </row>
    <row r="949" spans="2:3" x14ac:dyDescent="0.25">
      <c r="B949" s="216">
        <v>43658</v>
      </c>
      <c r="C949" s="122">
        <v>38736.230000000003</v>
      </c>
    </row>
    <row r="950" spans="2:3" x14ac:dyDescent="0.25">
      <c r="B950" s="216">
        <v>43661</v>
      </c>
      <c r="C950" s="122">
        <v>38896.71</v>
      </c>
    </row>
    <row r="951" spans="2:3" x14ac:dyDescent="0.25">
      <c r="B951" s="216">
        <v>43662</v>
      </c>
      <c r="C951" s="122">
        <v>39131.040000000001</v>
      </c>
    </row>
    <row r="952" spans="2:3" x14ac:dyDescent="0.25">
      <c r="B952" s="216">
        <v>43663</v>
      </c>
      <c r="C952" s="122">
        <v>39215.64</v>
      </c>
    </row>
    <row r="953" spans="2:3" x14ac:dyDescent="0.25">
      <c r="B953" s="216">
        <v>43664</v>
      </c>
      <c r="C953" s="122">
        <v>38897.46</v>
      </c>
    </row>
    <row r="954" spans="2:3" x14ac:dyDescent="0.25">
      <c r="B954" s="216">
        <v>43665</v>
      </c>
      <c r="C954" s="122">
        <v>38337.01</v>
      </c>
    </row>
    <row r="955" spans="2:3" x14ac:dyDescent="0.25">
      <c r="B955" s="216">
        <v>43668</v>
      </c>
      <c r="C955" s="122">
        <v>38031.129999999997</v>
      </c>
    </row>
    <row r="956" spans="2:3" x14ac:dyDescent="0.25">
      <c r="B956" s="216">
        <v>43669</v>
      </c>
      <c r="C956" s="122">
        <v>37982.74</v>
      </c>
    </row>
    <row r="957" spans="2:3" x14ac:dyDescent="0.25">
      <c r="B957" s="216">
        <v>43670</v>
      </c>
      <c r="C957" s="122">
        <v>37847.65</v>
      </c>
    </row>
    <row r="958" spans="2:3" x14ac:dyDescent="0.25">
      <c r="B958" s="216">
        <v>43671</v>
      </c>
      <c r="C958" s="122">
        <v>37830.980000000003</v>
      </c>
    </row>
    <row r="959" spans="2:3" x14ac:dyDescent="0.25">
      <c r="B959" s="216">
        <v>43672</v>
      </c>
      <c r="C959" s="122">
        <v>37882.79</v>
      </c>
    </row>
    <row r="960" spans="2:3" x14ac:dyDescent="0.25">
      <c r="B960" s="216">
        <v>43675</v>
      </c>
      <c r="C960" s="122">
        <v>37686.370000000003</v>
      </c>
    </row>
    <row r="961" spans="2:3" x14ac:dyDescent="0.25">
      <c r="B961" s="216">
        <v>43676</v>
      </c>
      <c r="C961" s="122">
        <v>37397.24</v>
      </c>
    </row>
    <row r="962" spans="2:3" x14ac:dyDescent="0.25">
      <c r="B962" s="216">
        <v>43677</v>
      </c>
      <c r="C962" s="122">
        <v>37481.120000000003</v>
      </c>
    </row>
    <row r="963" spans="2:3" x14ac:dyDescent="0.25">
      <c r="B963" s="216">
        <v>43678</v>
      </c>
      <c r="C963" s="122">
        <v>37018.32</v>
      </c>
    </row>
    <row r="964" spans="2:3" x14ac:dyDescent="0.25">
      <c r="B964" s="216">
        <v>43679</v>
      </c>
      <c r="C964" s="122">
        <v>37118.22</v>
      </c>
    </row>
    <row r="965" spans="2:3" x14ac:dyDescent="0.25">
      <c r="B965" s="216">
        <v>43682</v>
      </c>
      <c r="C965" s="122">
        <v>36699.839999999997</v>
      </c>
    </row>
    <row r="966" spans="2:3" x14ac:dyDescent="0.25">
      <c r="B966" s="216">
        <v>43683</v>
      </c>
      <c r="C966" s="122">
        <v>36976.85</v>
      </c>
    </row>
    <row r="967" spans="2:3" x14ac:dyDescent="0.25">
      <c r="B967" s="216">
        <v>43684</v>
      </c>
      <c r="C967" s="122">
        <v>36690.5</v>
      </c>
    </row>
    <row r="968" spans="2:3" x14ac:dyDescent="0.25">
      <c r="B968" s="216">
        <v>43685</v>
      </c>
      <c r="C968" s="122">
        <v>37327.360000000001</v>
      </c>
    </row>
    <row r="969" spans="2:3" x14ac:dyDescent="0.25">
      <c r="B969" s="216">
        <v>43686</v>
      </c>
      <c r="C969" s="122">
        <v>37581.910000000003</v>
      </c>
    </row>
    <row r="970" spans="2:3" x14ac:dyDescent="0.25">
      <c r="B970" s="216">
        <v>43690</v>
      </c>
      <c r="C970" s="122">
        <v>36958.160000000003</v>
      </c>
    </row>
    <row r="971" spans="2:3" x14ac:dyDescent="0.25">
      <c r="B971" s="216">
        <v>43691</v>
      </c>
      <c r="C971" s="122">
        <v>37311.53</v>
      </c>
    </row>
    <row r="972" spans="2:3" x14ac:dyDescent="0.25">
      <c r="B972" s="216">
        <v>43693</v>
      </c>
      <c r="C972" s="122">
        <v>37350.33</v>
      </c>
    </row>
    <row r="973" spans="2:3" x14ac:dyDescent="0.25">
      <c r="B973" s="216">
        <v>43696</v>
      </c>
      <c r="C973" s="122">
        <v>37402.49</v>
      </c>
    </row>
    <row r="974" spans="2:3" x14ac:dyDescent="0.25">
      <c r="B974" s="216">
        <v>43697</v>
      </c>
      <c r="C974" s="122">
        <v>37328.01</v>
      </c>
    </row>
    <row r="975" spans="2:3" x14ac:dyDescent="0.25">
      <c r="B975" s="216">
        <v>43698</v>
      </c>
      <c r="C975" s="122">
        <v>37060.370000000003</v>
      </c>
    </row>
    <row r="976" spans="2:3" x14ac:dyDescent="0.25">
      <c r="B976" s="216">
        <v>43699</v>
      </c>
      <c r="C976" s="122">
        <v>36472.93</v>
      </c>
    </row>
    <row r="977" spans="2:3" x14ac:dyDescent="0.25">
      <c r="B977" s="216">
        <v>43700</v>
      </c>
      <c r="C977" s="122">
        <v>36701.160000000003</v>
      </c>
    </row>
    <row r="978" spans="2:3" x14ac:dyDescent="0.25">
      <c r="B978" s="216">
        <v>43703</v>
      </c>
      <c r="C978" s="122">
        <v>37494.120000000003</v>
      </c>
    </row>
    <row r="979" spans="2:3" x14ac:dyDescent="0.25">
      <c r="B979" s="216">
        <v>43704</v>
      </c>
      <c r="C979" s="122">
        <v>37641.269999999997</v>
      </c>
    </row>
    <row r="980" spans="2:3" x14ac:dyDescent="0.25">
      <c r="B980" s="216">
        <v>43705</v>
      </c>
      <c r="C980" s="122">
        <v>37451.839999999997</v>
      </c>
    </row>
    <row r="981" spans="2:3" x14ac:dyDescent="0.25">
      <c r="B981" s="216">
        <v>43706</v>
      </c>
      <c r="C981" s="122">
        <v>37068.93</v>
      </c>
    </row>
    <row r="982" spans="2:3" x14ac:dyDescent="0.25">
      <c r="B982" s="216">
        <v>43707</v>
      </c>
      <c r="C982" s="122">
        <v>37332.79</v>
      </c>
    </row>
    <row r="983" spans="2:3" x14ac:dyDescent="0.25">
      <c r="B983" s="216">
        <v>43711</v>
      </c>
      <c r="C983" s="122">
        <v>36562.910000000003</v>
      </c>
    </row>
    <row r="984" spans="2:3" x14ac:dyDescent="0.25">
      <c r="B984" s="216">
        <v>43712</v>
      </c>
      <c r="C984" s="122">
        <v>36724.74</v>
      </c>
    </row>
    <row r="985" spans="2:3" x14ac:dyDescent="0.25">
      <c r="B985" s="216">
        <v>43713</v>
      </c>
      <c r="C985" s="122">
        <v>36644.42</v>
      </c>
    </row>
    <row r="986" spans="2:3" x14ac:dyDescent="0.25">
      <c r="B986" s="216">
        <v>43714</v>
      </c>
      <c r="C986" s="122">
        <v>36981.769999999997</v>
      </c>
    </row>
    <row r="987" spans="2:3" x14ac:dyDescent="0.25">
      <c r="B987" s="216">
        <v>43717</v>
      </c>
      <c r="C987" s="122">
        <v>37145.449999999997</v>
      </c>
    </row>
    <row r="988" spans="2:3" x14ac:dyDescent="0.25">
      <c r="B988" s="216">
        <v>43719</v>
      </c>
      <c r="C988" s="122">
        <v>37270.82</v>
      </c>
    </row>
    <row r="989" spans="2:3" x14ac:dyDescent="0.25">
      <c r="B989" s="216">
        <v>43720</v>
      </c>
      <c r="C989" s="122">
        <v>37104.28</v>
      </c>
    </row>
    <row r="990" spans="2:3" x14ac:dyDescent="0.25">
      <c r="B990" s="216">
        <v>43721</v>
      </c>
      <c r="C990" s="122">
        <v>37384.99</v>
      </c>
    </row>
    <row r="991" spans="2:3" x14ac:dyDescent="0.25">
      <c r="B991" s="216">
        <v>43724</v>
      </c>
      <c r="C991" s="122">
        <v>37123.31</v>
      </c>
    </row>
    <row r="992" spans="2:3" x14ac:dyDescent="0.25">
      <c r="B992" s="216">
        <v>43725</v>
      </c>
      <c r="C992" s="122">
        <v>36481.089999999997</v>
      </c>
    </row>
    <row r="993" spans="2:3" x14ac:dyDescent="0.25">
      <c r="B993" s="216">
        <v>43726</v>
      </c>
      <c r="C993" s="122">
        <v>36563.879999999997</v>
      </c>
    </row>
    <row r="994" spans="2:3" x14ac:dyDescent="0.25">
      <c r="B994" s="216">
        <v>43727</v>
      </c>
      <c r="C994" s="122">
        <v>36093.47</v>
      </c>
    </row>
    <row r="995" spans="2:3" x14ac:dyDescent="0.25">
      <c r="B995" s="216">
        <v>43728</v>
      </c>
      <c r="C995" s="122">
        <v>38014.620000000003</v>
      </c>
    </row>
    <row r="996" spans="2:3" x14ac:dyDescent="0.25">
      <c r="B996" s="216">
        <v>43731</v>
      </c>
      <c r="C996" s="122">
        <v>39090.03</v>
      </c>
    </row>
    <row r="997" spans="2:3" x14ac:dyDescent="0.25">
      <c r="B997" s="216">
        <v>43732</v>
      </c>
      <c r="C997" s="122">
        <v>39097.14</v>
      </c>
    </row>
    <row r="998" spans="2:3" x14ac:dyDescent="0.25">
      <c r="B998" s="216">
        <v>43733</v>
      </c>
      <c r="C998" s="122">
        <v>38593.519999999997</v>
      </c>
    </row>
    <row r="999" spans="2:3" x14ac:dyDescent="0.25">
      <c r="B999" s="216">
        <v>43734</v>
      </c>
      <c r="C999" s="122">
        <v>38989.74</v>
      </c>
    </row>
    <row r="1000" spans="2:3" x14ac:dyDescent="0.25">
      <c r="B1000" s="216">
        <v>43735</v>
      </c>
      <c r="C1000" s="122">
        <v>38822.57</v>
      </c>
    </row>
    <row r="1001" spans="2:3" x14ac:dyDescent="0.25">
      <c r="B1001" s="216">
        <v>43738</v>
      </c>
      <c r="C1001" s="122">
        <v>38667.33</v>
      </c>
    </row>
    <row r="1002" spans="2:3" x14ac:dyDescent="0.25">
      <c r="B1002" s="216">
        <v>43739</v>
      </c>
      <c r="C1002" s="122">
        <v>38305.410000000003</v>
      </c>
    </row>
    <row r="1003" spans="2:3" x14ac:dyDescent="0.25">
      <c r="B1003" s="216">
        <v>43741</v>
      </c>
      <c r="C1003" s="122">
        <v>38106.870000000003</v>
      </c>
    </row>
    <row r="1004" spans="2:3" x14ac:dyDescent="0.25">
      <c r="B1004" s="216">
        <v>43742</v>
      </c>
      <c r="C1004" s="122">
        <v>37673.31</v>
      </c>
    </row>
    <row r="1005" spans="2:3" x14ac:dyDescent="0.25">
      <c r="B1005" s="216">
        <v>43745</v>
      </c>
      <c r="C1005" s="122">
        <v>37531.980000000003</v>
      </c>
    </row>
    <row r="1006" spans="2:3" x14ac:dyDescent="0.25">
      <c r="B1006" s="216">
        <v>43747</v>
      </c>
      <c r="C1006" s="122">
        <v>38177.949999999997</v>
      </c>
    </row>
    <row r="1007" spans="2:3" x14ac:dyDescent="0.25">
      <c r="B1007" s="216">
        <v>43748</v>
      </c>
      <c r="C1007" s="122">
        <v>37880.400000000001</v>
      </c>
    </row>
    <row r="1008" spans="2:3" x14ac:dyDescent="0.25">
      <c r="B1008" s="216">
        <v>43749</v>
      </c>
      <c r="C1008" s="122">
        <v>38127.08</v>
      </c>
    </row>
    <row r="1009" spans="2:3" x14ac:dyDescent="0.25">
      <c r="B1009" s="216">
        <v>43752</v>
      </c>
      <c r="C1009" s="122">
        <v>38214.47</v>
      </c>
    </row>
    <row r="1010" spans="2:3" x14ac:dyDescent="0.25">
      <c r="B1010" s="216">
        <v>43753</v>
      </c>
      <c r="C1010" s="122">
        <v>38506.089999999997</v>
      </c>
    </row>
    <row r="1011" spans="2:3" x14ac:dyDescent="0.25">
      <c r="B1011" s="216">
        <v>43754</v>
      </c>
      <c r="C1011" s="122">
        <v>38598.99</v>
      </c>
    </row>
    <row r="1012" spans="2:3" x14ac:dyDescent="0.25">
      <c r="B1012" s="216">
        <v>43755</v>
      </c>
      <c r="C1012" s="122">
        <v>39052.06</v>
      </c>
    </row>
    <row r="1013" spans="2:3" x14ac:dyDescent="0.25">
      <c r="B1013" s="216">
        <v>43756</v>
      </c>
      <c r="C1013" s="122">
        <v>39298.379999999997</v>
      </c>
    </row>
    <row r="1014" spans="2:3" x14ac:dyDescent="0.25">
      <c r="B1014" s="216">
        <v>43760</v>
      </c>
      <c r="C1014" s="122">
        <v>38963.839999999997</v>
      </c>
    </row>
    <row r="1015" spans="2:3" x14ac:dyDescent="0.25">
      <c r="B1015" s="216">
        <v>43761</v>
      </c>
      <c r="C1015" s="122">
        <v>39058.83</v>
      </c>
    </row>
    <row r="1016" spans="2:3" x14ac:dyDescent="0.25">
      <c r="B1016" s="216">
        <v>43762</v>
      </c>
      <c r="C1016" s="122">
        <v>39020.39</v>
      </c>
    </row>
    <row r="1017" spans="2:3" x14ac:dyDescent="0.25">
      <c r="B1017" s="216">
        <v>43763</v>
      </c>
      <c r="C1017" s="122">
        <v>39058.06</v>
      </c>
    </row>
    <row r="1018" spans="2:3" x14ac:dyDescent="0.25">
      <c r="B1018" s="216">
        <v>43765</v>
      </c>
      <c r="C1018" s="122">
        <v>39250.199999999997</v>
      </c>
    </row>
    <row r="1019" spans="2:3" x14ac:dyDescent="0.25">
      <c r="B1019" s="216">
        <v>43767</v>
      </c>
      <c r="C1019" s="122">
        <v>39831.839999999997</v>
      </c>
    </row>
    <row r="1020" spans="2:3" x14ac:dyDescent="0.25">
      <c r="B1020" s="216">
        <v>43768</v>
      </c>
      <c r="C1020" s="122">
        <v>40051.870000000003</v>
      </c>
    </row>
    <row r="1021" spans="2:3" x14ac:dyDescent="0.25">
      <c r="B1021" s="216">
        <v>43769</v>
      </c>
      <c r="C1021" s="122">
        <v>40129.050000000003</v>
      </c>
    </row>
    <row r="1022" spans="2:3" x14ac:dyDescent="0.25">
      <c r="B1022" s="216">
        <v>43770</v>
      </c>
      <c r="C1022" s="122">
        <v>40165.03</v>
      </c>
    </row>
    <row r="1023" spans="2:3" x14ac:dyDescent="0.25">
      <c r="B1023" s="216">
        <v>43773</v>
      </c>
      <c r="C1023" s="122">
        <v>40301.96</v>
      </c>
    </row>
    <row r="1024" spans="2:3" x14ac:dyDescent="0.25">
      <c r="B1024" s="216">
        <v>43774</v>
      </c>
      <c r="C1024" s="122">
        <v>40248.230000000003</v>
      </c>
    </row>
    <row r="1025" spans="2:3" x14ac:dyDescent="0.25">
      <c r="B1025" s="216">
        <v>43775</v>
      </c>
      <c r="C1025" s="122">
        <v>40469.78</v>
      </c>
    </row>
    <row r="1026" spans="2:3" x14ac:dyDescent="0.25">
      <c r="B1026" s="216">
        <v>43776</v>
      </c>
      <c r="C1026" s="122">
        <v>40653.74</v>
      </c>
    </row>
    <row r="1027" spans="2:3" x14ac:dyDescent="0.25">
      <c r="B1027" s="216">
        <v>43777</v>
      </c>
      <c r="C1027" s="122">
        <v>40323.61</v>
      </c>
    </row>
    <row r="1028" spans="2:3" x14ac:dyDescent="0.25">
      <c r="B1028" s="216">
        <v>43780</v>
      </c>
      <c r="C1028" s="122">
        <v>40345.08</v>
      </c>
    </row>
    <row r="1029" spans="2:3" x14ac:dyDescent="0.25">
      <c r="B1029" s="216">
        <v>43782</v>
      </c>
      <c r="C1029" s="122">
        <v>40116.06</v>
      </c>
    </row>
    <row r="1030" spans="2:3" x14ac:dyDescent="0.25">
      <c r="B1030" s="216">
        <v>43783</v>
      </c>
      <c r="C1030" s="122">
        <v>40286.480000000003</v>
      </c>
    </row>
    <row r="1031" spans="2:3" x14ac:dyDescent="0.25">
      <c r="B1031" s="216">
        <v>43784</v>
      </c>
      <c r="C1031" s="122">
        <v>40356.69</v>
      </c>
    </row>
    <row r="1032" spans="2:3" x14ac:dyDescent="0.25">
      <c r="B1032" s="216">
        <v>43787</v>
      </c>
      <c r="C1032" s="122">
        <v>40284.19</v>
      </c>
    </row>
    <row r="1033" spans="2:3" x14ac:dyDescent="0.25">
      <c r="B1033" s="216">
        <v>43788</v>
      </c>
      <c r="C1033" s="122">
        <v>40469.699999999997</v>
      </c>
    </row>
    <row r="1034" spans="2:3" x14ac:dyDescent="0.25">
      <c r="B1034" s="216">
        <v>43789</v>
      </c>
      <c r="C1034" s="122">
        <v>40651.64</v>
      </c>
    </row>
    <row r="1035" spans="2:3" x14ac:dyDescent="0.25">
      <c r="B1035" s="216">
        <v>43790</v>
      </c>
      <c r="C1035" s="122">
        <v>40575.17</v>
      </c>
    </row>
    <row r="1036" spans="2:3" x14ac:dyDescent="0.25">
      <c r="B1036" s="216">
        <v>43791</v>
      </c>
      <c r="C1036" s="122">
        <v>40359.410000000003</v>
      </c>
    </row>
    <row r="1037" spans="2:3" x14ac:dyDescent="0.25">
      <c r="B1037" s="216">
        <v>43794</v>
      </c>
      <c r="C1037" s="122">
        <v>40889.230000000003</v>
      </c>
    </row>
    <row r="1038" spans="2:3" x14ac:dyDescent="0.25">
      <c r="B1038" s="216">
        <v>43795</v>
      </c>
      <c r="C1038" s="122">
        <v>40821.300000000003</v>
      </c>
    </row>
    <row r="1039" spans="2:3" x14ac:dyDescent="0.25">
      <c r="B1039" s="216">
        <v>43796</v>
      </c>
      <c r="C1039" s="122">
        <v>41020.61</v>
      </c>
    </row>
    <row r="1040" spans="2:3" x14ac:dyDescent="0.25">
      <c r="B1040" s="216">
        <v>43797</v>
      </c>
      <c r="C1040" s="122">
        <v>41130.17</v>
      </c>
    </row>
    <row r="1041" spans="2:3" x14ac:dyDescent="0.25">
      <c r="B1041" s="216">
        <v>43798</v>
      </c>
      <c r="C1041" s="122">
        <v>40793.81</v>
      </c>
    </row>
    <row r="1042" spans="2:3" x14ac:dyDescent="0.25">
      <c r="B1042" s="216">
        <v>43801</v>
      </c>
      <c r="C1042" s="122">
        <v>40802.17</v>
      </c>
    </row>
    <row r="1043" spans="2:3" x14ac:dyDescent="0.25">
      <c r="B1043" s="216">
        <v>43802</v>
      </c>
      <c r="C1043" s="122">
        <v>40675.449999999997</v>
      </c>
    </row>
    <row r="1044" spans="2:3" x14ac:dyDescent="0.25">
      <c r="B1044" s="216">
        <v>43803</v>
      </c>
      <c r="C1044" s="122">
        <v>40850.29</v>
      </c>
    </row>
    <row r="1045" spans="2:3" x14ac:dyDescent="0.25">
      <c r="B1045" s="216">
        <v>43804</v>
      </c>
      <c r="C1045" s="122">
        <v>40779.589999999997</v>
      </c>
    </row>
    <row r="1046" spans="2:3" x14ac:dyDescent="0.25">
      <c r="B1046" s="216">
        <v>43805</v>
      </c>
      <c r="C1046" s="122">
        <v>40445.15</v>
      </c>
    </row>
    <row r="1047" spans="2:3" x14ac:dyDescent="0.25">
      <c r="B1047" s="216">
        <v>43808</v>
      </c>
      <c r="C1047" s="122">
        <v>40487.43</v>
      </c>
    </row>
    <row r="1048" spans="2:3" x14ac:dyDescent="0.25">
      <c r="B1048" s="216">
        <v>43809</v>
      </c>
      <c r="C1048" s="122">
        <v>40239.879999999997</v>
      </c>
    </row>
    <row r="1049" spans="2:3" x14ac:dyDescent="0.25">
      <c r="B1049" s="216">
        <v>43810</v>
      </c>
      <c r="C1049" s="122">
        <v>40412.57</v>
      </c>
    </row>
    <row r="1050" spans="2:3" x14ac:dyDescent="0.25">
      <c r="B1050" s="216">
        <v>43811</v>
      </c>
      <c r="C1050" s="122">
        <v>40581.71</v>
      </c>
    </row>
    <row r="1051" spans="2:3" x14ac:dyDescent="0.25">
      <c r="B1051" s="216">
        <v>43812</v>
      </c>
      <c r="C1051" s="122">
        <v>41009.71</v>
      </c>
    </row>
    <row r="1052" spans="2:3" x14ac:dyDescent="0.25">
      <c r="B1052" s="216">
        <v>43815</v>
      </c>
      <c r="C1052" s="122">
        <v>40938.720000000001</v>
      </c>
    </row>
    <row r="1053" spans="2:3" x14ac:dyDescent="0.25">
      <c r="B1053" s="216">
        <v>43816</v>
      </c>
      <c r="C1053" s="122">
        <v>41352.17</v>
      </c>
    </row>
    <row r="1054" spans="2:3" x14ac:dyDescent="0.25">
      <c r="B1054" s="216">
        <v>43817</v>
      </c>
      <c r="C1054" s="122">
        <v>41558.57</v>
      </c>
    </row>
    <row r="1055" spans="2:3" x14ac:dyDescent="0.25">
      <c r="B1055" s="216">
        <v>43818</v>
      </c>
      <c r="C1055" s="122">
        <v>41673.919999999998</v>
      </c>
    </row>
    <row r="1056" spans="2:3" x14ac:dyDescent="0.25">
      <c r="B1056" s="216">
        <v>43819</v>
      </c>
      <c r="C1056" s="122">
        <v>41681.54</v>
      </c>
    </row>
    <row r="1057" spans="2:3" x14ac:dyDescent="0.25">
      <c r="B1057" s="216">
        <v>43822</v>
      </c>
      <c r="C1057" s="122">
        <v>41642.660000000003</v>
      </c>
    </row>
    <row r="1058" spans="2:3" x14ac:dyDescent="0.25">
      <c r="B1058" s="216">
        <v>43823</v>
      </c>
      <c r="C1058" s="122">
        <v>41461.26</v>
      </c>
    </row>
    <row r="1059" spans="2:3" x14ac:dyDescent="0.25">
      <c r="B1059" s="216">
        <v>43825</v>
      </c>
      <c r="C1059" s="122">
        <v>41163.760000000002</v>
      </c>
    </row>
    <row r="1060" spans="2:3" x14ac:dyDescent="0.25">
      <c r="B1060" s="216">
        <v>43826</v>
      </c>
      <c r="C1060" s="122">
        <v>41575.14</v>
      </c>
    </row>
    <row r="1061" spans="2:3" x14ac:dyDescent="0.25">
      <c r="B1061" s="216">
        <v>43829</v>
      </c>
      <c r="C1061" s="122">
        <v>41558</v>
      </c>
    </row>
    <row r="1062" spans="2:3" x14ac:dyDescent="0.25">
      <c r="B1062" s="216">
        <v>43830</v>
      </c>
      <c r="C1062" s="122">
        <v>41253.74</v>
      </c>
    </row>
    <row r="1063" spans="2:3" x14ac:dyDescent="0.25">
      <c r="B1063" s="216">
        <v>43831</v>
      </c>
      <c r="C1063" s="122">
        <v>41306.019999999997</v>
      </c>
    </row>
    <row r="1064" spans="2:3" x14ac:dyDescent="0.25">
      <c r="B1064" s="216">
        <v>43832</v>
      </c>
      <c r="C1064" s="122">
        <v>41626.639999999999</v>
      </c>
    </row>
    <row r="1065" spans="2:3" x14ac:dyDescent="0.25">
      <c r="B1065" s="216">
        <v>43833</v>
      </c>
      <c r="C1065" s="122">
        <v>41464.61</v>
      </c>
    </row>
    <row r="1066" spans="2:3" x14ac:dyDescent="0.25">
      <c r="B1066" s="216">
        <v>43836</v>
      </c>
      <c r="C1066" s="122">
        <v>40676.629999999997</v>
      </c>
    </row>
    <row r="1067" spans="2:3" x14ac:dyDescent="0.25">
      <c r="B1067" s="216">
        <v>43837</v>
      </c>
      <c r="C1067" s="122">
        <v>40869.47</v>
      </c>
    </row>
    <row r="1068" spans="2:3" x14ac:dyDescent="0.25">
      <c r="B1068" s="216">
        <v>43838</v>
      </c>
      <c r="C1068" s="122">
        <v>40817.74</v>
      </c>
    </row>
    <row r="1069" spans="2:3" x14ac:dyDescent="0.25">
      <c r="B1069" s="216">
        <v>43839</v>
      </c>
      <c r="C1069" s="122">
        <v>41452.35</v>
      </c>
    </row>
    <row r="1070" spans="2:3" x14ac:dyDescent="0.25">
      <c r="B1070" s="216">
        <v>43840</v>
      </c>
      <c r="C1070" s="122">
        <v>41599.72</v>
      </c>
    </row>
    <row r="1071" spans="2:3" x14ac:dyDescent="0.25">
      <c r="B1071" s="216">
        <v>43843</v>
      </c>
      <c r="C1071" s="122">
        <v>41859.69</v>
      </c>
    </row>
    <row r="1072" spans="2:3" x14ac:dyDescent="0.25">
      <c r="B1072" s="216">
        <v>43844</v>
      </c>
      <c r="C1072" s="122">
        <v>41952.63</v>
      </c>
    </row>
    <row r="1073" spans="2:3" x14ac:dyDescent="0.25">
      <c r="B1073" s="216">
        <v>43845</v>
      </c>
      <c r="C1073" s="122">
        <v>41872.730000000003</v>
      </c>
    </row>
    <row r="1074" spans="2:3" x14ac:dyDescent="0.25">
      <c r="B1074" s="216">
        <v>43846</v>
      </c>
      <c r="C1074" s="122">
        <v>41932.559999999998</v>
      </c>
    </row>
    <row r="1075" spans="2:3" x14ac:dyDescent="0.25">
      <c r="B1075" s="216">
        <v>43847</v>
      </c>
      <c r="C1075" s="122">
        <v>41945.37</v>
      </c>
    </row>
    <row r="1076" spans="2:3" x14ac:dyDescent="0.25">
      <c r="B1076" s="216">
        <v>43850</v>
      </c>
      <c r="C1076" s="122">
        <v>41528.910000000003</v>
      </c>
    </row>
    <row r="1077" spans="2:3" x14ac:dyDescent="0.25">
      <c r="B1077" s="216">
        <v>43851</v>
      </c>
      <c r="C1077" s="122">
        <v>41323.81</v>
      </c>
    </row>
    <row r="1078" spans="2:3" x14ac:dyDescent="0.25">
      <c r="B1078" s="216">
        <v>43852</v>
      </c>
      <c r="C1078" s="122">
        <v>41115.379999999997</v>
      </c>
    </row>
    <row r="1079" spans="2:3" x14ac:dyDescent="0.25">
      <c r="B1079" s="216">
        <v>43853</v>
      </c>
      <c r="C1079" s="122">
        <v>41386.400000000001</v>
      </c>
    </row>
    <row r="1080" spans="2:3" x14ac:dyDescent="0.25">
      <c r="B1080" s="216">
        <v>43854</v>
      </c>
      <c r="C1080" s="122">
        <v>41613.19</v>
      </c>
    </row>
    <row r="1081" spans="2:3" x14ac:dyDescent="0.25">
      <c r="B1081" s="216">
        <v>43857</v>
      </c>
      <c r="C1081" s="122">
        <v>41155.120000000003</v>
      </c>
    </row>
    <row r="1082" spans="2:3" x14ac:dyDescent="0.25">
      <c r="B1082" s="216">
        <v>43858</v>
      </c>
      <c r="C1082" s="122">
        <v>40966.86</v>
      </c>
    </row>
    <row r="1083" spans="2:3" x14ac:dyDescent="0.25">
      <c r="B1083" s="216">
        <v>43859</v>
      </c>
      <c r="C1083" s="122">
        <v>41198.660000000003</v>
      </c>
    </row>
    <row r="1084" spans="2:3" x14ac:dyDescent="0.25">
      <c r="B1084" s="216">
        <v>43860</v>
      </c>
      <c r="C1084" s="122">
        <v>40913.82</v>
      </c>
    </row>
    <row r="1085" spans="2:3" x14ac:dyDescent="0.25">
      <c r="B1085" s="216">
        <v>43861</v>
      </c>
      <c r="C1085" s="122">
        <v>40723.49</v>
      </c>
    </row>
    <row r="1086" spans="2:3" x14ac:dyDescent="0.25">
      <c r="B1086" s="216">
        <v>43862</v>
      </c>
      <c r="C1086" s="122">
        <v>39735.53</v>
      </c>
    </row>
    <row r="1087" spans="2:3" x14ac:dyDescent="0.25">
      <c r="B1087" s="216">
        <v>43864</v>
      </c>
      <c r="C1087" s="122">
        <v>39872.31</v>
      </c>
    </row>
    <row r="1088" spans="2:3" x14ac:dyDescent="0.25">
      <c r="B1088" s="216">
        <v>43865</v>
      </c>
      <c r="C1088" s="122">
        <v>40789.379999999997</v>
      </c>
    </row>
    <row r="1089" spans="2:3" x14ac:dyDescent="0.25">
      <c r="B1089" s="216">
        <v>43866</v>
      </c>
      <c r="C1089" s="122">
        <v>41142.660000000003</v>
      </c>
    </row>
    <row r="1090" spans="2:3" x14ac:dyDescent="0.25">
      <c r="B1090" s="216">
        <v>43867</v>
      </c>
      <c r="C1090" s="122">
        <v>41306.03</v>
      </c>
    </row>
    <row r="1091" spans="2:3" x14ac:dyDescent="0.25">
      <c r="B1091" s="216">
        <v>43868</v>
      </c>
      <c r="C1091" s="122">
        <v>41141.85</v>
      </c>
    </row>
    <row r="1092" spans="2:3" x14ac:dyDescent="0.25">
      <c r="B1092" s="216">
        <v>43871</v>
      </c>
      <c r="C1092" s="122">
        <v>40979.620000000003</v>
      </c>
    </row>
    <row r="1093" spans="2:3" x14ac:dyDescent="0.25">
      <c r="B1093" s="216">
        <v>43872</v>
      </c>
      <c r="C1093" s="122">
        <v>41216.14</v>
      </c>
    </row>
    <row r="1094" spans="2:3" x14ac:dyDescent="0.25">
      <c r="B1094" s="216">
        <v>43873</v>
      </c>
      <c r="C1094" s="122">
        <v>41565.9</v>
      </c>
    </row>
    <row r="1095" spans="2:3" x14ac:dyDescent="0.25">
      <c r="B1095" s="216">
        <v>43874</v>
      </c>
      <c r="C1095" s="122">
        <v>41459.79</v>
      </c>
    </row>
    <row r="1096" spans="2:3" x14ac:dyDescent="0.25">
      <c r="B1096" s="216">
        <v>43875</v>
      </c>
      <c r="C1096" s="122">
        <v>41257.74</v>
      </c>
    </row>
    <row r="1097" spans="2:3" x14ac:dyDescent="0.25">
      <c r="B1097" s="216">
        <v>43878</v>
      </c>
      <c r="C1097" s="122">
        <v>41055.69</v>
      </c>
    </row>
    <row r="1098" spans="2:3" x14ac:dyDescent="0.25">
      <c r="B1098" s="216">
        <v>43879</v>
      </c>
      <c r="C1098" s="122">
        <v>40894.379999999997</v>
      </c>
    </row>
    <row r="1099" spans="2:3" x14ac:dyDescent="0.25">
      <c r="B1099" s="216">
        <v>43880</v>
      </c>
      <c r="C1099" s="122">
        <v>41323</v>
      </c>
    </row>
    <row r="1100" spans="2:3" x14ac:dyDescent="0.25">
      <c r="B1100" s="216">
        <v>43881</v>
      </c>
      <c r="C1100" s="122">
        <v>41170.120000000003</v>
      </c>
    </row>
    <row r="1101" spans="2:3" x14ac:dyDescent="0.25">
      <c r="B1101" s="216">
        <v>43885</v>
      </c>
      <c r="C1101" s="122">
        <v>40363.230000000003</v>
      </c>
    </row>
    <row r="1102" spans="2:3" x14ac:dyDescent="0.25">
      <c r="B1102" s="216">
        <v>43886</v>
      </c>
      <c r="C1102" s="122">
        <v>40281.199999999997</v>
      </c>
    </row>
    <row r="1103" spans="2:3" x14ac:dyDescent="0.25">
      <c r="B1103" s="216">
        <v>43887</v>
      </c>
      <c r="C1103" s="122">
        <v>39888.959999999999</v>
      </c>
    </row>
    <row r="1104" spans="2:3" x14ac:dyDescent="0.25">
      <c r="B1104" s="216">
        <v>43888</v>
      </c>
      <c r="C1104" s="122">
        <v>39745.660000000003</v>
      </c>
    </row>
    <row r="1105" spans="2:3" x14ac:dyDescent="0.25">
      <c r="B1105" s="216">
        <v>43889</v>
      </c>
      <c r="C1105" s="122">
        <v>38297.29</v>
      </c>
    </row>
    <row r="1106" spans="2:3" x14ac:dyDescent="0.25">
      <c r="B1106" s="216">
        <v>43892</v>
      </c>
      <c r="C1106" s="122">
        <v>38144.019999999997</v>
      </c>
    </row>
    <row r="1107" spans="2:3" x14ac:dyDescent="0.25">
      <c r="B1107" s="216">
        <v>43893</v>
      </c>
      <c r="C1107" s="122">
        <v>38623.699999999997</v>
      </c>
    </row>
    <row r="1108" spans="2:3" x14ac:dyDescent="0.25">
      <c r="B1108" s="216">
        <v>43894</v>
      </c>
      <c r="C1108" s="122">
        <v>38409.480000000003</v>
      </c>
    </row>
    <row r="1109" spans="2:3" x14ac:dyDescent="0.25">
      <c r="B1109" s="216">
        <v>43895</v>
      </c>
      <c r="C1109" s="122">
        <v>38470.61</v>
      </c>
    </row>
    <row r="1110" spans="2:3" x14ac:dyDescent="0.25">
      <c r="B1110" s="216">
        <v>43896</v>
      </c>
      <c r="C1110" s="122">
        <v>37576.620000000003</v>
      </c>
    </row>
    <row r="1111" spans="2:3" x14ac:dyDescent="0.25">
      <c r="B1111" s="216">
        <v>43899</v>
      </c>
      <c r="C1111" s="122">
        <v>35634.949999999997</v>
      </c>
    </row>
    <row r="1112" spans="2:3" x14ac:dyDescent="0.25">
      <c r="B1112" s="216">
        <v>43901</v>
      </c>
      <c r="C1112" s="122">
        <v>35697.4</v>
      </c>
    </row>
    <row r="1113" spans="2:3" x14ac:dyDescent="0.25">
      <c r="B1113" s="216">
        <v>43902</v>
      </c>
      <c r="C1113" s="122">
        <v>32778.14</v>
      </c>
    </row>
    <row r="1114" spans="2:3" x14ac:dyDescent="0.25">
      <c r="B1114" s="216">
        <v>43903</v>
      </c>
      <c r="C1114" s="122">
        <v>34103.480000000003</v>
      </c>
    </row>
    <row r="1115" spans="2:3" x14ac:dyDescent="0.25">
      <c r="B1115" s="216">
        <v>43906</v>
      </c>
      <c r="C1115" s="122">
        <v>31390.07</v>
      </c>
    </row>
    <row r="1116" spans="2:3" x14ac:dyDescent="0.25">
      <c r="B1116" s="216">
        <v>43907</v>
      </c>
      <c r="C1116" s="122">
        <v>30579.09</v>
      </c>
    </row>
    <row r="1117" spans="2:3" x14ac:dyDescent="0.25">
      <c r="B1117" s="216">
        <v>43908</v>
      </c>
      <c r="C1117" s="122">
        <v>28869.51</v>
      </c>
    </row>
    <row r="1118" spans="2:3" x14ac:dyDescent="0.25">
      <c r="B1118" s="216">
        <v>43909</v>
      </c>
      <c r="C1118" s="122">
        <v>28288.23</v>
      </c>
    </row>
    <row r="1119" spans="2:3" x14ac:dyDescent="0.25">
      <c r="B1119" s="216">
        <v>43910</v>
      </c>
      <c r="C1119" s="122">
        <v>29915.96</v>
      </c>
    </row>
    <row r="1120" spans="2:3" x14ac:dyDescent="0.25">
      <c r="B1120" s="216">
        <v>43913</v>
      </c>
      <c r="C1120" s="122">
        <v>25981.24</v>
      </c>
    </row>
    <row r="1121" spans="2:3" x14ac:dyDescent="0.25">
      <c r="B1121" s="216">
        <v>43914</v>
      </c>
      <c r="C1121" s="122">
        <v>26674.03</v>
      </c>
    </row>
    <row r="1122" spans="2:3" x14ac:dyDescent="0.25">
      <c r="B1122" s="216">
        <v>43915</v>
      </c>
      <c r="C1122" s="122">
        <v>28535.78</v>
      </c>
    </row>
    <row r="1123" spans="2:3" x14ac:dyDescent="0.25">
      <c r="B1123" s="216">
        <v>43916</v>
      </c>
      <c r="C1123" s="122">
        <v>29946.77</v>
      </c>
    </row>
    <row r="1124" spans="2:3" x14ac:dyDescent="0.25">
      <c r="B1124" s="216">
        <v>43917</v>
      </c>
      <c r="C1124" s="122">
        <v>29815.59</v>
      </c>
    </row>
    <row r="1125" spans="2:3" x14ac:dyDescent="0.25">
      <c r="B1125" s="216">
        <v>43920</v>
      </c>
      <c r="C1125" s="122">
        <v>28440.32</v>
      </c>
    </row>
    <row r="1126" spans="2:3" x14ac:dyDescent="0.25">
      <c r="B1126" s="216">
        <v>43921</v>
      </c>
      <c r="C1126" s="122">
        <v>29468.49</v>
      </c>
    </row>
    <row r="1127" spans="2:3" x14ac:dyDescent="0.25">
      <c r="B1127" s="216">
        <v>43922</v>
      </c>
      <c r="C1127" s="122">
        <v>28265.31</v>
      </c>
    </row>
    <row r="1128" spans="2:3" x14ac:dyDescent="0.25">
      <c r="B1128" s="216">
        <v>43924</v>
      </c>
      <c r="C1128" s="122">
        <v>27590.95</v>
      </c>
    </row>
    <row r="1129" spans="2:3" x14ac:dyDescent="0.25">
      <c r="B1129" s="216">
        <v>43928</v>
      </c>
      <c r="C1129" s="122">
        <v>30067.21</v>
      </c>
    </row>
    <row r="1130" spans="2:3" x14ac:dyDescent="0.25">
      <c r="B1130" s="216">
        <v>43929</v>
      </c>
      <c r="C1130" s="122">
        <v>29893.96</v>
      </c>
    </row>
    <row r="1131" spans="2:3" x14ac:dyDescent="0.25">
      <c r="B1131" s="216">
        <v>43930</v>
      </c>
      <c r="C1131" s="122">
        <v>31159.62</v>
      </c>
    </row>
    <row r="1132" spans="2:3" x14ac:dyDescent="0.25">
      <c r="B1132" s="216">
        <v>43934</v>
      </c>
      <c r="C1132" s="122">
        <v>30690.02</v>
      </c>
    </row>
    <row r="1133" spans="2:3" x14ac:dyDescent="0.25">
      <c r="B1133" s="216">
        <v>43936</v>
      </c>
      <c r="C1133" s="122">
        <v>30379.81</v>
      </c>
    </row>
    <row r="1134" spans="2:3" x14ac:dyDescent="0.25">
      <c r="B1134" s="216">
        <v>43937</v>
      </c>
      <c r="C1134" s="122">
        <v>30602.61</v>
      </c>
    </row>
    <row r="1135" spans="2:3" x14ac:dyDescent="0.25">
      <c r="B1135" s="216">
        <v>43938</v>
      </c>
      <c r="C1135" s="122">
        <v>31588.720000000001</v>
      </c>
    </row>
    <row r="1136" spans="2:3" x14ac:dyDescent="0.25">
      <c r="B1136" s="216">
        <v>43941</v>
      </c>
      <c r="C1136" s="122">
        <v>31648</v>
      </c>
    </row>
    <row r="1137" spans="2:3" x14ac:dyDescent="0.25">
      <c r="B1137" s="216">
        <v>43942</v>
      </c>
      <c r="C1137" s="122">
        <v>30636.71</v>
      </c>
    </row>
    <row r="1138" spans="2:3" x14ac:dyDescent="0.25">
      <c r="B1138" s="216">
        <v>43943</v>
      </c>
      <c r="C1138" s="122">
        <v>31379.55</v>
      </c>
    </row>
    <row r="1139" spans="2:3" x14ac:dyDescent="0.25">
      <c r="B1139" s="216">
        <v>43944</v>
      </c>
      <c r="C1139" s="122">
        <v>31863.08</v>
      </c>
    </row>
    <row r="1140" spans="2:3" x14ac:dyDescent="0.25">
      <c r="B1140" s="216">
        <v>43945</v>
      </c>
      <c r="C1140" s="122">
        <v>31327.22</v>
      </c>
    </row>
    <row r="1141" spans="2:3" x14ac:dyDescent="0.25">
      <c r="B1141" s="216">
        <v>43948</v>
      </c>
      <c r="C1141" s="122">
        <v>31743.08</v>
      </c>
    </row>
    <row r="1142" spans="2:3" x14ac:dyDescent="0.25">
      <c r="B1142" s="216">
        <v>43949</v>
      </c>
      <c r="C1142" s="122">
        <v>32114.52</v>
      </c>
    </row>
    <row r="1143" spans="2:3" x14ac:dyDescent="0.25">
      <c r="B1143" s="216">
        <v>43950</v>
      </c>
      <c r="C1143" s="122">
        <v>32720.16</v>
      </c>
    </row>
    <row r="1144" spans="2:3" x14ac:dyDescent="0.25">
      <c r="B1144" s="216">
        <v>43951</v>
      </c>
      <c r="C1144" s="122">
        <v>33717.620000000003</v>
      </c>
    </row>
    <row r="1145" spans="2:3" x14ac:dyDescent="0.25">
      <c r="B1145" s="216">
        <v>43955</v>
      </c>
      <c r="C1145" s="122">
        <v>31715.35</v>
      </c>
    </row>
    <row r="1146" spans="2:3" x14ac:dyDescent="0.25">
      <c r="B1146" s="216">
        <v>43956</v>
      </c>
      <c r="C1146" s="122">
        <v>31453.51</v>
      </c>
    </row>
    <row r="1147" spans="2:3" x14ac:dyDescent="0.25">
      <c r="B1147" s="216">
        <v>43957</v>
      </c>
      <c r="C1147" s="122">
        <v>31685.75</v>
      </c>
    </row>
    <row r="1148" spans="2:3" x14ac:dyDescent="0.25">
      <c r="B1148" s="216">
        <v>43958</v>
      </c>
      <c r="C1148" s="122">
        <v>31443.38</v>
      </c>
    </row>
    <row r="1149" spans="2:3" x14ac:dyDescent="0.25">
      <c r="B1149" s="216">
        <v>43959</v>
      </c>
      <c r="C1149" s="122">
        <v>31642.7</v>
      </c>
    </row>
    <row r="1150" spans="2:3" x14ac:dyDescent="0.25">
      <c r="B1150" s="216">
        <v>43962</v>
      </c>
      <c r="C1150" s="122">
        <v>31561.22</v>
      </c>
    </row>
    <row r="1151" spans="2:3" x14ac:dyDescent="0.25">
      <c r="B1151" s="216">
        <v>43963</v>
      </c>
      <c r="C1151" s="122">
        <v>31371.119999999999</v>
      </c>
    </row>
    <row r="1152" spans="2:3" x14ac:dyDescent="0.25">
      <c r="B1152" s="216">
        <v>43964</v>
      </c>
      <c r="C1152" s="122">
        <v>32008.61</v>
      </c>
    </row>
    <row r="1153" spans="2:3" x14ac:dyDescent="0.25">
      <c r="B1153" s="216">
        <v>43965</v>
      </c>
      <c r="C1153" s="122">
        <v>31122.89</v>
      </c>
    </row>
    <row r="1154" spans="2:3" x14ac:dyDescent="0.25">
      <c r="B1154" s="216">
        <v>43966</v>
      </c>
      <c r="C1154" s="122">
        <v>31097.73</v>
      </c>
    </row>
    <row r="1155" spans="2:3" x14ac:dyDescent="0.25">
      <c r="B1155" s="216">
        <v>43969</v>
      </c>
      <c r="C1155" s="122">
        <v>30028.98</v>
      </c>
    </row>
    <row r="1156" spans="2:3" x14ac:dyDescent="0.25">
      <c r="B1156" s="216">
        <v>43970</v>
      </c>
      <c r="C1156" s="122">
        <v>30196.17</v>
      </c>
    </row>
    <row r="1157" spans="2:3" x14ac:dyDescent="0.25">
      <c r="B1157" s="216">
        <v>43971</v>
      </c>
      <c r="C1157" s="122">
        <v>30818.61</v>
      </c>
    </row>
    <row r="1158" spans="2:3" x14ac:dyDescent="0.25">
      <c r="B1158" s="216">
        <v>43972</v>
      </c>
      <c r="C1158" s="122">
        <v>30932.9</v>
      </c>
    </row>
    <row r="1159" spans="2:3" x14ac:dyDescent="0.25">
      <c r="B1159" s="216">
        <v>43973</v>
      </c>
      <c r="C1159" s="122">
        <v>30672.59</v>
      </c>
    </row>
    <row r="1160" spans="2:3" x14ac:dyDescent="0.25">
      <c r="B1160" s="216">
        <v>43977</v>
      </c>
      <c r="C1160" s="122">
        <v>30609.3</v>
      </c>
    </row>
    <row r="1161" spans="2:3" x14ac:dyDescent="0.25">
      <c r="B1161" s="216">
        <v>43978</v>
      </c>
      <c r="C1161" s="122">
        <v>31605.22</v>
      </c>
    </row>
    <row r="1162" spans="2:3" x14ac:dyDescent="0.25">
      <c r="B1162" s="216">
        <v>43979</v>
      </c>
      <c r="C1162" s="122">
        <v>32200.59</v>
      </c>
    </row>
    <row r="1163" spans="2:3" x14ac:dyDescent="0.25">
      <c r="B1163" s="216">
        <v>43980</v>
      </c>
      <c r="C1163" s="122">
        <v>32424.1</v>
      </c>
    </row>
    <row r="1164" spans="2:3" x14ac:dyDescent="0.25">
      <c r="B1164" s="216">
        <v>43983</v>
      </c>
      <c r="C1164" s="122">
        <v>33303.519999999997</v>
      </c>
    </row>
    <row r="1165" spans="2:3" x14ac:dyDescent="0.25">
      <c r="B1165" s="216">
        <v>43984</v>
      </c>
      <c r="C1165" s="122">
        <v>33825.53</v>
      </c>
    </row>
    <row r="1166" spans="2:3" x14ac:dyDescent="0.25">
      <c r="B1166" s="216">
        <v>43985</v>
      </c>
      <c r="C1166" s="122">
        <v>34109.54</v>
      </c>
    </row>
    <row r="1167" spans="2:3" x14ac:dyDescent="0.25">
      <c r="B1167" s="216">
        <v>43986</v>
      </c>
      <c r="C1167" s="122">
        <v>33980.699999999997</v>
      </c>
    </row>
    <row r="1168" spans="2:3" x14ac:dyDescent="0.25">
      <c r="B1168" s="216">
        <v>43987</v>
      </c>
      <c r="C1168" s="122">
        <v>34287.24</v>
      </c>
    </row>
    <row r="1169" spans="2:3" x14ac:dyDescent="0.25">
      <c r="B1169" s="216">
        <v>43990</v>
      </c>
      <c r="C1169" s="122">
        <v>34370.58</v>
      </c>
    </row>
    <row r="1170" spans="2:3" x14ac:dyDescent="0.25">
      <c r="B1170" s="216">
        <v>43991</v>
      </c>
      <c r="C1170" s="122">
        <v>33956.69</v>
      </c>
    </row>
    <row r="1171" spans="2:3" x14ac:dyDescent="0.25">
      <c r="B1171" s="216">
        <v>43992</v>
      </c>
      <c r="C1171" s="122">
        <v>34247.050000000003</v>
      </c>
    </row>
    <row r="1172" spans="2:3" x14ac:dyDescent="0.25">
      <c r="B1172" s="216">
        <v>43993</v>
      </c>
      <c r="C1172" s="122">
        <v>33538.370000000003</v>
      </c>
    </row>
    <row r="1173" spans="2:3" x14ac:dyDescent="0.25">
      <c r="B1173" s="216">
        <v>43994</v>
      </c>
      <c r="C1173" s="122">
        <v>33780.89</v>
      </c>
    </row>
    <row r="1174" spans="2:3" x14ac:dyDescent="0.25">
      <c r="B1174" s="216">
        <v>43997</v>
      </c>
      <c r="C1174" s="122">
        <v>33228.800000000003</v>
      </c>
    </row>
    <row r="1175" spans="2:3" x14ac:dyDescent="0.25">
      <c r="B1175" s="216">
        <v>43998</v>
      </c>
      <c r="C1175" s="122">
        <v>33605.22</v>
      </c>
    </row>
    <row r="1176" spans="2:3" x14ac:dyDescent="0.25">
      <c r="B1176" s="216">
        <v>43999</v>
      </c>
      <c r="C1176" s="122">
        <v>33507.919999999998</v>
      </c>
    </row>
    <row r="1177" spans="2:3" x14ac:dyDescent="0.25">
      <c r="B1177" s="216">
        <v>44000</v>
      </c>
      <c r="C1177" s="122">
        <v>34208.050000000003</v>
      </c>
    </row>
    <row r="1178" spans="2:3" x14ac:dyDescent="0.25">
      <c r="B1178" s="216">
        <v>44001</v>
      </c>
      <c r="C1178" s="122">
        <v>34731.730000000003</v>
      </c>
    </row>
    <row r="1179" spans="2:3" x14ac:dyDescent="0.25">
      <c r="B1179" s="216">
        <v>44004</v>
      </c>
      <c r="C1179" s="122">
        <v>34911.32</v>
      </c>
    </row>
    <row r="1180" spans="2:3" x14ac:dyDescent="0.25">
      <c r="B1180" s="216">
        <v>44005</v>
      </c>
      <c r="C1180" s="122">
        <v>35430.43</v>
      </c>
    </row>
    <row r="1181" spans="2:3" x14ac:dyDescent="0.25">
      <c r="B1181" s="216">
        <v>44006</v>
      </c>
      <c r="C1181" s="122">
        <v>34868.980000000003</v>
      </c>
    </row>
    <row r="1182" spans="2:3" x14ac:dyDescent="0.25">
      <c r="B1182" s="216">
        <v>44007</v>
      </c>
      <c r="C1182" s="122">
        <v>34842.1</v>
      </c>
    </row>
    <row r="1183" spans="2:3" x14ac:dyDescent="0.25">
      <c r="B1183" s="216">
        <v>44008</v>
      </c>
      <c r="C1183" s="122">
        <v>35171.269999999997</v>
      </c>
    </row>
    <row r="1184" spans="2:3" x14ac:dyDescent="0.25">
      <c r="B1184" s="216">
        <v>44011</v>
      </c>
      <c r="C1184" s="122">
        <v>34961.519999999997</v>
      </c>
    </row>
    <row r="1185" spans="2:3" x14ac:dyDescent="0.25">
      <c r="B1185" s="216">
        <v>44012</v>
      </c>
      <c r="C1185" s="122">
        <v>34915.800000000003</v>
      </c>
    </row>
    <row r="1186" spans="2:3" x14ac:dyDescent="0.25">
      <c r="B1186" s="216">
        <v>44013</v>
      </c>
      <c r="C1186" s="122">
        <v>35414.449999999997</v>
      </c>
    </row>
    <row r="1187" spans="2:3" x14ac:dyDescent="0.25">
      <c r="B1187" s="216">
        <v>44014</v>
      </c>
      <c r="C1187" s="122">
        <v>35843.699999999997</v>
      </c>
    </row>
    <row r="1188" spans="2:3" x14ac:dyDescent="0.25">
      <c r="B1188" s="216">
        <v>44015</v>
      </c>
      <c r="C1188" s="122">
        <v>36021.42</v>
      </c>
    </row>
    <row r="1189" spans="2:3" x14ac:dyDescent="0.25">
      <c r="B1189" s="216">
        <v>44018</v>
      </c>
      <c r="C1189" s="122">
        <v>36487.279999999999</v>
      </c>
    </row>
    <row r="1190" spans="2:3" x14ac:dyDescent="0.25">
      <c r="B1190" s="216">
        <v>44019</v>
      </c>
      <c r="C1190" s="122">
        <v>36674.519999999997</v>
      </c>
    </row>
    <row r="1191" spans="2:3" x14ac:dyDescent="0.25">
      <c r="B1191" s="216">
        <v>44020</v>
      </c>
      <c r="C1191" s="122">
        <v>36329.01</v>
      </c>
    </row>
    <row r="1192" spans="2:3" x14ac:dyDescent="0.25">
      <c r="B1192" s="216">
        <v>44021</v>
      </c>
      <c r="C1192" s="122">
        <v>36737.69</v>
      </c>
    </row>
    <row r="1193" spans="2:3" x14ac:dyDescent="0.25">
      <c r="B1193" s="216">
        <v>44022</v>
      </c>
      <c r="C1193" s="122">
        <v>36594.33</v>
      </c>
    </row>
    <row r="1194" spans="2:3" x14ac:dyDescent="0.25">
      <c r="B1194" s="216">
        <v>44025</v>
      </c>
      <c r="C1194" s="122">
        <v>36693.69</v>
      </c>
    </row>
    <row r="1195" spans="2:3" x14ac:dyDescent="0.25">
      <c r="B1195" s="216">
        <v>44026</v>
      </c>
      <c r="C1195" s="122">
        <v>36033.06</v>
      </c>
    </row>
    <row r="1196" spans="2:3" x14ac:dyDescent="0.25">
      <c r="B1196" s="216">
        <v>44027</v>
      </c>
      <c r="C1196" s="122">
        <v>36051.81</v>
      </c>
    </row>
    <row r="1197" spans="2:3" x14ac:dyDescent="0.25">
      <c r="B1197" s="216">
        <v>44028</v>
      </c>
      <c r="C1197" s="122">
        <v>36471.68</v>
      </c>
    </row>
    <row r="1198" spans="2:3" x14ac:dyDescent="0.25">
      <c r="B1198" s="216">
        <v>44029</v>
      </c>
      <c r="C1198" s="122">
        <v>37020.14</v>
      </c>
    </row>
    <row r="1199" spans="2:3" x14ac:dyDescent="0.25">
      <c r="B1199" s="216">
        <v>44032</v>
      </c>
      <c r="C1199" s="122">
        <v>37418.99</v>
      </c>
    </row>
    <row r="1200" spans="2:3" x14ac:dyDescent="0.25">
      <c r="B1200" s="216">
        <v>44033</v>
      </c>
      <c r="C1200" s="122">
        <v>37930.33</v>
      </c>
    </row>
    <row r="1201" spans="2:3" x14ac:dyDescent="0.25">
      <c r="B1201" s="216">
        <v>44034</v>
      </c>
      <c r="C1201" s="122">
        <v>37871.519999999997</v>
      </c>
    </row>
    <row r="1202" spans="2:3" x14ac:dyDescent="0.25">
      <c r="B1202" s="216">
        <v>44035</v>
      </c>
      <c r="C1202" s="122">
        <v>38140.47</v>
      </c>
    </row>
    <row r="1203" spans="2:3" x14ac:dyDescent="0.25">
      <c r="B1203" s="216">
        <v>44036</v>
      </c>
      <c r="C1203" s="122">
        <v>38128.9</v>
      </c>
    </row>
    <row r="1204" spans="2:3" x14ac:dyDescent="0.25">
      <c r="B1204" s="216">
        <v>44039</v>
      </c>
      <c r="C1204" s="122">
        <v>37934.730000000003</v>
      </c>
    </row>
    <row r="1205" spans="2:3" x14ac:dyDescent="0.25">
      <c r="B1205" s="216">
        <v>44040</v>
      </c>
      <c r="C1205" s="122">
        <v>38492.949999999997</v>
      </c>
    </row>
    <row r="1206" spans="2:3" x14ac:dyDescent="0.25">
      <c r="B1206" s="216">
        <v>44041</v>
      </c>
      <c r="C1206" s="122">
        <v>38071.129999999997</v>
      </c>
    </row>
    <row r="1207" spans="2:3" x14ac:dyDescent="0.25">
      <c r="B1207" s="216">
        <v>44042</v>
      </c>
      <c r="C1207" s="122">
        <v>37736.07</v>
      </c>
    </row>
    <row r="1208" spans="2:3" x14ac:dyDescent="0.25">
      <c r="B1208" s="216">
        <v>44043</v>
      </c>
      <c r="C1208" s="122">
        <v>37606.89</v>
      </c>
    </row>
    <row r="1209" spans="2:3" x14ac:dyDescent="0.25">
      <c r="B1209" s="216">
        <v>44046</v>
      </c>
      <c r="C1209" s="122">
        <v>36939.599999999999</v>
      </c>
    </row>
    <row r="1210" spans="2:3" x14ac:dyDescent="0.25">
      <c r="B1210" s="216">
        <v>44047</v>
      </c>
      <c r="C1210" s="122">
        <v>37687.910000000003</v>
      </c>
    </row>
    <row r="1211" spans="2:3" x14ac:dyDescent="0.25">
      <c r="B1211" s="216">
        <v>44048</v>
      </c>
      <c r="C1211" s="122">
        <v>37663.33</v>
      </c>
    </row>
    <row r="1212" spans="2:3" x14ac:dyDescent="0.25">
      <c r="B1212" s="216">
        <v>44049</v>
      </c>
      <c r="C1212" s="122">
        <v>38025.449999999997</v>
      </c>
    </row>
    <row r="1213" spans="2:3" x14ac:dyDescent="0.25">
      <c r="B1213" s="216">
        <v>44050</v>
      </c>
      <c r="C1213" s="122">
        <v>38040.57</v>
      </c>
    </row>
    <row r="1214" spans="2:3" x14ac:dyDescent="0.25">
      <c r="B1214" s="216">
        <v>44053</v>
      </c>
      <c r="C1214" s="122">
        <v>38182.080000000002</v>
      </c>
    </row>
    <row r="1215" spans="2:3" x14ac:dyDescent="0.25">
      <c r="B1215" s="216">
        <v>44054</v>
      </c>
      <c r="C1215" s="122">
        <v>38407.01</v>
      </c>
    </row>
    <row r="1216" spans="2:3" x14ac:dyDescent="0.25">
      <c r="B1216" s="216">
        <v>44055</v>
      </c>
      <c r="C1216" s="122">
        <v>38369.629999999997</v>
      </c>
    </row>
    <row r="1217" spans="2:3" x14ac:dyDescent="0.25">
      <c r="B1217" s="216">
        <v>44056</v>
      </c>
      <c r="C1217" s="122">
        <v>38310.49</v>
      </c>
    </row>
    <row r="1218" spans="2:3" x14ac:dyDescent="0.25">
      <c r="B1218" s="216">
        <v>44057</v>
      </c>
      <c r="C1218" s="122">
        <v>37877.339999999997</v>
      </c>
    </row>
    <row r="1219" spans="2:3" x14ac:dyDescent="0.25">
      <c r="B1219" s="216">
        <v>44060</v>
      </c>
      <c r="C1219" s="122">
        <v>38050.78</v>
      </c>
    </row>
    <row r="1220" spans="2:3" x14ac:dyDescent="0.25">
      <c r="B1220" s="216">
        <v>44061</v>
      </c>
      <c r="C1220" s="122">
        <v>38528.32</v>
      </c>
    </row>
    <row r="1221" spans="2:3" x14ac:dyDescent="0.25">
      <c r="B1221" s="216">
        <v>44062</v>
      </c>
      <c r="C1221" s="122">
        <v>38614.79</v>
      </c>
    </row>
    <row r="1222" spans="2:3" x14ac:dyDescent="0.25">
      <c r="B1222" s="216">
        <v>44063</v>
      </c>
      <c r="C1222" s="122">
        <v>38220.39</v>
      </c>
    </row>
    <row r="1223" spans="2:3" x14ac:dyDescent="0.25">
      <c r="B1223" s="216">
        <v>44064</v>
      </c>
      <c r="C1223" s="122">
        <v>38434.720000000001</v>
      </c>
    </row>
    <row r="1224" spans="2:3" x14ac:dyDescent="0.25">
      <c r="B1224" s="216">
        <v>44067</v>
      </c>
      <c r="C1224" s="122">
        <v>38799.08</v>
      </c>
    </row>
    <row r="1225" spans="2:3" x14ac:dyDescent="0.25">
      <c r="B1225" s="216">
        <v>44068</v>
      </c>
      <c r="C1225" s="122">
        <v>38843.879999999997</v>
      </c>
    </row>
    <row r="1226" spans="2:3" x14ac:dyDescent="0.25">
      <c r="B1226" s="216">
        <v>44069</v>
      </c>
      <c r="C1226" s="122">
        <v>39073.919999999998</v>
      </c>
    </row>
    <row r="1227" spans="2:3" x14ac:dyDescent="0.25">
      <c r="B1227" s="216">
        <v>44070</v>
      </c>
      <c r="C1227" s="122">
        <v>39113.47</v>
      </c>
    </row>
    <row r="1228" spans="2:3" x14ac:dyDescent="0.25">
      <c r="B1228" s="216">
        <v>44071</v>
      </c>
      <c r="C1228" s="122">
        <v>39467.31</v>
      </c>
    </row>
    <row r="1229" spans="2:3" x14ac:dyDescent="0.25">
      <c r="B1229" s="216">
        <v>44074</v>
      </c>
      <c r="C1229" s="122">
        <v>38628.29</v>
      </c>
    </row>
    <row r="1230" spans="2:3" x14ac:dyDescent="0.25">
      <c r="B1230" s="216">
        <v>44075</v>
      </c>
      <c r="C1230" s="122">
        <v>38900.800000000003</v>
      </c>
    </row>
    <row r="1231" spans="2:3" x14ac:dyDescent="0.25">
      <c r="B1231" s="216">
        <v>44076</v>
      </c>
      <c r="C1231" s="122">
        <v>39086.03</v>
      </c>
    </row>
    <row r="1232" spans="2:3" x14ac:dyDescent="0.25">
      <c r="B1232" s="216">
        <v>44077</v>
      </c>
      <c r="C1232" s="122">
        <v>38990.94</v>
      </c>
    </row>
    <row r="1233" spans="2:3" x14ac:dyDescent="0.25">
      <c r="B1233" s="216">
        <v>44078</v>
      </c>
      <c r="C1233" s="122">
        <v>38357.18</v>
      </c>
    </row>
    <row r="1234" spans="2:3" x14ac:dyDescent="0.25">
      <c r="B1234" s="216">
        <v>44081</v>
      </c>
      <c r="C1234" s="122">
        <v>38417.230000000003</v>
      </c>
    </row>
    <row r="1235" spans="2:3" x14ac:dyDescent="0.25">
      <c r="B1235" s="216">
        <v>44082</v>
      </c>
      <c r="C1235" s="122">
        <v>38365.35</v>
      </c>
    </row>
    <row r="1236" spans="2:3" x14ac:dyDescent="0.25">
      <c r="B1236" s="216">
        <v>44083</v>
      </c>
      <c r="C1236" s="122">
        <v>38193.919999999998</v>
      </c>
    </row>
    <row r="1237" spans="2:3" x14ac:dyDescent="0.25">
      <c r="B1237" s="216">
        <v>44084</v>
      </c>
      <c r="C1237" s="122">
        <v>38840.32</v>
      </c>
    </row>
    <row r="1238" spans="2:3" x14ac:dyDescent="0.25">
      <c r="B1238" s="216">
        <v>44085</v>
      </c>
      <c r="C1238" s="122">
        <v>38854.550000000003</v>
      </c>
    </row>
    <row r="1239" spans="2:3" x14ac:dyDescent="0.25">
      <c r="B1239" s="216">
        <v>44088</v>
      </c>
      <c r="C1239" s="122">
        <v>38756.629999999997</v>
      </c>
    </row>
    <row r="1240" spans="2:3" x14ac:dyDescent="0.25">
      <c r="B1240" s="216">
        <v>44089</v>
      </c>
      <c r="C1240" s="122">
        <v>39044.35</v>
      </c>
    </row>
    <row r="1241" spans="2:3" x14ac:dyDescent="0.25">
      <c r="B1241" s="216">
        <v>44090</v>
      </c>
      <c r="C1241" s="122">
        <v>39302.85</v>
      </c>
    </row>
    <row r="1242" spans="2:3" x14ac:dyDescent="0.25">
      <c r="B1242" s="216">
        <v>44091</v>
      </c>
      <c r="C1242" s="122">
        <v>38979.85</v>
      </c>
    </row>
    <row r="1243" spans="2:3" x14ac:dyDescent="0.25">
      <c r="B1243" s="216">
        <v>44092</v>
      </c>
      <c r="C1243" s="122">
        <v>38845.82</v>
      </c>
    </row>
    <row r="1244" spans="2:3" x14ac:dyDescent="0.25">
      <c r="B1244" s="216">
        <v>44095</v>
      </c>
      <c r="C1244" s="122">
        <v>38034.14</v>
      </c>
    </row>
    <row r="1245" spans="2:3" x14ac:dyDescent="0.25">
      <c r="B1245" s="216">
        <v>44096</v>
      </c>
      <c r="C1245" s="122">
        <v>37734.080000000002</v>
      </c>
    </row>
    <row r="1246" spans="2:3" x14ac:dyDescent="0.25">
      <c r="B1246" s="216">
        <v>44097</v>
      </c>
      <c r="C1246" s="122">
        <v>37668.42</v>
      </c>
    </row>
    <row r="1247" spans="2:3" x14ac:dyDescent="0.25">
      <c r="B1247" s="216">
        <v>44098</v>
      </c>
      <c r="C1247" s="122">
        <v>36553.599999999999</v>
      </c>
    </row>
    <row r="1248" spans="2:3" x14ac:dyDescent="0.25">
      <c r="B1248" s="216">
        <v>44099</v>
      </c>
      <c r="C1248" s="122">
        <v>37388.660000000003</v>
      </c>
    </row>
    <row r="1249" spans="2:3" x14ac:dyDescent="0.25">
      <c r="B1249" s="216">
        <v>44102</v>
      </c>
      <c r="C1249" s="122">
        <v>37981.629999999997</v>
      </c>
    </row>
    <row r="1250" spans="2:3" x14ac:dyDescent="0.25">
      <c r="B1250" s="216">
        <v>44103</v>
      </c>
      <c r="C1250" s="122">
        <v>37973.22</v>
      </c>
    </row>
    <row r="1251" spans="2:3" x14ac:dyDescent="0.25">
      <c r="B1251" s="216">
        <v>44104</v>
      </c>
      <c r="C1251" s="122">
        <v>38067.93</v>
      </c>
    </row>
    <row r="1252" spans="2:3" x14ac:dyDescent="0.25">
      <c r="B1252" s="216">
        <v>44105</v>
      </c>
      <c r="C1252" s="122">
        <v>38697.050000000003</v>
      </c>
    </row>
    <row r="1253" spans="2:3" x14ac:dyDescent="0.25">
      <c r="B1253" s="216">
        <v>44109</v>
      </c>
      <c r="C1253" s="122">
        <v>38973.699999999997</v>
      </c>
    </row>
    <row r="1254" spans="2:3" x14ac:dyDescent="0.25">
      <c r="B1254" s="216">
        <v>44110</v>
      </c>
      <c r="C1254" s="122">
        <v>39574.57</v>
      </c>
    </row>
    <row r="1255" spans="2:3" x14ac:dyDescent="0.25">
      <c r="B1255" s="216">
        <v>44111</v>
      </c>
      <c r="C1255" s="122">
        <v>39878.949999999997</v>
      </c>
    </row>
    <row r="1256" spans="2:3" x14ac:dyDescent="0.25">
      <c r="B1256" s="216">
        <v>44112</v>
      </c>
      <c r="C1256" s="122">
        <v>40182.67</v>
      </c>
    </row>
    <row r="1257" spans="2:3" x14ac:dyDescent="0.25">
      <c r="B1257" s="216">
        <v>44113</v>
      </c>
      <c r="C1257" s="122">
        <v>40509.49</v>
      </c>
    </row>
    <row r="1258" spans="2:3" x14ac:dyDescent="0.25">
      <c r="B1258" s="216">
        <v>44116</v>
      </c>
      <c r="C1258" s="122">
        <v>40593.800000000003</v>
      </c>
    </row>
    <row r="1259" spans="2:3" x14ac:dyDescent="0.25">
      <c r="B1259" s="216">
        <v>44117</v>
      </c>
      <c r="C1259" s="122">
        <v>40625.51</v>
      </c>
    </row>
    <row r="1260" spans="2:3" x14ac:dyDescent="0.25">
      <c r="B1260" s="216">
        <v>44118</v>
      </c>
      <c r="C1260" s="122">
        <v>40794.74</v>
      </c>
    </row>
    <row r="1261" spans="2:3" x14ac:dyDescent="0.25">
      <c r="B1261" s="216">
        <v>44119</v>
      </c>
      <c r="C1261" s="122">
        <v>39728.410000000003</v>
      </c>
    </row>
    <row r="1262" spans="2:3" x14ac:dyDescent="0.25">
      <c r="B1262" s="216">
        <v>44120</v>
      </c>
      <c r="C1262" s="122">
        <v>39982.980000000003</v>
      </c>
    </row>
    <row r="1263" spans="2:3" x14ac:dyDescent="0.25">
      <c r="B1263" s="216">
        <v>44123</v>
      </c>
      <c r="C1263" s="122">
        <v>40431.599999999999</v>
      </c>
    </row>
    <row r="1264" spans="2:3" x14ac:dyDescent="0.25">
      <c r="B1264" s="216">
        <v>44124</v>
      </c>
      <c r="C1264" s="122">
        <v>40544.370000000003</v>
      </c>
    </row>
    <row r="1265" spans="2:3" x14ac:dyDescent="0.25">
      <c r="B1265" s="216">
        <v>44125</v>
      </c>
      <c r="C1265" s="122">
        <v>40707.31</v>
      </c>
    </row>
    <row r="1266" spans="2:3" x14ac:dyDescent="0.25">
      <c r="B1266" s="216">
        <v>44126</v>
      </c>
      <c r="C1266" s="122">
        <v>40558.49</v>
      </c>
    </row>
    <row r="1267" spans="2:3" x14ac:dyDescent="0.25">
      <c r="B1267" s="216">
        <v>44127</v>
      </c>
      <c r="C1267" s="122">
        <v>40685.5</v>
      </c>
    </row>
    <row r="1268" spans="2:3" x14ac:dyDescent="0.25">
      <c r="B1268" s="216">
        <v>44130</v>
      </c>
      <c r="C1268" s="122">
        <v>40145.5</v>
      </c>
    </row>
    <row r="1269" spans="2:3" x14ac:dyDescent="0.25">
      <c r="B1269" s="216">
        <v>44131</v>
      </c>
      <c r="C1269" s="122">
        <v>40522.1</v>
      </c>
    </row>
    <row r="1270" spans="2:3" x14ac:dyDescent="0.25">
      <c r="B1270" s="216">
        <v>44132</v>
      </c>
      <c r="C1270" s="122">
        <v>39922.46</v>
      </c>
    </row>
    <row r="1271" spans="2:3" x14ac:dyDescent="0.25">
      <c r="B1271" s="216">
        <v>44133</v>
      </c>
      <c r="C1271" s="122">
        <v>39749.85</v>
      </c>
    </row>
    <row r="1272" spans="2:3" x14ac:dyDescent="0.25">
      <c r="B1272" s="216">
        <v>44134</v>
      </c>
      <c r="C1272" s="122">
        <v>39614.07</v>
      </c>
    </row>
    <row r="1273" spans="2:3" x14ac:dyDescent="0.25">
      <c r="B1273" s="216">
        <v>44137</v>
      </c>
      <c r="C1273" s="122">
        <v>39757.58</v>
      </c>
    </row>
    <row r="1274" spans="2:3" x14ac:dyDescent="0.25">
      <c r="B1274" s="216">
        <v>44138</v>
      </c>
      <c r="C1274" s="122">
        <v>40261.129999999997</v>
      </c>
    </row>
    <row r="1275" spans="2:3" x14ac:dyDescent="0.25">
      <c r="B1275" s="216">
        <v>44139</v>
      </c>
      <c r="C1275" s="122">
        <v>40616.14</v>
      </c>
    </row>
    <row r="1276" spans="2:3" x14ac:dyDescent="0.25">
      <c r="B1276" s="216">
        <v>44140</v>
      </c>
      <c r="C1276" s="122">
        <v>41340.160000000003</v>
      </c>
    </row>
    <row r="1277" spans="2:3" x14ac:dyDescent="0.25">
      <c r="B1277" s="216">
        <v>44141</v>
      </c>
      <c r="C1277" s="122">
        <v>41893.06</v>
      </c>
    </row>
    <row r="1278" spans="2:3" x14ac:dyDescent="0.25">
      <c r="B1278" s="216">
        <v>44144</v>
      </c>
      <c r="C1278" s="122">
        <v>42597.43</v>
      </c>
    </row>
    <row r="1279" spans="2:3" x14ac:dyDescent="0.25">
      <c r="B1279" s="216">
        <v>44145</v>
      </c>
      <c r="C1279" s="122">
        <v>43277.65</v>
      </c>
    </row>
    <row r="1280" spans="2:3" x14ac:dyDescent="0.25">
      <c r="B1280" s="216">
        <v>44146</v>
      </c>
      <c r="C1280" s="122">
        <v>43593.67</v>
      </c>
    </row>
    <row r="1281" spans="2:3" x14ac:dyDescent="0.25">
      <c r="B1281" s="216">
        <v>44147</v>
      </c>
      <c r="C1281" s="122">
        <v>43357.19</v>
      </c>
    </row>
    <row r="1282" spans="2:3" x14ac:dyDescent="0.25">
      <c r="B1282" s="216">
        <v>44148</v>
      </c>
      <c r="C1282" s="122">
        <v>43443</v>
      </c>
    </row>
    <row r="1283" spans="2:3" x14ac:dyDescent="0.25">
      <c r="B1283" s="216">
        <v>44149</v>
      </c>
      <c r="C1283" s="122">
        <v>43637.98</v>
      </c>
    </row>
    <row r="1284" spans="2:3" x14ac:dyDescent="0.25">
      <c r="B1284" s="216">
        <v>44152</v>
      </c>
      <c r="C1284" s="122">
        <v>43952.71</v>
      </c>
    </row>
    <row r="1285" spans="2:3" x14ac:dyDescent="0.25">
      <c r="B1285" s="216">
        <v>44153</v>
      </c>
      <c r="C1285" s="122">
        <v>44180.05</v>
      </c>
    </row>
    <row r="1286" spans="2:3" x14ac:dyDescent="0.25">
      <c r="B1286" s="216">
        <v>44154</v>
      </c>
      <c r="C1286" s="122">
        <v>43599.96</v>
      </c>
    </row>
    <row r="1287" spans="2:3" x14ac:dyDescent="0.25">
      <c r="B1287" s="216">
        <v>44155</v>
      </c>
      <c r="C1287" s="122">
        <v>43882.25</v>
      </c>
    </row>
    <row r="1288" spans="2:3" x14ac:dyDescent="0.25">
      <c r="B1288" s="216">
        <v>44158</v>
      </c>
      <c r="C1288" s="122">
        <v>44077.15</v>
      </c>
    </row>
    <row r="1289" spans="2:3" x14ac:dyDescent="0.25">
      <c r="B1289" s="216">
        <v>44159</v>
      </c>
      <c r="C1289" s="122">
        <v>44523.02</v>
      </c>
    </row>
    <row r="1290" spans="2:3" x14ac:dyDescent="0.25">
      <c r="B1290" s="216">
        <v>44160</v>
      </c>
      <c r="C1290" s="122">
        <v>43828.1</v>
      </c>
    </row>
    <row r="1291" spans="2:3" x14ac:dyDescent="0.25">
      <c r="B1291" s="216">
        <v>44161</v>
      </c>
      <c r="C1291" s="122">
        <v>44259.74</v>
      </c>
    </row>
    <row r="1292" spans="2:3" x14ac:dyDescent="0.25">
      <c r="B1292" s="216">
        <v>44162</v>
      </c>
      <c r="C1292" s="122">
        <v>44149.72</v>
      </c>
    </row>
    <row r="1293" spans="2:3" x14ac:dyDescent="0.25">
      <c r="B1293" s="216">
        <v>44166</v>
      </c>
      <c r="C1293" s="122">
        <v>44655.44</v>
      </c>
    </row>
    <row r="1294" spans="2:3" x14ac:dyDescent="0.25">
      <c r="B1294" s="216">
        <v>44167</v>
      </c>
      <c r="C1294" s="122">
        <v>44618.04</v>
      </c>
    </row>
    <row r="1295" spans="2:3" x14ac:dyDescent="0.25">
      <c r="B1295" s="216">
        <v>44168</v>
      </c>
      <c r="C1295" s="122">
        <v>44632.65</v>
      </c>
    </row>
    <row r="1296" spans="2:3" x14ac:dyDescent="0.25">
      <c r="B1296" s="216">
        <v>44169</v>
      </c>
      <c r="C1296" s="122">
        <v>45079.55</v>
      </c>
    </row>
    <row r="1297" spans="2:3" x14ac:dyDescent="0.25">
      <c r="B1297" s="216">
        <v>44172</v>
      </c>
      <c r="C1297" s="122">
        <v>45426.97</v>
      </c>
    </row>
    <row r="1298" spans="2:3" x14ac:dyDescent="0.25">
      <c r="B1298" s="216">
        <v>44173</v>
      </c>
      <c r="C1298" s="122">
        <v>45608.51</v>
      </c>
    </row>
    <row r="1299" spans="2:3" x14ac:dyDescent="0.25">
      <c r="B1299" s="216">
        <v>44174</v>
      </c>
      <c r="C1299" s="122">
        <v>46103.5</v>
      </c>
    </row>
    <row r="1300" spans="2:3" x14ac:dyDescent="0.25">
      <c r="B1300" s="216">
        <v>44175</v>
      </c>
      <c r="C1300" s="122">
        <v>45959.88</v>
      </c>
    </row>
    <row r="1301" spans="2:3" x14ac:dyDescent="0.25">
      <c r="B1301" s="216">
        <v>44176</v>
      </c>
      <c r="C1301" s="122">
        <v>46099.01</v>
      </c>
    </row>
    <row r="1302" spans="2:3" x14ac:dyDescent="0.25">
      <c r="B1302" s="216">
        <v>44179</v>
      </c>
      <c r="C1302" s="122">
        <v>46253.46</v>
      </c>
    </row>
    <row r="1303" spans="2:3" x14ac:dyDescent="0.25">
      <c r="B1303" s="216">
        <v>44180</v>
      </c>
      <c r="C1303" s="122">
        <v>46263.17</v>
      </c>
    </row>
    <row r="1304" spans="2:3" x14ac:dyDescent="0.25">
      <c r="B1304" s="216">
        <v>44181</v>
      </c>
      <c r="C1304" s="122">
        <v>46666.46</v>
      </c>
    </row>
    <row r="1305" spans="2:3" x14ac:dyDescent="0.25">
      <c r="B1305" s="216">
        <v>44182</v>
      </c>
      <c r="C1305" s="122">
        <v>46890.34</v>
      </c>
    </row>
    <row r="1306" spans="2:3" x14ac:dyDescent="0.25">
      <c r="B1306" s="216">
        <v>44183</v>
      </c>
      <c r="C1306" s="122">
        <v>46960.69</v>
      </c>
    </row>
    <row r="1307" spans="2:3" x14ac:dyDescent="0.25">
      <c r="B1307" s="216">
        <v>44186</v>
      </c>
      <c r="C1307" s="122">
        <v>45553.96</v>
      </c>
    </row>
    <row r="1308" spans="2:3" x14ac:dyDescent="0.25">
      <c r="B1308" s="216">
        <v>44187</v>
      </c>
      <c r="C1308" s="122">
        <v>46006.69</v>
      </c>
    </row>
    <row r="1309" spans="2:3" x14ac:dyDescent="0.25">
      <c r="B1309" s="216">
        <v>44188</v>
      </c>
      <c r="C1309" s="122">
        <v>46444.18</v>
      </c>
    </row>
    <row r="1310" spans="2:3" x14ac:dyDescent="0.25">
      <c r="B1310" s="216">
        <v>44189</v>
      </c>
      <c r="C1310" s="122">
        <v>46973.54</v>
      </c>
    </row>
    <row r="1311" spans="2:3" x14ac:dyDescent="0.25">
      <c r="B1311" s="216">
        <v>44193</v>
      </c>
      <c r="C1311" s="122">
        <v>47353.75</v>
      </c>
    </row>
    <row r="1312" spans="2:3" x14ac:dyDescent="0.25">
      <c r="B1312" s="216">
        <v>44194</v>
      </c>
      <c r="C1312" s="122">
        <v>47613.08</v>
      </c>
    </row>
    <row r="1313" spans="2:3" x14ac:dyDescent="0.25">
      <c r="B1313" s="216">
        <v>44195</v>
      </c>
      <c r="C1313" s="122">
        <v>47746.22</v>
      </c>
    </row>
    <row r="1314" spans="2:3" x14ac:dyDescent="0.25">
      <c r="B1314" s="216">
        <v>44196</v>
      </c>
      <c r="C1314" s="122">
        <v>47751.33</v>
      </c>
    </row>
    <row r="1315" spans="2:3" x14ac:dyDescent="0.25">
      <c r="B1315" s="216">
        <v>44197</v>
      </c>
      <c r="C1315" s="122">
        <v>47868.98</v>
      </c>
    </row>
    <row r="1316" spans="2:3" x14ac:dyDescent="0.25">
      <c r="B1316" s="216">
        <v>44200</v>
      </c>
      <c r="C1316" s="122">
        <v>48176.800000000003</v>
      </c>
    </row>
    <row r="1317" spans="2:3" x14ac:dyDescent="0.25">
      <c r="B1317" s="216">
        <v>44201</v>
      </c>
      <c r="C1317" s="122">
        <v>48437.78</v>
      </c>
    </row>
    <row r="1318" spans="2:3" x14ac:dyDescent="0.25">
      <c r="B1318" s="216">
        <v>44202</v>
      </c>
      <c r="C1318" s="122">
        <v>48174.06</v>
      </c>
    </row>
    <row r="1319" spans="2:3" x14ac:dyDescent="0.25">
      <c r="B1319" s="216">
        <v>44203</v>
      </c>
      <c r="C1319" s="122">
        <v>48093.32</v>
      </c>
    </row>
    <row r="1320" spans="2:3" x14ac:dyDescent="0.25">
      <c r="B1320" s="216">
        <v>44204</v>
      </c>
      <c r="C1320" s="122">
        <v>48782.51</v>
      </c>
    </row>
    <row r="1321" spans="2:3" x14ac:dyDescent="0.25">
      <c r="B1321" s="216">
        <v>44207</v>
      </c>
      <c r="C1321" s="122">
        <v>49269.32</v>
      </c>
    </row>
    <row r="1322" spans="2:3" x14ac:dyDescent="0.25">
      <c r="B1322" s="216">
        <v>44208</v>
      </c>
      <c r="C1322" s="122">
        <v>49517.11</v>
      </c>
    </row>
    <row r="1323" spans="2:3" x14ac:dyDescent="0.25">
      <c r="B1323" s="216">
        <v>44209</v>
      </c>
      <c r="C1323" s="122">
        <v>49492.32</v>
      </c>
    </row>
    <row r="1324" spans="2:3" x14ac:dyDescent="0.25">
      <c r="B1324" s="216">
        <v>44210</v>
      </c>
      <c r="C1324" s="122">
        <v>49584.160000000003</v>
      </c>
    </row>
    <row r="1325" spans="2:3" x14ac:dyDescent="0.25">
      <c r="B1325" s="216">
        <v>44211</v>
      </c>
      <c r="C1325" s="122">
        <v>49034.67</v>
      </c>
    </row>
    <row r="1326" spans="2:3" x14ac:dyDescent="0.25">
      <c r="B1326" s="216">
        <v>44214</v>
      </c>
      <c r="C1326" s="122">
        <v>48564.27</v>
      </c>
    </row>
    <row r="1327" spans="2:3" x14ac:dyDescent="0.25">
      <c r="B1327" s="216">
        <v>44215</v>
      </c>
      <c r="C1327" s="122">
        <v>49398.29</v>
      </c>
    </row>
    <row r="1328" spans="2:3" x14ac:dyDescent="0.25">
      <c r="B1328" s="216">
        <v>44216</v>
      </c>
      <c r="C1328" s="122">
        <v>49792.12</v>
      </c>
    </row>
    <row r="1329" spans="2:3" x14ac:dyDescent="0.25">
      <c r="B1329" s="216">
        <v>44217</v>
      </c>
      <c r="C1329" s="122">
        <v>49624.76</v>
      </c>
    </row>
    <row r="1330" spans="2:3" x14ac:dyDescent="0.25">
      <c r="B1330" s="216">
        <v>44218</v>
      </c>
      <c r="C1330" s="122">
        <v>48878.54</v>
      </c>
    </row>
    <row r="1331" spans="2:3" x14ac:dyDescent="0.25">
      <c r="B1331" s="216">
        <v>44221</v>
      </c>
      <c r="C1331" s="122">
        <v>48347.59</v>
      </c>
    </row>
    <row r="1332" spans="2:3" x14ac:dyDescent="0.25">
      <c r="B1332" s="216">
        <v>44223</v>
      </c>
      <c r="C1332" s="122">
        <v>47409.93</v>
      </c>
    </row>
    <row r="1333" spans="2:3" x14ac:dyDescent="0.25">
      <c r="B1333" s="216">
        <v>44224</v>
      </c>
      <c r="C1333" s="122">
        <v>46874.36</v>
      </c>
    </row>
    <row r="1334" spans="2:3" x14ac:dyDescent="0.25">
      <c r="B1334" s="216">
        <v>44225</v>
      </c>
      <c r="C1334" s="122">
        <v>46285.77</v>
      </c>
    </row>
    <row r="1335" spans="2:3" x14ac:dyDescent="0.25">
      <c r="B1335" s="216">
        <v>44228</v>
      </c>
      <c r="C1335" s="122">
        <v>48600.61</v>
      </c>
    </row>
    <row r="1336" spans="2:3" x14ac:dyDescent="0.25">
      <c r="B1336" s="216">
        <v>44229</v>
      </c>
      <c r="C1336" s="122">
        <v>49797.72</v>
      </c>
    </row>
    <row r="1337" spans="2:3" x14ac:dyDescent="0.25">
      <c r="B1337" s="216">
        <v>44230</v>
      </c>
      <c r="C1337" s="122">
        <v>50255.75</v>
      </c>
    </row>
    <row r="1338" spans="2:3" x14ac:dyDescent="0.25">
      <c r="B1338" s="216">
        <v>44231</v>
      </c>
      <c r="C1338" s="122">
        <v>50614.29</v>
      </c>
    </row>
    <row r="1339" spans="2:3" x14ac:dyDescent="0.25">
      <c r="B1339" s="216">
        <v>44232</v>
      </c>
      <c r="C1339" s="122">
        <v>50731.63</v>
      </c>
    </row>
    <row r="1340" spans="2:3" x14ac:dyDescent="0.25">
      <c r="B1340" s="216">
        <v>44235</v>
      </c>
      <c r="C1340" s="122">
        <v>51348.77</v>
      </c>
    </row>
    <row r="1341" spans="2:3" x14ac:dyDescent="0.25">
      <c r="B1341" s="216">
        <v>44236</v>
      </c>
      <c r="C1341" s="122">
        <v>51329.08</v>
      </c>
    </row>
    <row r="1342" spans="2:3" x14ac:dyDescent="0.25">
      <c r="B1342" s="216">
        <v>44237</v>
      </c>
      <c r="C1342" s="122">
        <v>51309.39</v>
      </c>
    </row>
    <row r="1343" spans="2:3" x14ac:dyDescent="0.25">
      <c r="B1343" s="216">
        <v>44238</v>
      </c>
      <c r="C1343" s="122">
        <v>51531.519999999997</v>
      </c>
    </row>
    <row r="1344" spans="2:3" x14ac:dyDescent="0.25">
      <c r="B1344" s="216">
        <v>44239</v>
      </c>
      <c r="C1344" s="122">
        <v>51544.3</v>
      </c>
    </row>
    <row r="1345" spans="2:3" x14ac:dyDescent="0.25">
      <c r="B1345" s="216">
        <v>44242</v>
      </c>
      <c r="C1345" s="122">
        <v>52154.13</v>
      </c>
    </row>
    <row r="1346" spans="2:3" x14ac:dyDescent="0.25">
      <c r="B1346" s="216">
        <v>44243</v>
      </c>
      <c r="C1346" s="122">
        <v>52104.17</v>
      </c>
    </row>
    <row r="1347" spans="2:3" x14ac:dyDescent="0.25">
      <c r="B1347" s="216">
        <v>44244</v>
      </c>
      <c r="C1347" s="122">
        <v>51703.83</v>
      </c>
    </row>
    <row r="1348" spans="2:3" x14ac:dyDescent="0.25">
      <c r="B1348" s="216">
        <v>44245</v>
      </c>
      <c r="C1348" s="122">
        <v>51324.69</v>
      </c>
    </row>
    <row r="1349" spans="2:3" x14ac:dyDescent="0.25">
      <c r="B1349" s="216">
        <v>44246</v>
      </c>
      <c r="C1349" s="122">
        <v>50889.760000000002</v>
      </c>
    </row>
    <row r="1350" spans="2:3" x14ac:dyDescent="0.25">
      <c r="B1350" s="216">
        <v>44249</v>
      </c>
      <c r="C1350" s="122">
        <v>49744.32</v>
      </c>
    </row>
    <row r="1351" spans="2:3" x14ac:dyDescent="0.25">
      <c r="B1351" s="216">
        <v>44250</v>
      </c>
      <c r="C1351" s="122">
        <v>49751.41</v>
      </c>
    </row>
    <row r="1352" spans="2:3" x14ac:dyDescent="0.25">
      <c r="B1352" s="216">
        <v>44251</v>
      </c>
      <c r="C1352" s="122">
        <v>50781.69</v>
      </c>
    </row>
    <row r="1353" spans="2:3" x14ac:dyDescent="0.25">
      <c r="B1353" s="216">
        <v>44252</v>
      </c>
      <c r="C1353" s="122">
        <v>51039.31</v>
      </c>
    </row>
    <row r="1354" spans="2:3" x14ac:dyDescent="0.25">
      <c r="B1354" s="216">
        <v>44253</v>
      </c>
      <c r="C1354" s="122">
        <v>49099.99</v>
      </c>
    </row>
    <row r="1355" spans="2:3" x14ac:dyDescent="0.25">
      <c r="B1355" s="216">
        <v>44256</v>
      </c>
      <c r="C1355" s="122">
        <v>49849.84</v>
      </c>
    </row>
    <row r="1356" spans="2:3" x14ac:dyDescent="0.25">
      <c r="B1356" s="216">
        <v>44257</v>
      </c>
      <c r="C1356" s="122">
        <v>50296.89</v>
      </c>
    </row>
    <row r="1357" spans="2:3" x14ac:dyDescent="0.25">
      <c r="B1357" s="216">
        <v>44258</v>
      </c>
      <c r="C1357" s="122">
        <v>51444.65</v>
      </c>
    </row>
    <row r="1358" spans="2:3" x14ac:dyDescent="0.25">
      <c r="B1358" s="216">
        <v>44259</v>
      </c>
      <c r="C1358" s="122">
        <v>50846.080000000002</v>
      </c>
    </row>
    <row r="1359" spans="2:3" x14ac:dyDescent="0.25">
      <c r="B1359" s="216">
        <v>44260</v>
      </c>
      <c r="C1359" s="122">
        <v>50405.32</v>
      </c>
    </row>
    <row r="1360" spans="2:3" x14ac:dyDescent="0.25">
      <c r="B1360" s="216">
        <v>44263</v>
      </c>
      <c r="C1360" s="122">
        <v>50441.07</v>
      </c>
    </row>
    <row r="1361" spans="2:3" x14ac:dyDescent="0.25">
      <c r="B1361" s="216">
        <v>44264</v>
      </c>
      <c r="C1361" s="122">
        <v>51025.48</v>
      </c>
    </row>
    <row r="1362" spans="2:3" x14ac:dyDescent="0.25">
      <c r="B1362" s="216">
        <v>44265</v>
      </c>
      <c r="C1362" s="122">
        <v>51279.51</v>
      </c>
    </row>
    <row r="1363" spans="2:3" x14ac:dyDescent="0.25">
      <c r="B1363" s="216">
        <v>44267</v>
      </c>
      <c r="C1363" s="122">
        <v>50792.08</v>
      </c>
    </row>
    <row r="1364" spans="2:3" x14ac:dyDescent="0.25">
      <c r="B1364" s="216">
        <v>44270</v>
      </c>
      <c r="C1364" s="122">
        <v>50395.08</v>
      </c>
    </row>
    <row r="1365" spans="2:3" x14ac:dyDescent="0.25">
      <c r="B1365" s="216">
        <v>44271</v>
      </c>
      <c r="C1365" s="122">
        <v>50363.96</v>
      </c>
    </row>
    <row r="1366" spans="2:3" x14ac:dyDescent="0.25">
      <c r="B1366" s="216">
        <v>44272</v>
      </c>
      <c r="C1366" s="122">
        <v>49801.62</v>
      </c>
    </row>
    <row r="1367" spans="2:3" x14ac:dyDescent="0.25">
      <c r="B1367" s="216">
        <v>44273</v>
      </c>
      <c r="C1367" s="122">
        <v>49216.52</v>
      </c>
    </row>
    <row r="1368" spans="2:3" x14ac:dyDescent="0.25">
      <c r="B1368" s="216">
        <v>44274</v>
      </c>
      <c r="C1368" s="122">
        <v>49858.239999999998</v>
      </c>
    </row>
    <row r="1369" spans="2:3" x14ac:dyDescent="0.25">
      <c r="B1369" s="216">
        <v>44277</v>
      </c>
      <c r="C1369" s="122">
        <v>49771.29</v>
      </c>
    </row>
    <row r="1370" spans="2:3" x14ac:dyDescent="0.25">
      <c r="B1370" s="216">
        <v>44278</v>
      </c>
      <c r="C1370" s="122">
        <v>50051.44</v>
      </c>
    </row>
    <row r="1371" spans="2:3" x14ac:dyDescent="0.25">
      <c r="B1371" s="216">
        <v>44279</v>
      </c>
      <c r="C1371" s="122">
        <v>49180.31</v>
      </c>
    </row>
    <row r="1372" spans="2:3" x14ac:dyDescent="0.25">
      <c r="B1372" s="216">
        <v>44280</v>
      </c>
      <c r="C1372" s="122">
        <v>48440.12</v>
      </c>
    </row>
    <row r="1373" spans="2:3" x14ac:dyDescent="0.25">
      <c r="B1373" s="216">
        <v>44281</v>
      </c>
      <c r="C1373" s="122">
        <v>49008.5</v>
      </c>
    </row>
    <row r="1374" spans="2:3" x14ac:dyDescent="0.25">
      <c r="B1374" s="216">
        <v>44285</v>
      </c>
      <c r="C1374" s="122">
        <v>50136.58</v>
      </c>
    </row>
    <row r="1375" spans="2:3" x14ac:dyDescent="0.25">
      <c r="B1375" s="216">
        <v>44286</v>
      </c>
      <c r="C1375" s="122">
        <v>49509.15</v>
      </c>
    </row>
    <row r="1376" spans="2:3" x14ac:dyDescent="0.25">
      <c r="B1376" s="216">
        <v>44287</v>
      </c>
      <c r="C1376" s="122">
        <v>50029.83</v>
      </c>
    </row>
    <row r="1377" spans="2:3" x14ac:dyDescent="0.25">
      <c r="B1377" s="216">
        <v>44291</v>
      </c>
      <c r="C1377" s="122">
        <v>49159.32</v>
      </c>
    </row>
    <row r="1378" spans="2:3" x14ac:dyDescent="0.25">
      <c r="B1378" s="216">
        <v>44292</v>
      </c>
      <c r="C1378" s="122">
        <v>49201.39</v>
      </c>
    </row>
    <row r="1379" spans="2:3" x14ac:dyDescent="0.25">
      <c r="B1379" s="216">
        <v>44293</v>
      </c>
      <c r="C1379" s="122">
        <v>49661.760000000002</v>
      </c>
    </row>
    <row r="1380" spans="2:3" x14ac:dyDescent="0.25">
      <c r="B1380" s="216">
        <v>44294</v>
      </c>
      <c r="C1380" s="122">
        <v>49746.21</v>
      </c>
    </row>
    <row r="1381" spans="2:3" x14ac:dyDescent="0.25">
      <c r="B1381" s="216">
        <v>44295</v>
      </c>
      <c r="C1381" s="122">
        <v>49591.32</v>
      </c>
    </row>
    <row r="1382" spans="2:3" x14ac:dyDescent="0.25">
      <c r="B1382" s="216">
        <v>44298</v>
      </c>
      <c r="C1382" s="122">
        <v>47883.38</v>
      </c>
    </row>
    <row r="1383" spans="2:3" x14ac:dyDescent="0.25">
      <c r="B1383" s="216">
        <v>44299</v>
      </c>
      <c r="C1383" s="122">
        <v>48544.06</v>
      </c>
    </row>
    <row r="1384" spans="2:3" x14ac:dyDescent="0.25">
      <c r="B1384" s="216">
        <v>44301</v>
      </c>
      <c r="C1384" s="122">
        <v>48803.68</v>
      </c>
    </row>
    <row r="1385" spans="2:3" x14ac:dyDescent="0.25">
      <c r="B1385" s="216">
        <v>44302</v>
      </c>
      <c r="C1385" s="122">
        <v>48832.03</v>
      </c>
    </row>
    <row r="1386" spans="2:3" x14ac:dyDescent="0.25">
      <c r="B1386" s="216">
        <v>44305</v>
      </c>
      <c r="C1386" s="122">
        <v>47949.42</v>
      </c>
    </row>
    <row r="1387" spans="2:3" x14ac:dyDescent="0.25">
      <c r="B1387" s="216">
        <v>44306</v>
      </c>
      <c r="C1387" s="122">
        <v>47705.8</v>
      </c>
    </row>
    <row r="1388" spans="2:3" x14ac:dyDescent="0.25">
      <c r="B1388" s="216">
        <v>44308</v>
      </c>
      <c r="C1388" s="122">
        <v>48080.67</v>
      </c>
    </row>
    <row r="1389" spans="2:3" x14ac:dyDescent="0.25">
      <c r="B1389" s="216">
        <v>44309</v>
      </c>
      <c r="C1389" s="122">
        <v>47878.45</v>
      </c>
    </row>
    <row r="1390" spans="2:3" x14ac:dyDescent="0.25">
      <c r="B1390" s="216">
        <v>44312</v>
      </c>
      <c r="C1390" s="122">
        <v>48386.51</v>
      </c>
    </row>
    <row r="1391" spans="2:3" x14ac:dyDescent="0.25">
      <c r="B1391" s="216">
        <v>44313</v>
      </c>
      <c r="C1391" s="122">
        <v>48944.14</v>
      </c>
    </row>
    <row r="1392" spans="2:3" x14ac:dyDescent="0.25">
      <c r="B1392" s="216">
        <v>44314</v>
      </c>
      <c r="C1392" s="122">
        <v>49733.84</v>
      </c>
    </row>
    <row r="1393" spans="2:3" x14ac:dyDescent="0.25">
      <c r="B1393" s="216">
        <v>44315</v>
      </c>
      <c r="C1393" s="122">
        <v>49765.94</v>
      </c>
    </row>
    <row r="1394" spans="2:3" x14ac:dyDescent="0.25">
      <c r="B1394" s="216">
        <v>44316</v>
      </c>
      <c r="C1394" s="122">
        <v>48782.36</v>
      </c>
    </row>
    <row r="1395" spans="2:3" x14ac:dyDescent="0.25">
      <c r="B1395" s="216">
        <v>44319</v>
      </c>
      <c r="C1395" s="122">
        <v>48718.52</v>
      </c>
    </row>
    <row r="1396" spans="2:3" x14ac:dyDescent="0.25">
      <c r="B1396" s="216">
        <v>44320</v>
      </c>
      <c r="C1396" s="122">
        <v>48253.51</v>
      </c>
    </row>
    <row r="1397" spans="2:3" x14ac:dyDescent="0.25">
      <c r="B1397" s="216">
        <v>44321</v>
      </c>
      <c r="C1397" s="122">
        <v>48677.55</v>
      </c>
    </row>
    <row r="1398" spans="2:3" x14ac:dyDescent="0.25">
      <c r="B1398" s="216">
        <v>44322</v>
      </c>
      <c r="C1398" s="122">
        <v>48949.760000000002</v>
      </c>
    </row>
    <row r="1399" spans="2:3" x14ac:dyDescent="0.25">
      <c r="B1399" s="216">
        <v>44323</v>
      </c>
      <c r="C1399" s="122">
        <v>49206.47</v>
      </c>
    </row>
    <row r="1400" spans="2:3" x14ac:dyDescent="0.25">
      <c r="B1400" s="216">
        <v>44326</v>
      </c>
      <c r="C1400" s="122">
        <v>49502.41</v>
      </c>
    </row>
    <row r="1401" spans="2:3" x14ac:dyDescent="0.25">
      <c r="B1401" s="216">
        <v>44327</v>
      </c>
      <c r="C1401" s="122">
        <v>49161.81</v>
      </c>
    </row>
    <row r="1402" spans="2:3" x14ac:dyDescent="0.25">
      <c r="B1402" s="216">
        <v>44328</v>
      </c>
      <c r="C1402" s="122">
        <v>48690.8</v>
      </c>
    </row>
    <row r="1403" spans="2:3" x14ac:dyDescent="0.25">
      <c r="B1403" s="216">
        <v>44330</v>
      </c>
      <c r="C1403" s="122">
        <v>48732.55</v>
      </c>
    </row>
    <row r="1404" spans="2:3" x14ac:dyDescent="0.25">
      <c r="B1404" s="216">
        <v>44333</v>
      </c>
      <c r="C1404" s="122">
        <v>49580.73</v>
      </c>
    </row>
    <row r="1405" spans="2:3" x14ac:dyDescent="0.25">
      <c r="B1405" s="216">
        <v>44334</v>
      </c>
      <c r="C1405" s="122">
        <v>50193.33</v>
      </c>
    </row>
    <row r="1406" spans="2:3" x14ac:dyDescent="0.25">
      <c r="B1406" s="216">
        <v>44335</v>
      </c>
      <c r="C1406" s="122">
        <v>49902.64</v>
      </c>
    </row>
    <row r="1407" spans="2:3" x14ac:dyDescent="0.25">
      <c r="B1407" s="216">
        <v>44336</v>
      </c>
      <c r="C1407" s="122">
        <v>49564.86</v>
      </c>
    </row>
    <row r="1408" spans="2:3" x14ac:dyDescent="0.25">
      <c r="B1408" s="216">
        <v>44337</v>
      </c>
      <c r="C1408" s="122">
        <v>50540.480000000003</v>
      </c>
    </row>
    <row r="1409" spans="2:3" x14ac:dyDescent="0.25">
      <c r="B1409" s="216">
        <v>44340</v>
      </c>
      <c r="C1409" s="122">
        <v>50651.9</v>
      </c>
    </row>
    <row r="1410" spans="2:3" x14ac:dyDescent="0.25">
      <c r="B1410" s="216">
        <v>44341</v>
      </c>
      <c r="C1410" s="122">
        <v>50637.53</v>
      </c>
    </row>
    <row r="1411" spans="2:3" x14ac:dyDescent="0.25">
      <c r="B1411" s="216">
        <v>44342</v>
      </c>
      <c r="C1411" s="122">
        <v>51017.52</v>
      </c>
    </row>
    <row r="1412" spans="2:3" x14ac:dyDescent="0.25">
      <c r="B1412" s="216">
        <v>44343</v>
      </c>
      <c r="C1412" s="122">
        <v>51115.22</v>
      </c>
    </row>
    <row r="1413" spans="2:3" x14ac:dyDescent="0.25">
      <c r="B1413" s="216">
        <v>44344</v>
      </c>
      <c r="C1413" s="122">
        <v>51422.879999999997</v>
      </c>
    </row>
    <row r="1414" spans="2:3" x14ac:dyDescent="0.25">
      <c r="B1414" s="216">
        <v>44347</v>
      </c>
      <c r="C1414" s="122">
        <v>51937.440000000002</v>
      </c>
    </row>
    <row r="1415" spans="2:3" x14ac:dyDescent="0.25">
      <c r="B1415" s="216">
        <v>44348</v>
      </c>
      <c r="C1415" s="122">
        <v>51934.879999999997</v>
      </c>
    </row>
    <row r="1416" spans="2:3" x14ac:dyDescent="0.25">
      <c r="B1416" s="216">
        <v>44349</v>
      </c>
      <c r="C1416" s="122">
        <v>51849.48</v>
      </c>
    </row>
    <row r="1417" spans="2:3" x14ac:dyDescent="0.25">
      <c r="B1417" s="216">
        <v>44350</v>
      </c>
      <c r="C1417" s="122">
        <v>52232.43</v>
      </c>
    </row>
    <row r="1418" spans="2:3" x14ac:dyDescent="0.25">
      <c r="B1418" s="216">
        <v>44351</v>
      </c>
      <c r="C1418" s="122">
        <v>52100.05</v>
      </c>
    </row>
    <row r="1419" spans="2:3" x14ac:dyDescent="0.25">
      <c r="B1419" s="216">
        <v>44354</v>
      </c>
      <c r="C1419" s="122">
        <v>52328.51</v>
      </c>
    </row>
    <row r="1420" spans="2:3" x14ac:dyDescent="0.25">
      <c r="B1420" s="216">
        <v>44355</v>
      </c>
      <c r="C1420" s="122">
        <v>52275.57</v>
      </c>
    </row>
    <row r="1421" spans="2:3" x14ac:dyDescent="0.25">
      <c r="B1421" s="216">
        <v>44356</v>
      </c>
      <c r="C1421" s="122">
        <v>51941.64</v>
      </c>
    </row>
    <row r="1422" spans="2:3" x14ac:dyDescent="0.25">
      <c r="B1422" s="216">
        <v>44357</v>
      </c>
      <c r="C1422" s="122">
        <v>52300.47</v>
      </c>
    </row>
    <row r="1423" spans="2:3" x14ac:dyDescent="0.25">
      <c r="B1423" s="216">
        <v>44358</v>
      </c>
      <c r="C1423" s="122">
        <v>52474.76</v>
      </c>
    </row>
    <row r="1424" spans="2:3" x14ac:dyDescent="0.25">
      <c r="B1424" s="216">
        <v>44361</v>
      </c>
      <c r="C1424" s="122">
        <v>52551.53</v>
      </c>
    </row>
    <row r="1425" spans="2:3" x14ac:dyDescent="0.25">
      <c r="B1425" s="216">
        <v>44362</v>
      </c>
      <c r="C1425" s="122">
        <v>52773.05</v>
      </c>
    </row>
    <row r="1426" spans="2:3" x14ac:dyDescent="0.25">
      <c r="B1426" s="216">
        <v>44363</v>
      </c>
      <c r="C1426" s="122">
        <v>52501.98</v>
      </c>
    </row>
    <row r="1427" spans="2:3" x14ac:dyDescent="0.25">
      <c r="B1427" s="216">
        <v>44364</v>
      </c>
      <c r="C1427" s="122">
        <v>52323.33</v>
      </c>
    </row>
    <row r="1428" spans="2:3" x14ac:dyDescent="0.25">
      <c r="B1428" s="216">
        <v>44365</v>
      </c>
      <c r="C1428" s="122">
        <v>52344.45</v>
      </c>
    </row>
    <row r="1429" spans="2:3" x14ac:dyDescent="0.25">
      <c r="B1429" s="216">
        <v>44368</v>
      </c>
      <c r="C1429" s="122">
        <v>52574.46</v>
      </c>
    </row>
    <row r="1430" spans="2:3" x14ac:dyDescent="0.25">
      <c r="B1430" s="216">
        <v>44369</v>
      </c>
      <c r="C1430" s="122">
        <v>52588.71</v>
      </c>
    </row>
    <row r="1431" spans="2:3" x14ac:dyDescent="0.25">
      <c r="B1431" s="216">
        <v>44370</v>
      </c>
      <c r="C1431" s="122">
        <v>52306.080000000002</v>
      </c>
    </row>
    <row r="1432" spans="2:3" x14ac:dyDescent="0.25">
      <c r="B1432" s="216">
        <v>44371</v>
      </c>
      <c r="C1432" s="122">
        <v>52699</v>
      </c>
    </row>
    <row r="1433" spans="2:3" x14ac:dyDescent="0.25">
      <c r="B1433" s="216">
        <v>44372</v>
      </c>
      <c r="C1433" s="122">
        <v>52925.04</v>
      </c>
    </row>
    <row r="1434" spans="2:3" x14ac:dyDescent="0.25">
      <c r="B1434" s="216">
        <v>44375</v>
      </c>
      <c r="C1434" s="122">
        <v>52735.59</v>
      </c>
    </row>
    <row r="1435" spans="2:3" x14ac:dyDescent="0.25">
      <c r="B1435" s="216">
        <v>44376</v>
      </c>
      <c r="C1435" s="122">
        <v>52549.66</v>
      </c>
    </row>
    <row r="1436" spans="2:3" x14ac:dyDescent="0.25">
      <c r="B1436" s="216">
        <v>44377</v>
      </c>
      <c r="C1436" s="122">
        <v>52482.71</v>
      </c>
    </row>
    <row r="1437" spans="2:3" x14ac:dyDescent="0.25">
      <c r="B1437" s="216">
        <v>44378</v>
      </c>
      <c r="C1437" s="122">
        <v>52318.6</v>
      </c>
    </row>
    <row r="1438" spans="2:3" x14ac:dyDescent="0.25">
      <c r="B1438" s="216">
        <v>44379</v>
      </c>
      <c r="C1438" s="122">
        <v>52484.67</v>
      </c>
    </row>
    <row r="1439" spans="2:3" x14ac:dyDescent="0.25">
      <c r="B1439" s="216">
        <v>44382</v>
      </c>
      <c r="C1439" s="122">
        <v>52880</v>
      </c>
    </row>
    <row r="1440" spans="2:3" x14ac:dyDescent="0.25">
      <c r="B1440" s="216">
        <v>44383</v>
      </c>
      <c r="C1440" s="122">
        <v>52861.18</v>
      </c>
    </row>
    <row r="1441" spans="2:3" x14ac:dyDescent="0.25">
      <c r="B1441" s="216">
        <v>44384</v>
      </c>
      <c r="C1441" s="122">
        <v>53054.76</v>
      </c>
    </row>
    <row r="1442" spans="2:3" x14ac:dyDescent="0.25">
      <c r="B1442" s="216">
        <v>44385</v>
      </c>
      <c r="C1442" s="122">
        <v>52568.94</v>
      </c>
    </row>
    <row r="1443" spans="2:3" x14ac:dyDescent="0.25">
      <c r="B1443" s="216">
        <v>44386</v>
      </c>
      <c r="C1443" s="122">
        <v>52386.19</v>
      </c>
    </row>
    <row r="1444" spans="2:3" x14ac:dyDescent="0.25">
      <c r="B1444" s="216">
        <v>44389</v>
      </c>
      <c r="C1444" s="122">
        <v>52372.69</v>
      </c>
    </row>
    <row r="1445" spans="2:3" x14ac:dyDescent="0.25">
      <c r="B1445" s="216">
        <v>44390</v>
      </c>
      <c r="C1445" s="122">
        <v>52769.73</v>
      </c>
    </row>
    <row r="1446" spans="2:3" x14ac:dyDescent="0.25">
      <c r="B1446" s="216">
        <v>44391</v>
      </c>
      <c r="C1446" s="122">
        <v>52904.05</v>
      </c>
    </row>
    <row r="1447" spans="2:3" x14ac:dyDescent="0.25">
      <c r="B1447" s="216">
        <v>44392</v>
      </c>
      <c r="C1447" s="122">
        <v>53158.85</v>
      </c>
    </row>
    <row r="1448" spans="2:3" x14ac:dyDescent="0.25">
      <c r="B1448" s="216">
        <v>44393</v>
      </c>
      <c r="C1448" s="122">
        <v>53140.06</v>
      </c>
    </row>
    <row r="1449" spans="2:3" x14ac:dyDescent="0.25">
      <c r="B1449" s="216">
        <v>44396</v>
      </c>
      <c r="C1449" s="122">
        <v>52553.4</v>
      </c>
    </row>
    <row r="1450" spans="2:3" x14ac:dyDescent="0.25">
      <c r="B1450" s="216">
        <v>44397</v>
      </c>
      <c r="C1450" s="122">
        <v>52198.51</v>
      </c>
    </row>
    <row r="1451" spans="2:3" x14ac:dyDescent="0.25">
      <c r="B1451" s="216">
        <v>44399</v>
      </c>
      <c r="C1451" s="122">
        <v>52837.21</v>
      </c>
    </row>
    <row r="1452" spans="2:3" x14ac:dyDescent="0.25">
      <c r="B1452" s="216">
        <v>44400</v>
      </c>
      <c r="C1452" s="122">
        <v>52975.8</v>
      </c>
    </row>
    <row r="1453" spans="2:3" x14ac:dyDescent="0.25">
      <c r="B1453" s="216">
        <v>44403</v>
      </c>
      <c r="C1453" s="122">
        <v>52852.27</v>
      </c>
    </row>
    <row r="1454" spans="2:3" x14ac:dyDescent="0.25">
      <c r="B1454" s="216">
        <v>44404</v>
      </c>
      <c r="C1454" s="122">
        <v>52578.76</v>
      </c>
    </row>
    <row r="1455" spans="2:3" x14ac:dyDescent="0.25">
      <c r="B1455" s="216">
        <v>44405</v>
      </c>
      <c r="C1455" s="122">
        <v>52443.71</v>
      </c>
    </row>
    <row r="1456" spans="2:3" x14ac:dyDescent="0.25">
      <c r="B1456" s="216">
        <v>44406</v>
      </c>
      <c r="C1456" s="122">
        <v>52653.07</v>
      </c>
    </row>
    <row r="1457" spans="2:3" x14ac:dyDescent="0.25">
      <c r="B1457" s="216">
        <v>44407</v>
      </c>
      <c r="C1457" s="122">
        <v>52586.84</v>
      </c>
    </row>
    <row r="1458" spans="2:3" x14ac:dyDescent="0.25">
      <c r="B1458" s="216">
        <v>44410</v>
      </c>
      <c r="C1458" s="122">
        <v>52950.63</v>
      </c>
    </row>
    <row r="1459" spans="2:3" x14ac:dyDescent="0.25">
      <c r="B1459" s="216">
        <v>44411</v>
      </c>
      <c r="C1459" s="122">
        <v>53823.360000000001</v>
      </c>
    </row>
    <row r="1460" spans="2:3" x14ac:dyDescent="0.25">
      <c r="B1460" s="216">
        <v>44412</v>
      </c>
      <c r="C1460" s="122">
        <v>54369.77</v>
      </c>
    </row>
    <row r="1461" spans="2:3" x14ac:dyDescent="0.25">
      <c r="B1461" s="216">
        <v>44413</v>
      </c>
      <c r="C1461" s="122">
        <v>54492.84</v>
      </c>
    </row>
    <row r="1462" spans="2:3" x14ac:dyDescent="0.25">
      <c r="B1462" s="216">
        <v>44414</v>
      </c>
      <c r="C1462" s="122">
        <v>54277.72</v>
      </c>
    </row>
    <row r="1463" spans="2:3" x14ac:dyDescent="0.25">
      <c r="B1463" s="216">
        <v>44417</v>
      </c>
      <c r="C1463" s="122">
        <v>54402.85</v>
      </c>
    </row>
    <row r="1464" spans="2:3" x14ac:dyDescent="0.25">
      <c r="B1464" s="216">
        <v>44418</v>
      </c>
      <c r="C1464" s="122">
        <v>54554.66</v>
      </c>
    </row>
    <row r="1465" spans="2:3" x14ac:dyDescent="0.25">
      <c r="B1465" s="216">
        <v>44419</v>
      </c>
      <c r="C1465" s="122">
        <v>54525.93</v>
      </c>
    </row>
    <row r="1466" spans="2:3" x14ac:dyDescent="0.25">
      <c r="B1466" s="216">
        <v>44420</v>
      </c>
      <c r="C1466" s="122">
        <v>54843.98</v>
      </c>
    </row>
    <row r="1467" spans="2:3" x14ac:dyDescent="0.25">
      <c r="B1467" s="216">
        <v>44421</v>
      </c>
      <c r="C1467" s="122">
        <v>55437.29</v>
      </c>
    </row>
    <row r="1468" spans="2:3" x14ac:dyDescent="0.25">
      <c r="B1468" s="216">
        <v>44424</v>
      </c>
      <c r="C1468" s="122">
        <v>55582.58</v>
      </c>
    </row>
    <row r="1469" spans="2:3" x14ac:dyDescent="0.25">
      <c r="B1469" s="216">
        <v>44425</v>
      </c>
      <c r="C1469" s="122">
        <v>55792.27</v>
      </c>
    </row>
    <row r="1470" spans="2:3" x14ac:dyDescent="0.25">
      <c r="B1470" s="216">
        <v>44426</v>
      </c>
      <c r="C1470" s="122">
        <v>55629.49</v>
      </c>
    </row>
    <row r="1471" spans="2:3" x14ac:dyDescent="0.25">
      <c r="B1471" s="216">
        <v>44428</v>
      </c>
      <c r="C1471" s="122">
        <v>55329.32</v>
      </c>
    </row>
    <row r="1472" spans="2:3" x14ac:dyDescent="0.25">
      <c r="B1472" s="216">
        <v>44431</v>
      </c>
      <c r="C1472" s="122">
        <v>55555.79</v>
      </c>
    </row>
    <row r="1473" spans="2:3" x14ac:dyDescent="0.25">
      <c r="B1473" s="216">
        <v>44432</v>
      </c>
      <c r="C1473" s="122">
        <v>55958.98</v>
      </c>
    </row>
    <row r="1474" spans="2:3" x14ac:dyDescent="0.25">
      <c r="B1474" s="216">
        <v>44433</v>
      </c>
      <c r="C1474" s="122">
        <v>55944.21</v>
      </c>
    </row>
    <row r="1475" spans="2:3" x14ac:dyDescent="0.25">
      <c r="B1475" s="216">
        <v>44434</v>
      </c>
      <c r="C1475" s="122">
        <v>55949.1</v>
      </c>
    </row>
    <row r="1476" spans="2:3" x14ac:dyDescent="0.25">
      <c r="B1476" s="216">
        <v>44435</v>
      </c>
      <c r="C1476" s="122">
        <v>56124.72</v>
      </c>
    </row>
    <row r="1477" spans="2:3" x14ac:dyDescent="0.25">
      <c r="B1477" s="216">
        <v>44438</v>
      </c>
      <c r="C1477" s="122">
        <v>56889.760000000002</v>
      </c>
    </row>
    <row r="1478" spans="2:3" x14ac:dyDescent="0.25">
      <c r="B1478" s="216">
        <v>44439</v>
      </c>
      <c r="C1478" s="122">
        <v>57552.39</v>
      </c>
    </row>
    <row r="1479" spans="2:3" x14ac:dyDescent="0.25">
      <c r="B1479" s="216">
        <v>44440</v>
      </c>
      <c r="C1479" s="122">
        <v>57338.21</v>
      </c>
    </row>
    <row r="1480" spans="2:3" x14ac:dyDescent="0.25">
      <c r="B1480" s="216">
        <v>44441</v>
      </c>
      <c r="C1480" s="122">
        <v>57852.54</v>
      </c>
    </row>
    <row r="1481" spans="2:3" x14ac:dyDescent="0.25">
      <c r="B1481" s="216">
        <v>44442</v>
      </c>
      <c r="C1481" s="122">
        <v>58129.95</v>
      </c>
    </row>
    <row r="1482" spans="2:3" x14ac:dyDescent="0.25">
      <c r="B1482" s="216">
        <v>44445</v>
      </c>
      <c r="C1482" s="122">
        <v>58296.91</v>
      </c>
    </row>
    <row r="1483" spans="2:3" x14ac:dyDescent="0.25">
      <c r="B1483" s="216">
        <v>44446</v>
      </c>
      <c r="C1483" s="122">
        <v>58279.48</v>
      </c>
    </row>
    <row r="1484" spans="2:3" x14ac:dyDescent="0.25">
      <c r="B1484" s="216">
        <v>44447</v>
      </c>
      <c r="C1484" s="122">
        <v>58250.26</v>
      </c>
    </row>
    <row r="1485" spans="2:3" x14ac:dyDescent="0.25">
      <c r="B1485" s="216">
        <v>44448</v>
      </c>
      <c r="C1485" s="122">
        <v>58305.07</v>
      </c>
    </row>
    <row r="1486" spans="2:3" x14ac:dyDescent="0.25">
      <c r="B1486" s="216">
        <v>44452</v>
      </c>
      <c r="C1486" s="122">
        <v>58177.760000000002</v>
      </c>
    </row>
    <row r="1487" spans="2:3" x14ac:dyDescent="0.25">
      <c r="B1487" s="216">
        <v>44453</v>
      </c>
      <c r="C1487" s="122">
        <v>58247.09</v>
      </c>
    </row>
    <row r="1488" spans="2:3" x14ac:dyDescent="0.25">
      <c r="B1488" s="216">
        <v>44454</v>
      </c>
      <c r="C1488" s="122">
        <v>58723.199999999997</v>
      </c>
    </row>
    <row r="1489" spans="2:3" x14ac:dyDescent="0.25">
      <c r="B1489" s="216">
        <v>44455</v>
      </c>
      <c r="C1489" s="122">
        <v>59141.16</v>
      </c>
    </row>
    <row r="1490" spans="2:3" x14ac:dyDescent="0.25">
      <c r="B1490" s="216">
        <v>44456</v>
      </c>
      <c r="C1490" s="122">
        <v>59015.89</v>
      </c>
    </row>
    <row r="1491" spans="2:3" x14ac:dyDescent="0.25">
      <c r="B1491" s="216">
        <v>44459</v>
      </c>
      <c r="C1491" s="122">
        <v>58490.93</v>
      </c>
    </row>
    <row r="1492" spans="2:3" x14ac:dyDescent="0.25">
      <c r="B1492" s="216">
        <v>44460</v>
      </c>
      <c r="C1492" s="122">
        <v>59005.27</v>
      </c>
    </row>
    <row r="1493" spans="2:3" x14ac:dyDescent="0.25">
      <c r="B1493" s="216">
        <v>44461</v>
      </c>
      <c r="C1493" s="122">
        <v>58927.33</v>
      </c>
    </row>
    <row r="1494" spans="2:3" x14ac:dyDescent="0.25">
      <c r="B1494" s="216">
        <v>44462</v>
      </c>
      <c r="C1494" s="122">
        <v>59885.36</v>
      </c>
    </row>
    <row r="1495" spans="2:3" x14ac:dyDescent="0.25">
      <c r="B1495" s="216">
        <v>44463</v>
      </c>
      <c r="C1495" s="122">
        <v>60048.47</v>
      </c>
    </row>
    <row r="1496" spans="2:3" x14ac:dyDescent="0.25">
      <c r="B1496" s="216">
        <v>44466</v>
      </c>
      <c r="C1496" s="122">
        <v>60077.88</v>
      </c>
    </row>
    <row r="1497" spans="2:3" x14ac:dyDescent="0.25">
      <c r="B1497" s="216">
        <v>44467</v>
      </c>
      <c r="C1497" s="122">
        <v>59667.6</v>
      </c>
    </row>
    <row r="1498" spans="2:3" x14ac:dyDescent="0.25">
      <c r="B1498" s="216">
        <v>44468</v>
      </c>
      <c r="C1498" s="122">
        <v>59413.27</v>
      </c>
    </row>
    <row r="1499" spans="2:3" x14ac:dyDescent="0.25">
      <c r="B1499" s="216">
        <v>44469</v>
      </c>
      <c r="C1499" s="122">
        <v>59126.36</v>
      </c>
    </row>
    <row r="1500" spans="2:3" x14ac:dyDescent="0.25">
      <c r="B1500" s="216">
        <v>44470</v>
      </c>
      <c r="C1500" s="122">
        <v>58765.58</v>
      </c>
    </row>
    <row r="1501" spans="2:3" x14ac:dyDescent="0.25">
      <c r="B1501" s="216">
        <v>44473</v>
      </c>
      <c r="C1501" s="122">
        <v>59299.32</v>
      </c>
    </row>
    <row r="1502" spans="2:3" x14ac:dyDescent="0.25">
      <c r="B1502" s="216">
        <v>44474</v>
      </c>
      <c r="C1502" s="122">
        <v>59744.88</v>
      </c>
    </row>
    <row r="1503" spans="2:3" x14ac:dyDescent="0.25">
      <c r="B1503" s="216">
        <v>44475</v>
      </c>
      <c r="C1503" s="122">
        <v>59189.73</v>
      </c>
    </row>
    <row r="1504" spans="2:3" x14ac:dyDescent="0.25">
      <c r="B1504" s="216">
        <v>44476</v>
      </c>
      <c r="C1504" s="122">
        <v>59677.83</v>
      </c>
    </row>
    <row r="1505" spans="2:3" x14ac:dyDescent="0.25">
      <c r="B1505" s="216">
        <v>44477</v>
      </c>
      <c r="C1505" s="122">
        <v>60059.06</v>
      </c>
    </row>
    <row r="1506" spans="2:3" x14ac:dyDescent="0.25">
      <c r="B1506" s="216">
        <v>44480</v>
      </c>
      <c r="C1506" s="122">
        <v>60135.78</v>
      </c>
    </row>
    <row r="1507" spans="2:3" x14ac:dyDescent="0.25">
      <c r="B1507" s="216">
        <v>44481</v>
      </c>
      <c r="C1507" s="122">
        <v>60284.31</v>
      </c>
    </row>
    <row r="1508" spans="2:3" x14ac:dyDescent="0.25">
      <c r="B1508" s="216">
        <v>44482</v>
      </c>
      <c r="C1508" s="122">
        <v>60737.05</v>
      </c>
    </row>
    <row r="1509" spans="2:3" x14ac:dyDescent="0.25">
      <c r="B1509" s="216">
        <v>44483</v>
      </c>
      <c r="C1509" s="122">
        <v>61305.95</v>
      </c>
    </row>
    <row r="1510" spans="2:3" x14ac:dyDescent="0.25">
      <c r="B1510" s="216">
        <v>44487</v>
      </c>
      <c r="C1510" s="122">
        <v>61765.59</v>
      </c>
    </row>
    <row r="1511" spans="2:3" x14ac:dyDescent="0.25">
      <c r="B1511" s="216">
        <v>44488</v>
      </c>
      <c r="C1511" s="122">
        <v>61716.05</v>
      </c>
    </row>
    <row r="1512" spans="2:3" x14ac:dyDescent="0.25">
      <c r="B1512" s="216">
        <v>44489</v>
      </c>
      <c r="C1512" s="122">
        <v>61259.96</v>
      </c>
    </row>
    <row r="1513" spans="2:3" x14ac:dyDescent="0.25">
      <c r="B1513" s="216">
        <v>44490</v>
      </c>
      <c r="C1513" s="122">
        <v>60923.5</v>
      </c>
    </row>
    <row r="1514" spans="2:3" x14ac:dyDescent="0.25">
      <c r="B1514" s="216">
        <v>44491</v>
      </c>
      <c r="C1514" s="122">
        <v>60821.62</v>
      </c>
    </row>
    <row r="1515" spans="2:3" x14ac:dyDescent="0.25">
      <c r="B1515" s="216">
        <v>44494</v>
      </c>
      <c r="C1515" s="122">
        <v>60967.05</v>
      </c>
    </row>
    <row r="1516" spans="2:3" x14ac:dyDescent="0.25">
      <c r="B1516" s="216">
        <v>44495</v>
      </c>
      <c r="C1516" s="122">
        <v>61350.26</v>
      </c>
    </row>
    <row r="1517" spans="2:3" x14ac:dyDescent="0.25">
      <c r="B1517" s="216">
        <v>44496</v>
      </c>
      <c r="C1517" s="122">
        <v>61143.33</v>
      </c>
    </row>
    <row r="1518" spans="2:3" x14ac:dyDescent="0.25">
      <c r="B1518" s="216">
        <v>44497</v>
      </c>
      <c r="C1518" s="122">
        <v>59984.7</v>
      </c>
    </row>
    <row r="1519" spans="2:3" x14ac:dyDescent="0.25">
      <c r="B1519" s="216">
        <v>44498</v>
      </c>
      <c r="C1519" s="122">
        <v>59306.93</v>
      </c>
    </row>
    <row r="1520" spans="2:3" x14ac:dyDescent="0.25">
      <c r="B1520" s="216">
        <v>44501</v>
      </c>
      <c r="C1520" s="122">
        <v>60138.46</v>
      </c>
    </row>
    <row r="1521" spans="2:3" x14ac:dyDescent="0.25">
      <c r="B1521" s="216">
        <v>44502</v>
      </c>
      <c r="C1521" s="122">
        <v>60029.06</v>
      </c>
    </row>
    <row r="1522" spans="2:3" x14ac:dyDescent="0.25">
      <c r="B1522" s="216">
        <v>44503</v>
      </c>
      <c r="C1522" s="122">
        <v>59771.92</v>
      </c>
    </row>
    <row r="1523" spans="2:3" x14ac:dyDescent="0.25">
      <c r="B1523" s="216">
        <v>44504</v>
      </c>
      <c r="C1523" s="122">
        <v>60067.62</v>
      </c>
    </row>
    <row r="1524" spans="2:3" x14ac:dyDescent="0.25">
      <c r="B1524" s="216">
        <v>44508</v>
      </c>
      <c r="C1524" s="122">
        <v>60545.61</v>
      </c>
    </row>
    <row r="1525" spans="2:3" x14ac:dyDescent="0.25">
      <c r="B1525" s="216">
        <v>44509</v>
      </c>
      <c r="C1525" s="122">
        <v>60433.45</v>
      </c>
    </row>
    <row r="1526" spans="2:3" x14ac:dyDescent="0.25">
      <c r="B1526" s="216">
        <v>44510</v>
      </c>
      <c r="C1526" s="122">
        <v>60352.82</v>
      </c>
    </row>
    <row r="1527" spans="2:3" x14ac:dyDescent="0.25">
      <c r="B1527" s="216">
        <v>44511</v>
      </c>
      <c r="C1527" s="122">
        <v>59919.69</v>
      </c>
    </row>
    <row r="1528" spans="2:3" x14ac:dyDescent="0.25">
      <c r="B1528" s="216">
        <v>44512</v>
      </c>
      <c r="C1528" s="122">
        <v>60686.69</v>
      </c>
    </row>
    <row r="1529" spans="2:3" x14ac:dyDescent="0.25">
      <c r="B1529" s="216">
        <v>44515</v>
      </c>
      <c r="C1529" s="122">
        <v>60718.71</v>
      </c>
    </row>
    <row r="1530" spans="2:3" x14ac:dyDescent="0.25">
      <c r="B1530" s="216">
        <v>44516</v>
      </c>
      <c r="C1530" s="122">
        <v>60322.37</v>
      </c>
    </row>
    <row r="1531" spans="2:3" x14ac:dyDescent="0.25">
      <c r="B1531" s="216">
        <v>44517</v>
      </c>
      <c r="C1531" s="122">
        <v>60008.33</v>
      </c>
    </row>
    <row r="1532" spans="2:3" x14ac:dyDescent="0.25">
      <c r="B1532" s="216">
        <v>44518</v>
      </c>
      <c r="C1532" s="122">
        <v>59636.01</v>
      </c>
    </row>
    <row r="1533" spans="2:3" x14ac:dyDescent="0.25">
      <c r="B1533" s="216">
        <v>44522</v>
      </c>
      <c r="C1533" s="122">
        <v>58465.89</v>
      </c>
    </row>
    <row r="1534" spans="2:3" x14ac:dyDescent="0.25">
      <c r="B1534" s="216">
        <v>44523</v>
      </c>
      <c r="C1534" s="122">
        <v>58664.33</v>
      </c>
    </row>
    <row r="1535" spans="2:3" x14ac:dyDescent="0.25">
      <c r="B1535" s="216">
        <v>44524</v>
      </c>
      <c r="C1535" s="122">
        <v>58340.99</v>
      </c>
    </row>
    <row r="1536" spans="2:3" x14ac:dyDescent="0.25">
      <c r="B1536" s="216">
        <v>44525</v>
      </c>
      <c r="C1536" s="122">
        <v>58795.09</v>
      </c>
    </row>
    <row r="1537" spans="2:3" x14ac:dyDescent="0.25">
      <c r="B1537" s="216">
        <v>44526</v>
      </c>
      <c r="C1537" s="122">
        <v>57107.15</v>
      </c>
    </row>
    <row r="1538" spans="2:3" x14ac:dyDescent="0.25">
      <c r="B1538" s="216">
        <v>44529</v>
      </c>
      <c r="C1538" s="122">
        <v>57260.58</v>
      </c>
    </row>
    <row r="1539" spans="2:3" x14ac:dyDescent="0.25">
      <c r="B1539" s="216">
        <v>44530</v>
      </c>
      <c r="C1539" s="122">
        <v>57064.87</v>
      </c>
    </row>
    <row r="1540" spans="2:3" x14ac:dyDescent="0.25">
      <c r="B1540" s="216">
        <v>44531</v>
      </c>
      <c r="C1540" s="122">
        <v>57684.79</v>
      </c>
    </row>
    <row r="1541" spans="2:3" x14ac:dyDescent="0.25">
      <c r="B1541" s="216">
        <v>44532</v>
      </c>
      <c r="C1541" s="122">
        <v>58461.29</v>
      </c>
    </row>
    <row r="1542" spans="2:3" x14ac:dyDescent="0.25">
      <c r="B1542" s="216">
        <v>44533</v>
      </c>
      <c r="C1542" s="122">
        <v>57696.46</v>
      </c>
    </row>
    <row r="1543" spans="2:3" x14ac:dyDescent="0.25">
      <c r="B1543" s="216">
        <v>44536</v>
      </c>
      <c r="C1543" s="122">
        <v>56747.14</v>
      </c>
    </row>
    <row r="1544" spans="2:3" x14ac:dyDescent="0.25">
      <c r="B1544" s="216">
        <v>44537</v>
      </c>
      <c r="C1544" s="122">
        <v>57633.65</v>
      </c>
    </row>
    <row r="1545" spans="2:3" x14ac:dyDescent="0.25">
      <c r="B1545" s="216">
        <v>44538</v>
      </c>
      <c r="C1545" s="122">
        <v>58649.68</v>
      </c>
    </row>
    <row r="1546" spans="2:3" x14ac:dyDescent="0.25">
      <c r="B1546" s="216">
        <v>44539</v>
      </c>
      <c r="C1546" s="122">
        <v>58807.13</v>
      </c>
    </row>
    <row r="1547" spans="2:3" x14ac:dyDescent="0.25">
      <c r="B1547" s="216">
        <v>44540</v>
      </c>
      <c r="C1547" s="122">
        <v>58786.67</v>
      </c>
    </row>
    <row r="1548" spans="2:3" x14ac:dyDescent="0.25">
      <c r="B1548" s="216">
        <v>44543</v>
      </c>
      <c r="C1548" s="122">
        <v>58283.42</v>
      </c>
    </row>
    <row r="1549" spans="2:3" x14ac:dyDescent="0.25">
      <c r="B1549" s="216">
        <v>44544</v>
      </c>
      <c r="C1549" s="122">
        <v>58117.09</v>
      </c>
    </row>
    <row r="1550" spans="2:3" x14ac:dyDescent="0.25">
      <c r="B1550" s="216">
        <v>44545</v>
      </c>
      <c r="C1550" s="122">
        <v>57788.03</v>
      </c>
    </row>
    <row r="1551" spans="2:3" x14ac:dyDescent="0.25">
      <c r="B1551" s="216">
        <v>44546</v>
      </c>
      <c r="C1551" s="122">
        <v>57901.14</v>
      </c>
    </row>
    <row r="1552" spans="2:3" x14ac:dyDescent="0.25">
      <c r="B1552" s="216">
        <v>44547</v>
      </c>
      <c r="C1552" s="122">
        <v>57011.74</v>
      </c>
    </row>
    <row r="1553" spans="2:3" x14ac:dyDescent="0.25">
      <c r="B1553" s="216">
        <v>44550</v>
      </c>
      <c r="C1553" s="122">
        <v>55822.01</v>
      </c>
    </row>
    <row r="1554" spans="2:3" x14ac:dyDescent="0.25">
      <c r="B1554" s="216">
        <v>44551</v>
      </c>
      <c r="C1554" s="122">
        <v>56319.01</v>
      </c>
    </row>
    <row r="1555" spans="2:3" x14ac:dyDescent="0.25">
      <c r="B1555" s="216">
        <v>44552</v>
      </c>
      <c r="C1555" s="122">
        <v>56930.559999999998</v>
      </c>
    </row>
    <row r="1556" spans="2:3" x14ac:dyDescent="0.25">
      <c r="B1556" s="216">
        <v>44553</v>
      </c>
      <c r="C1556" s="122">
        <v>57315.28</v>
      </c>
    </row>
    <row r="1557" spans="2:3" x14ac:dyDescent="0.25">
      <c r="B1557" s="216">
        <v>44554</v>
      </c>
      <c r="C1557" s="122">
        <v>57124.31</v>
      </c>
    </row>
    <row r="1558" spans="2:3" x14ac:dyDescent="0.25">
      <c r="B1558" s="216">
        <v>44557</v>
      </c>
      <c r="C1558" s="122">
        <v>57420.24</v>
      </c>
    </row>
    <row r="1559" spans="2:3" x14ac:dyDescent="0.25">
      <c r="B1559" s="216">
        <v>44558</v>
      </c>
      <c r="C1559" s="122">
        <v>57897.48</v>
      </c>
    </row>
    <row r="1560" spans="2:3" x14ac:dyDescent="0.25">
      <c r="B1560" s="216">
        <v>44559</v>
      </c>
      <c r="C1560" s="122">
        <v>57806.49</v>
      </c>
    </row>
    <row r="1561" spans="2:3" x14ac:dyDescent="0.25">
      <c r="B1561" s="216">
        <v>44560</v>
      </c>
      <c r="C1561" s="122">
        <v>57794.32</v>
      </c>
    </row>
    <row r="1562" spans="2:3" x14ac:dyDescent="0.25">
      <c r="B1562" s="216">
        <v>44561</v>
      </c>
      <c r="C1562" s="122">
        <v>58253.82</v>
      </c>
    </row>
    <row r="1563" spans="2:3" x14ac:dyDescent="0.25">
      <c r="B1563" s="216">
        <v>44564</v>
      </c>
      <c r="C1563" s="122">
        <v>59183.22</v>
      </c>
    </row>
    <row r="1564" spans="2:3" x14ac:dyDescent="0.25">
      <c r="B1564" s="216">
        <v>44565</v>
      </c>
      <c r="C1564" s="122">
        <v>59855.93</v>
      </c>
    </row>
    <row r="1565" spans="2:3" x14ac:dyDescent="0.25">
      <c r="B1565" s="216">
        <v>44566</v>
      </c>
      <c r="C1565" s="122">
        <v>60223.15</v>
      </c>
    </row>
    <row r="1566" spans="2:3" x14ac:dyDescent="0.25">
      <c r="B1566" s="216">
        <v>44567</v>
      </c>
      <c r="C1566" s="122">
        <v>59601.84</v>
      </c>
    </row>
    <row r="1567" spans="2:3" x14ac:dyDescent="0.25">
      <c r="B1567" s="216">
        <v>44568</v>
      </c>
      <c r="C1567" s="122">
        <v>59744.65</v>
      </c>
    </row>
    <row r="1568" spans="2:3" x14ac:dyDescent="0.25">
      <c r="B1568" s="216">
        <v>44571</v>
      </c>
      <c r="C1568" s="122">
        <v>60395.63</v>
      </c>
    </row>
    <row r="1569" spans="2:3" x14ac:dyDescent="0.25">
      <c r="B1569" s="216">
        <v>44572</v>
      </c>
      <c r="C1569" s="122">
        <v>60616.89</v>
      </c>
    </row>
    <row r="1570" spans="2:3" x14ac:dyDescent="0.25">
      <c r="B1570" s="216">
        <v>44573</v>
      </c>
      <c r="C1570" s="122">
        <v>61150.04</v>
      </c>
    </row>
    <row r="1571" spans="2:3" x14ac:dyDescent="0.25">
      <c r="B1571" s="216">
        <v>44574</v>
      </c>
      <c r="C1571" s="122">
        <v>61235.3</v>
      </c>
    </row>
    <row r="1572" spans="2:3" x14ac:dyDescent="0.25">
      <c r="B1572" s="216">
        <v>44575</v>
      </c>
      <c r="C1572" s="122">
        <v>61223.03</v>
      </c>
    </row>
    <row r="1573" spans="2:3" x14ac:dyDescent="0.25">
      <c r="B1573" s="216">
        <v>44578</v>
      </c>
      <c r="C1573" s="122">
        <v>61308.91</v>
      </c>
    </row>
    <row r="1574" spans="2:3" x14ac:dyDescent="0.25">
      <c r="B1574" s="216">
        <v>44579</v>
      </c>
      <c r="C1574" s="122">
        <v>60754.86</v>
      </c>
    </row>
    <row r="1575" spans="2:3" x14ac:dyDescent="0.25">
      <c r="B1575" s="216">
        <v>44580</v>
      </c>
      <c r="C1575" s="122">
        <v>60098.82</v>
      </c>
    </row>
    <row r="1576" spans="2:3" x14ac:dyDescent="0.25">
      <c r="B1576" s="216">
        <v>44581</v>
      </c>
      <c r="C1576" s="122">
        <v>59464.62</v>
      </c>
    </row>
    <row r="1577" spans="2:3" x14ac:dyDescent="0.25">
      <c r="B1577" s="216">
        <v>44582</v>
      </c>
      <c r="C1577" s="122">
        <v>59037.18</v>
      </c>
    </row>
    <row r="1578" spans="2:3" x14ac:dyDescent="0.25">
      <c r="B1578" s="216">
        <v>44585</v>
      </c>
      <c r="C1578" s="122">
        <v>57491.51</v>
      </c>
    </row>
    <row r="1579" spans="2:3" x14ac:dyDescent="0.25">
      <c r="B1579" s="216">
        <v>44586</v>
      </c>
      <c r="C1579" s="122">
        <v>57858.15</v>
      </c>
    </row>
    <row r="1580" spans="2:3" x14ac:dyDescent="0.25">
      <c r="B1580" s="216">
        <v>44588</v>
      </c>
      <c r="C1580" s="122">
        <v>57276.94</v>
      </c>
    </row>
    <row r="1581" spans="2:3" x14ac:dyDescent="0.25">
      <c r="B1581" s="216">
        <v>44589</v>
      </c>
      <c r="C1581" s="122">
        <v>57200.23</v>
      </c>
    </row>
    <row r="1582" spans="2:3" x14ac:dyDescent="0.25">
      <c r="B1582" s="216">
        <v>44592</v>
      </c>
      <c r="C1582" s="122">
        <v>58014.17</v>
      </c>
    </row>
    <row r="1583" spans="2:3" x14ac:dyDescent="0.25">
      <c r="B1583" s="216">
        <v>44593</v>
      </c>
      <c r="C1583" s="122">
        <v>58862.57</v>
      </c>
    </row>
    <row r="1584" spans="2:3" x14ac:dyDescent="0.25">
      <c r="B1584" s="216">
        <v>44594</v>
      </c>
      <c r="C1584" s="122">
        <v>59558.33</v>
      </c>
    </row>
    <row r="1585" spans="2:3" x14ac:dyDescent="0.25">
      <c r="B1585" s="216">
        <v>44595</v>
      </c>
      <c r="C1585" s="122">
        <v>58788.02</v>
      </c>
    </row>
    <row r="1586" spans="2:3" x14ac:dyDescent="0.25">
      <c r="B1586" s="216">
        <v>44596</v>
      </c>
      <c r="C1586" s="122">
        <v>58644.82</v>
      </c>
    </row>
    <row r="1587" spans="2:3" x14ac:dyDescent="0.25">
      <c r="B1587" s="216">
        <v>44599</v>
      </c>
      <c r="C1587" s="122">
        <v>57621.19</v>
      </c>
    </row>
    <row r="1588" spans="2:3" x14ac:dyDescent="0.25">
      <c r="B1588" s="216">
        <v>44600</v>
      </c>
      <c r="C1588" s="122">
        <v>57808.58</v>
      </c>
    </row>
    <row r="1589" spans="2:3" x14ac:dyDescent="0.25">
      <c r="B1589" s="216">
        <v>44601</v>
      </c>
      <c r="C1589" s="122">
        <v>58465.97</v>
      </c>
    </row>
    <row r="1590" spans="2:3" x14ac:dyDescent="0.25">
      <c r="B1590" s="216">
        <v>44602</v>
      </c>
      <c r="C1590" s="122">
        <v>58926.03</v>
      </c>
    </row>
    <row r="1591" spans="2:3" x14ac:dyDescent="0.25">
      <c r="B1591" s="216">
        <v>44603</v>
      </c>
      <c r="C1591" s="122">
        <v>58152.92</v>
      </c>
    </row>
    <row r="1592" spans="2:3" x14ac:dyDescent="0.25">
      <c r="B1592" s="216">
        <v>44606</v>
      </c>
      <c r="C1592" s="122">
        <v>56405.84</v>
      </c>
    </row>
    <row r="1593" spans="2:3" x14ac:dyDescent="0.25">
      <c r="B1593" s="216">
        <v>44607</v>
      </c>
      <c r="C1593" s="122">
        <v>58142.05</v>
      </c>
    </row>
    <row r="1594" spans="2:3" x14ac:dyDescent="0.25">
      <c r="B1594" s="216">
        <v>44608</v>
      </c>
      <c r="C1594" s="122">
        <v>57996.68</v>
      </c>
    </row>
    <row r="1595" spans="2:3" x14ac:dyDescent="0.25">
      <c r="B1595" s="216">
        <v>44609</v>
      </c>
      <c r="C1595" s="122">
        <v>57892.01</v>
      </c>
    </row>
    <row r="1596" spans="2:3" x14ac:dyDescent="0.25">
      <c r="B1596" s="216">
        <v>44610</v>
      </c>
      <c r="C1596" s="122">
        <v>57832.97</v>
      </c>
    </row>
    <row r="1597" spans="2:3" x14ac:dyDescent="0.25">
      <c r="B1597" s="216">
        <v>44613</v>
      </c>
      <c r="C1597" s="122">
        <v>57683.59</v>
      </c>
    </row>
    <row r="1598" spans="2:3" x14ac:dyDescent="0.25">
      <c r="B1598" s="216">
        <v>44614</v>
      </c>
      <c r="C1598" s="122">
        <v>57300.68</v>
      </c>
    </row>
    <row r="1599" spans="2:3" x14ac:dyDescent="0.25">
      <c r="B1599" s="216">
        <v>44615</v>
      </c>
      <c r="C1599" s="122">
        <v>57232.06</v>
      </c>
    </row>
    <row r="1600" spans="2:3" x14ac:dyDescent="0.25">
      <c r="B1600" s="216">
        <v>44616</v>
      </c>
      <c r="C1600" s="122">
        <v>54529.91</v>
      </c>
    </row>
    <row r="1601" spans="2:3" x14ac:dyDescent="0.25">
      <c r="B1601" s="216">
        <v>44617</v>
      </c>
      <c r="C1601" s="122">
        <v>55858.52</v>
      </c>
    </row>
    <row r="1602" spans="2:3" x14ac:dyDescent="0.25">
      <c r="B1602" s="216">
        <v>44620</v>
      </c>
      <c r="C1602" s="122">
        <v>56247.28</v>
      </c>
    </row>
    <row r="1603" spans="2:3" x14ac:dyDescent="0.25">
      <c r="B1603" s="216">
        <v>44622</v>
      </c>
      <c r="C1603" s="122">
        <v>55468.9</v>
      </c>
    </row>
    <row r="1604" spans="2:3" x14ac:dyDescent="0.25">
      <c r="B1604" s="216">
        <v>44623</v>
      </c>
      <c r="C1604" s="122">
        <v>55102.68</v>
      </c>
    </row>
    <row r="1605" spans="2:3" x14ac:dyDescent="0.25">
      <c r="B1605" s="216">
        <v>44624</v>
      </c>
      <c r="C1605" s="122">
        <v>54333.81</v>
      </c>
    </row>
    <row r="1606" spans="2:3" x14ac:dyDescent="0.25">
      <c r="B1606" s="216">
        <v>44627</v>
      </c>
      <c r="C1606" s="122">
        <v>52842.75</v>
      </c>
    </row>
    <row r="1607" spans="2:3" x14ac:dyDescent="0.25">
      <c r="B1607" s="216">
        <v>44628</v>
      </c>
      <c r="C1607" s="122">
        <v>53424.09</v>
      </c>
    </row>
    <row r="1608" spans="2:3" x14ac:dyDescent="0.25">
      <c r="B1608" s="216">
        <v>44629</v>
      </c>
      <c r="C1608" s="122">
        <v>54647.33</v>
      </c>
    </row>
    <row r="1609" spans="2:3" x14ac:dyDescent="0.25">
      <c r="B1609" s="216">
        <v>44630</v>
      </c>
      <c r="C1609" s="122">
        <v>55464.39</v>
      </c>
    </row>
    <row r="1610" spans="2:3" x14ac:dyDescent="0.25">
      <c r="B1610" s="216">
        <v>44631</v>
      </c>
      <c r="C1610" s="122">
        <v>55550.3</v>
      </c>
    </row>
    <row r="1611" spans="2:3" x14ac:dyDescent="0.25">
      <c r="B1611" s="216">
        <v>44634</v>
      </c>
      <c r="C1611" s="122">
        <v>56486.02</v>
      </c>
    </row>
    <row r="1612" spans="2:3" x14ac:dyDescent="0.25">
      <c r="B1612" s="216">
        <v>44635</v>
      </c>
      <c r="C1612" s="122">
        <v>55776.85</v>
      </c>
    </row>
    <row r="1613" spans="2:3" x14ac:dyDescent="0.25">
      <c r="B1613" s="216">
        <v>44636</v>
      </c>
      <c r="C1613" s="122">
        <v>56816.65</v>
      </c>
    </row>
    <row r="1614" spans="2:3" x14ac:dyDescent="0.25">
      <c r="B1614" s="216">
        <v>44637</v>
      </c>
      <c r="C1614" s="122">
        <v>57863.93</v>
      </c>
    </row>
    <row r="1615" spans="2:3" x14ac:dyDescent="0.25">
      <c r="B1615" s="216">
        <v>44641</v>
      </c>
      <c r="C1615" s="122">
        <v>57292.49</v>
      </c>
    </row>
    <row r="1616" spans="2:3" x14ac:dyDescent="0.25">
      <c r="B1616" s="216">
        <v>44642</v>
      </c>
      <c r="C1616" s="122">
        <v>57989.3</v>
      </c>
    </row>
    <row r="1617" spans="2:3" x14ac:dyDescent="0.25">
      <c r="B1617" s="216">
        <v>44643</v>
      </c>
      <c r="C1617" s="122">
        <v>57684.82</v>
      </c>
    </row>
    <row r="1618" spans="2:3" x14ac:dyDescent="0.25">
      <c r="B1618" s="216">
        <v>44644</v>
      </c>
      <c r="C1618" s="122">
        <v>57595.68</v>
      </c>
    </row>
    <row r="1619" spans="2:3" x14ac:dyDescent="0.25">
      <c r="B1619" s="216">
        <v>44645</v>
      </c>
      <c r="C1619" s="122">
        <v>57362.2</v>
      </c>
    </row>
    <row r="1620" spans="2:3" x14ac:dyDescent="0.25">
      <c r="B1620" s="216">
        <v>44648</v>
      </c>
      <c r="C1620" s="122">
        <v>57593.49</v>
      </c>
    </row>
    <row r="1621" spans="2:3" x14ac:dyDescent="0.25">
      <c r="B1621" s="216">
        <v>44649</v>
      </c>
      <c r="C1621" s="122">
        <v>57943.65</v>
      </c>
    </row>
    <row r="1622" spans="2:3" x14ac:dyDescent="0.25">
      <c r="B1622" s="216">
        <v>44650</v>
      </c>
      <c r="C1622" s="122">
        <v>58683.99</v>
      </c>
    </row>
    <row r="1623" spans="2:3" x14ac:dyDescent="0.25">
      <c r="B1623" s="216">
        <v>44651</v>
      </c>
      <c r="C1623" s="122">
        <v>58568.51</v>
      </c>
    </row>
    <row r="1624" spans="2:3" x14ac:dyDescent="0.25">
      <c r="B1624" s="216">
        <v>44652</v>
      </c>
      <c r="C1624" s="122">
        <v>59276.69</v>
      </c>
    </row>
    <row r="1625" spans="2:3" x14ac:dyDescent="0.25">
      <c r="B1625" s="216">
        <v>44655</v>
      </c>
      <c r="C1625" s="122">
        <v>60611.74</v>
      </c>
    </row>
    <row r="1626" spans="2:3" x14ac:dyDescent="0.25">
      <c r="B1626" s="216">
        <v>44656</v>
      </c>
      <c r="C1626" s="122">
        <v>60176.5</v>
      </c>
    </row>
    <row r="1627" spans="2:3" x14ac:dyDescent="0.25">
      <c r="B1627" s="216">
        <v>44657</v>
      </c>
      <c r="C1627" s="122">
        <v>59610.41</v>
      </c>
    </row>
    <row r="1628" spans="2:3" x14ac:dyDescent="0.25">
      <c r="B1628" s="216">
        <v>44658</v>
      </c>
      <c r="C1628" s="122">
        <v>59034.95</v>
      </c>
    </row>
    <row r="1629" spans="2:3" x14ac:dyDescent="0.25">
      <c r="B1629" s="216">
        <v>44659</v>
      </c>
      <c r="C1629" s="122">
        <v>59447.18</v>
      </c>
    </row>
    <row r="1630" spans="2:3" x14ac:dyDescent="0.25">
      <c r="B1630" s="216">
        <v>44662</v>
      </c>
      <c r="C1630" s="122">
        <v>58964.57</v>
      </c>
    </row>
    <row r="1631" spans="2:3" x14ac:dyDescent="0.25">
      <c r="B1631" s="216">
        <v>44663</v>
      </c>
      <c r="C1631" s="122">
        <v>58576.37</v>
      </c>
    </row>
    <row r="1632" spans="2:3" x14ac:dyDescent="0.25">
      <c r="B1632" s="216">
        <v>44664</v>
      </c>
      <c r="C1632" s="122">
        <v>58338.93</v>
      </c>
    </row>
    <row r="1633" spans="2:3" x14ac:dyDescent="0.25">
      <c r="B1633" s="216">
        <v>44669</v>
      </c>
      <c r="C1633" s="122">
        <v>57166.74</v>
      </c>
    </row>
    <row r="1634" spans="2:3" x14ac:dyDescent="0.25">
      <c r="B1634" s="216">
        <v>44670</v>
      </c>
      <c r="C1634" s="122">
        <v>56463.15</v>
      </c>
    </row>
    <row r="1635" spans="2:3" x14ac:dyDescent="0.25">
      <c r="B1635" s="216">
        <v>44671</v>
      </c>
      <c r="C1635" s="122">
        <v>57037.5</v>
      </c>
    </row>
    <row r="1636" spans="2:3" x14ac:dyDescent="0.25">
      <c r="B1636" s="216">
        <v>44672</v>
      </c>
      <c r="C1636" s="122">
        <v>57911.68</v>
      </c>
    </row>
    <row r="1637" spans="2:3" x14ac:dyDescent="0.25">
      <c r="B1637" s="216">
        <v>44673</v>
      </c>
      <c r="C1637" s="122">
        <v>57197.15</v>
      </c>
    </row>
    <row r="1638" spans="2:3" x14ac:dyDescent="0.25">
      <c r="B1638" s="216">
        <v>44676</v>
      </c>
      <c r="C1638" s="122">
        <v>56579.89</v>
      </c>
    </row>
    <row r="1639" spans="2:3" x14ac:dyDescent="0.25">
      <c r="B1639" s="216">
        <v>44677</v>
      </c>
      <c r="C1639" s="122">
        <v>57356.61</v>
      </c>
    </row>
    <row r="1640" spans="2:3" x14ac:dyDescent="0.25">
      <c r="B1640" s="216">
        <v>44678</v>
      </c>
      <c r="C1640" s="122">
        <v>56819.39</v>
      </c>
    </row>
    <row r="1641" spans="2:3" x14ac:dyDescent="0.25">
      <c r="B1641" s="216">
        <v>44679</v>
      </c>
      <c r="C1641" s="122">
        <v>57521.06</v>
      </c>
    </row>
    <row r="1642" spans="2:3" x14ac:dyDescent="0.25">
      <c r="B1642" s="216">
        <v>44680</v>
      </c>
      <c r="C1642" s="122">
        <v>57060.87</v>
      </c>
    </row>
    <row r="1643" spans="2:3" x14ac:dyDescent="0.25">
      <c r="B1643" s="216">
        <v>44683</v>
      </c>
      <c r="C1643" s="122">
        <v>56975.99</v>
      </c>
    </row>
    <row r="1644" spans="2:3" x14ac:dyDescent="0.25">
      <c r="B1644" s="216">
        <v>44685</v>
      </c>
      <c r="C1644" s="122">
        <v>55669.03</v>
      </c>
    </row>
    <row r="1645" spans="2:3" x14ac:dyDescent="0.25">
      <c r="B1645" s="216">
        <v>44686</v>
      </c>
      <c r="C1645" s="122">
        <v>55702.23</v>
      </c>
    </row>
    <row r="1646" spans="2:3" x14ac:dyDescent="0.25">
      <c r="B1646" s="216">
        <v>44687</v>
      </c>
      <c r="C1646" s="122">
        <v>54835.58</v>
      </c>
    </row>
    <row r="1647" spans="2:3" x14ac:dyDescent="0.25">
      <c r="B1647" s="216">
        <v>44690</v>
      </c>
      <c r="C1647" s="122">
        <v>54470.67</v>
      </c>
    </row>
    <row r="1648" spans="2:3" x14ac:dyDescent="0.25">
      <c r="B1648" s="216">
        <v>44691</v>
      </c>
      <c r="C1648" s="122">
        <v>54364.85</v>
      </c>
    </row>
    <row r="1649" spans="2:3" x14ac:dyDescent="0.25">
      <c r="B1649" s="216">
        <v>44692</v>
      </c>
      <c r="C1649" s="122">
        <v>54088.39</v>
      </c>
    </row>
    <row r="1650" spans="2:3" x14ac:dyDescent="0.25">
      <c r="B1650" s="216">
        <v>44693</v>
      </c>
      <c r="C1650" s="122">
        <v>52930.31</v>
      </c>
    </row>
    <row r="1651" spans="2:3" x14ac:dyDescent="0.25">
      <c r="B1651" s="216">
        <v>44694</v>
      </c>
      <c r="C1651" s="122">
        <v>52793.62</v>
      </c>
    </row>
    <row r="1652" spans="2:3" x14ac:dyDescent="0.25">
      <c r="B1652" s="216">
        <v>44697</v>
      </c>
      <c r="C1652" s="122">
        <v>52973.84</v>
      </c>
    </row>
    <row r="1653" spans="2:3" x14ac:dyDescent="0.25">
      <c r="B1653" s="216">
        <v>44698</v>
      </c>
      <c r="C1653" s="122">
        <v>54318.47</v>
      </c>
    </row>
    <row r="1654" spans="2:3" x14ac:dyDescent="0.25">
      <c r="B1654" s="216">
        <v>44699</v>
      </c>
      <c r="C1654" s="122">
        <v>54208.53</v>
      </c>
    </row>
    <row r="1655" spans="2:3" x14ac:dyDescent="0.25">
      <c r="B1655" s="216">
        <v>44700</v>
      </c>
      <c r="C1655" s="122">
        <v>52792.23</v>
      </c>
    </row>
    <row r="1656" spans="2:3" x14ac:dyDescent="0.25">
      <c r="B1656" s="216">
        <v>44701</v>
      </c>
      <c r="C1656" s="122">
        <v>54326.39</v>
      </c>
    </row>
    <row r="1657" spans="2:3" x14ac:dyDescent="0.25">
      <c r="B1657" s="216">
        <v>44704</v>
      </c>
      <c r="C1657" s="122">
        <v>54288.61</v>
      </c>
    </row>
    <row r="1658" spans="2:3" x14ac:dyDescent="0.25">
      <c r="B1658" s="216">
        <v>44705</v>
      </c>
      <c r="C1658" s="122">
        <v>54052.61</v>
      </c>
    </row>
    <row r="1659" spans="2:3" x14ac:dyDescent="0.25">
      <c r="B1659" s="216">
        <v>44706</v>
      </c>
      <c r="C1659" s="122">
        <v>53749.26</v>
      </c>
    </row>
    <row r="1660" spans="2:3" x14ac:dyDescent="0.25">
      <c r="B1660" s="216">
        <v>44707</v>
      </c>
      <c r="C1660" s="122">
        <v>54252.53</v>
      </c>
    </row>
    <row r="1661" spans="2:3" x14ac:dyDescent="0.25">
      <c r="B1661" s="216">
        <v>44708</v>
      </c>
      <c r="C1661" s="122">
        <v>54884.66</v>
      </c>
    </row>
    <row r="1662" spans="2:3" x14ac:dyDescent="0.25">
      <c r="B1662" s="216">
        <v>44711</v>
      </c>
      <c r="C1662" s="122">
        <v>55925.74</v>
      </c>
    </row>
    <row r="1663" spans="2:3" x14ac:dyDescent="0.25">
      <c r="B1663" s="216">
        <v>44712</v>
      </c>
      <c r="C1663" s="122">
        <v>55566.41</v>
      </c>
    </row>
    <row r="1664" spans="2:3" x14ac:dyDescent="0.25">
      <c r="B1664" s="216">
        <v>44713</v>
      </c>
      <c r="C1664" s="122">
        <v>55381.17</v>
      </c>
    </row>
    <row r="1665" spans="2:3" x14ac:dyDescent="0.25">
      <c r="B1665" s="216">
        <v>44714</v>
      </c>
      <c r="C1665" s="122">
        <v>55818.11</v>
      </c>
    </row>
    <row r="1666" spans="2:3" x14ac:dyDescent="0.25">
      <c r="B1666" s="216">
        <v>44715</v>
      </c>
      <c r="C1666" s="122">
        <v>55769.23</v>
      </c>
    </row>
    <row r="1667" spans="2:3" x14ac:dyDescent="0.25">
      <c r="B1667" s="216">
        <v>44718</v>
      </c>
      <c r="C1667" s="122">
        <v>55675.32</v>
      </c>
    </row>
    <row r="1668" spans="2:3" x14ac:dyDescent="0.25">
      <c r="B1668" s="216">
        <v>44719</v>
      </c>
      <c r="C1668" s="122">
        <v>55107.34</v>
      </c>
    </row>
    <row r="1669" spans="2:3" x14ac:dyDescent="0.25">
      <c r="B1669" s="216">
        <v>44720</v>
      </c>
      <c r="C1669" s="122">
        <v>54892.49</v>
      </c>
    </row>
    <row r="1670" spans="2:3" x14ac:dyDescent="0.25">
      <c r="B1670" s="216">
        <v>44721</v>
      </c>
      <c r="C1670" s="122">
        <v>55320.28</v>
      </c>
    </row>
    <row r="1671" spans="2:3" x14ac:dyDescent="0.25">
      <c r="B1671" s="216">
        <v>44722</v>
      </c>
      <c r="C1671" s="122">
        <v>54303.44</v>
      </c>
    </row>
    <row r="1672" spans="2:3" x14ac:dyDescent="0.25">
      <c r="B1672" s="216">
        <v>44725</v>
      </c>
      <c r="C1672" s="122">
        <v>52846.7</v>
      </c>
    </row>
    <row r="1673" spans="2:3" x14ac:dyDescent="0.25">
      <c r="B1673" s="216">
        <v>44726</v>
      </c>
      <c r="C1673" s="122">
        <v>52693.57</v>
      </c>
    </row>
    <row r="1674" spans="2:3" x14ac:dyDescent="0.25">
      <c r="B1674" s="216">
        <v>44727</v>
      </c>
      <c r="C1674" s="122">
        <v>52541.39</v>
      </c>
    </row>
    <row r="1675" spans="2:3" x14ac:dyDescent="0.25">
      <c r="B1675" s="216">
        <v>44728</v>
      </c>
      <c r="C1675" s="122">
        <v>51495.79</v>
      </c>
    </row>
    <row r="1676" spans="2:3" x14ac:dyDescent="0.25">
      <c r="B1676" s="216">
        <v>44729</v>
      </c>
      <c r="C1676" s="122">
        <v>51360.42</v>
      </c>
    </row>
    <row r="1677" spans="2:3" x14ac:dyDescent="0.25">
      <c r="B1677" s="216">
        <v>44732</v>
      </c>
      <c r="C1677" s="122">
        <v>51597.84</v>
      </c>
    </row>
    <row r="1678" spans="2:3" x14ac:dyDescent="0.25">
      <c r="B1678" s="216">
        <v>44733</v>
      </c>
      <c r="C1678" s="122">
        <v>52532.07</v>
      </c>
    </row>
    <row r="1679" spans="2:3" x14ac:dyDescent="0.25">
      <c r="B1679" s="216">
        <v>44734</v>
      </c>
      <c r="C1679" s="122">
        <v>51822.53</v>
      </c>
    </row>
    <row r="1680" spans="2:3" x14ac:dyDescent="0.25">
      <c r="B1680" s="216">
        <v>44735</v>
      </c>
      <c r="C1680" s="122">
        <v>52265.72</v>
      </c>
    </row>
    <row r="1681" spans="2:3" x14ac:dyDescent="0.25">
      <c r="B1681" s="216">
        <v>44736</v>
      </c>
      <c r="C1681" s="122">
        <v>52727.98</v>
      </c>
    </row>
    <row r="1682" spans="2:3" x14ac:dyDescent="0.25">
      <c r="B1682" s="216">
        <v>44739</v>
      </c>
      <c r="C1682" s="122">
        <v>53161.279999999999</v>
      </c>
    </row>
    <row r="1683" spans="2:3" x14ac:dyDescent="0.25">
      <c r="B1683" s="216">
        <v>44740</v>
      </c>
      <c r="C1683" s="122">
        <v>53177.45</v>
      </c>
    </row>
    <row r="1684" spans="2:3" x14ac:dyDescent="0.25">
      <c r="B1684" s="216">
        <v>44741</v>
      </c>
      <c r="C1684" s="122">
        <v>53026.97</v>
      </c>
    </row>
    <row r="1685" spans="2:3" x14ac:dyDescent="0.25">
      <c r="B1685" s="216">
        <v>44742</v>
      </c>
      <c r="C1685" s="122">
        <v>53018.94</v>
      </c>
    </row>
    <row r="1686" spans="2:3" x14ac:dyDescent="0.25">
      <c r="B1686" s="216">
        <v>44743</v>
      </c>
      <c r="C1686" s="122">
        <v>52907.93</v>
      </c>
    </row>
    <row r="1687" spans="2:3" x14ac:dyDescent="0.25">
      <c r="B1687" s="216">
        <v>44746</v>
      </c>
      <c r="C1687" s="122">
        <v>53234.77</v>
      </c>
    </row>
    <row r="1688" spans="2:3" x14ac:dyDescent="0.25">
      <c r="B1688" s="216">
        <v>44747</v>
      </c>
      <c r="C1688" s="122">
        <v>53134.35</v>
      </c>
    </row>
    <row r="1689" spans="2:3" x14ac:dyDescent="0.25">
      <c r="B1689" s="216">
        <v>44748</v>
      </c>
      <c r="C1689" s="122">
        <v>53750.97</v>
      </c>
    </row>
    <row r="1690" spans="2:3" x14ac:dyDescent="0.25">
      <c r="B1690" s="216">
        <v>44749</v>
      </c>
      <c r="C1690" s="122">
        <v>54178.46</v>
      </c>
    </row>
    <row r="1691" spans="2:3" x14ac:dyDescent="0.25">
      <c r="B1691" s="216">
        <v>44750</v>
      </c>
      <c r="C1691" s="122">
        <v>54481.84</v>
      </c>
    </row>
    <row r="1692" spans="2:3" x14ac:dyDescent="0.25">
      <c r="B1692" s="216">
        <v>44753</v>
      </c>
      <c r="C1692" s="122">
        <v>54395.23</v>
      </c>
    </row>
    <row r="1693" spans="2:3" x14ac:dyDescent="0.25">
      <c r="B1693" s="216">
        <v>44754</v>
      </c>
      <c r="C1693" s="122">
        <v>53886.61</v>
      </c>
    </row>
    <row r="1694" spans="2:3" x14ac:dyDescent="0.25">
      <c r="B1694" s="216">
        <v>44755</v>
      </c>
      <c r="C1694" s="122">
        <v>53514.15</v>
      </c>
    </row>
    <row r="1695" spans="2:3" x14ac:dyDescent="0.25">
      <c r="B1695" s="216">
        <v>44756</v>
      </c>
      <c r="C1695" s="122">
        <v>53416.15</v>
      </c>
    </row>
    <row r="1696" spans="2:3" x14ac:dyDescent="0.25">
      <c r="B1696" s="216">
        <v>44757</v>
      </c>
      <c r="C1696" s="122">
        <v>53760.78</v>
      </c>
    </row>
    <row r="1697" spans="2:3" x14ac:dyDescent="0.25">
      <c r="B1697" s="216">
        <v>44760</v>
      </c>
      <c r="C1697" s="122">
        <v>54521.15</v>
      </c>
    </row>
    <row r="1698" spans="2:3" x14ac:dyDescent="0.25">
      <c r="B1698" s="216">
        <v>44761</v>
      </c>
      <c r="C1698" s="122">
        <v>54767.62</v>
      </c>
    </row>
    <row r="1699" spans="2:3" x14ac:dyDescent="0.25">
      <c r="B1699" s="216">
        <v>44762</v>
      </c>
      <c r="C1699" s="122">
        <v>55397.53</v>
      </c>
    </row>
    <row r="1700" spans="2:3" x14ac:dyDescent="0.25">
      <c r="B1700" s="216">
        <v>44763</v>
      </c>
      <c r="C1700" s="122">
        <v>55681.95</v>
      </c>
    </row>
    <row r="1701" spans="2:3" x14ac:dyDescent="0.25">
      <c r="B1701" s="216">
        <v>44764</v>
      </c>
      <c r="C1701" s="122">
        <v>56072.23</v>
      </c>
    </row>
    <row r="1702" spans="2:3" x14ac:dyDescent="0.25">
      <c r="B1702" s="216">
        <v>44767</v>
      </c>
      <c r="C1702" s="122">
        <v>55766.22</v>
      </c>
    </row>
    <row r="1703" spans="2:3" x14ac:dyDescent="0.25">
      <c r="B1703" s="216">
        <v>44768</v>
      </c>
      <c r="C1703" s="122">
        <v>55268.49</v>
      </c>
    </row>
    <row r="1704" spans="2:3" x14ac:dyDescent="0.25">
      <c r="B1704" s="216">
        <v>44769</v>
      </c>
      <c r="C1704" s="122">
        <v>55816.32</v>
      </c>
    </row>
    <row r="1705" spans="2:3" x14ac:dyDescent="0.25">
      <c r="B1705" s="216">
        <v>44770</v>
      </c>
      <c r="C1705" s="122">
        <v>56857.79</v>
      </c>
    </row>
    <row r="1706" spans="2:3" x14ac:dyDescent="0.25">
      <c r="B1706" s="216">
        <v>44771</v>
      </c>
      <c r="C1706" s="122">
        <v>57570.25</v>
      </c>
    </row>
    <row r="1707" spans="2:3" x14ac:dyDescent="0.25">
      <c r="B1707" s="216">
        <v>44774</v>
      </c>
      <c r="C1707" s="122">
        <v>58115.5</v>
      </c>
    </row>
    <row r="1708" spans="2:3" x14ac:dyDescent="0.25">
      <c r="B1708" s="216">
        <v>44775</v>
      </c>
      <c r="C1708" s="122">
        <v>58136.36</v>
      </c>
    </row>
    <row r="1709" spans="2:3" x14ac:dyDescent="0.25">
      <c r="B1709" s="216">
        <v>44776</v>
      </c>
      <c r="C1709" s="122">
        <v>58350.53</v>
      </c>
    </row>
    <row r="1710" spans="2:3" x14ac:dyDescent="0.25">
      <c r="B1710" s="216">
        <v>44777</v>
      </c>
      <c r="C1710" s="122">
        <v>58298.8</v>
      </c>
    </row>
    <row r="1711" spans="2:3" x14ac:dyDescent="0.25">
      <c r="B1711" s="216">
        <v>44778</v>
      </c>
      <c r="C1711" s="122">
        <v>58387.93</v>
      </c>
    </row>
    <row r="1712" spans="2:3" x14ac:dyDescent="0.25">
      <c r="B1712" s="216">
        <v>44781</v>
      </c>
      <c r="C1712" s="122">
        <v>58853.07</v>
      </c>
    </row>
    <row r="1713" spans="2:3" x14ac:dyDescent="0.25">
      <c r="B1713" s="216">
        <v>44783</v>
      </c>
      <c r="C1713" s="122">
        <v>58817.29</v>
      </c>
    </row>
    <row r="1714" spans="2:3" x14ac:dyDescent="0.25">
      <c r="B1714" s="216">
        <v>44784</v>
      </c>
      <c r="C1714" s="122">
        <v>59332.6</v>
      </c>
    </row>
    <row r="1715" spans="2:3" x14ac:dyDescent="0.25">
      <c r="B1715" s="216">
        <v>44785</v>
      </c>
      <c r="C1715" s="122">
        <v>59462.78</v>
      </c>
    </row>
    <row r="1716" spans="2:3" x14ac:dyDescent="0.25">
      <c r="B1716" s="216">
        <v>44789</v>
      </c>
      <c r="C1716" s="122">
        <v>59842.21</v>
      </c>
    </row>
    <row r="1717" spans="2:3" x14ac:dyDescent="0.25">
      <c r="B1717" s="216">
        <v>44790</v>
      </c>
      <c r="C1717" s="122">
        <v>60260.13</v>
      </c>
    </row>
    <row r="1718" spans="2:3" x14ac:dyDescent="0.25">
      <c r="B1718" s="216">
        <v>44791</v>
      </c>
      <c r="C1718" s="122">
        <v>60298</v>
      </c>
    </row>
    <row r="1719" spans="2:3" x14ac:dyDescent="0.25">
      <c r="B1719" s="216">
        <v>44792</v>
      </c>
      <c r="C1719" s="122">
        <v>59646.15</v>
      </c>
    </row>
    <row r="1720" spans="2:3" x14ac:dyDescent="0.25">
      <c r="B1720" s="216">
        <v>44795</v>
      </c>
      <c r="C1720" s="122">
        <v>58773.87</v>
      </c>
    </row>
    <row r="1721" spans="2:3" x14ac:dyDescent="0.25">
      <c r="B1721" s="216">
        <v>44796</v>
      </c>
      <c r="C1721" s="122">
        <v>59031.3</v>
      </c>
    </row>
    <row r="1722" spans="2:3" x14ac:dyDescent="0.25">
      <c r="B1722" s="216">
        <v>44797</v>
      </c>
      <c r="C1722" s="122">
        <v>59085.43</v>
      </c>
    </row>
    <row r="1723" spans="2:3" x14ac:dyDescent="0.25">
      <c r="B1723" s="216">
        <v>44798</v>
      </c>
      <c r="C1723" s="122">
        <v>58774.720000000001</v>
      </c>
    </row>
    <row r="1724" spans="2:3" x14ac:dyDescent="0.25">
      <c r="B1724" s="216">
        <v>44799</v>
      </c>
      <c r="C1724" s="122">
        <v>58833.87</v>
      </c>
    </row>
    <row r="1725" spans="2:3" x14ac:dyDescent="0.25">
      <c r="B1725" s="216">
        <v>44802</v>
      </c>
      <c r="C1725" s="122">
        <v>57972.62</v>
      </c>
    </row>
    <row r="1726" spans="2:3" x14ac:dyDescent="0.25">
      <c r="B1726" s="216">
        <v>44803</v>
      </c>
      <c r="C1726" s="122">
        <v>59537.07</v>
      </c>
    </row>
    <row r="1727" spans="2:3" x14ac:dyDescent="0.25">
      <c r="B1727" s="216">
        <v>44805</v>
      </c>
      <c r="C1727" s="122">
        <v>58766.59</v>
      </c>
    </row>
    <row r="1728" spans="2:3" x14ac:dyDescent="0.25">
      <c r="B1728" s="216">
        <v>44806</v>
      </c>
      <c r="C1728" s="122">
        <v>58803.33</v>
      </c>
    </row>
    <row r="1729" spans="2:3" x14ac:dyDescent="0.25">
      <c r="B1729" s="216">
        <v>44809</v>
      </c>
      <c r="C1729" s="122">
        <v>59245.98</v>
      </c>
    </row>
    <row r="1730" spans="2:3" x14ac:dyDescent="0.25">
      <c r="B1730" s="216">
        <v>44810</v>
      </c>
      <c r="C1730" s="122">
        <v>59196.99</v>
      </c>
    </row>
    <row r="1731" spans="2:3" x14ac:dyDescent="0.25">
      <c r="B1731" s="216">
        <v>44811</v>
      </c>
      <c r="C1731" s="122">
        <v>59028.91</v>
      </c>
    </row>
    <row r="1732" spans="2:3" x14ac:dyDescent="0.25">
      <c r="B1732" s="216">
        <v>44812</v>
      </c>
      <c r="C1732" s="122">
        <v>59688.22</v>
      </c>
    </row>
    <row r="1733" spans="2:3" x14ac:dyDescent="0.25">
      <c r="B1733" s="216">
        <v>44813</v>
      </c>
      <c r="C1733" s="122">
        <v>59793.14</v>
      </c>
    </row>
    <row r="1734" spans="2:3" x14ac:dyDescent="0.25">
      <c r="B1734" s="216">
        <v>44816</v>
      </c>
      <c r="C1734" s="122">
        <v>60115.13</v>
      </c>
    </row>
    <row r="1735" spans="2:3" x14ac:dyDescent="0.25">
      <c r="B1735" s="216">
        <v>44817</v>
      </c>
      <c r="C1735" s="122">
        <v>60571.08</v>
      </c>
    </row>
    <row r="1736" spans="2:3" x14ac:dyDescent="0.25">
      <c r="B1736" s="216">
        <v>44818</v>
      </c>
      <c r="C1736" s="122">
        <v>60346.97</v>
      </c>
    </row>
    <row r="1737" spans="2:3" x14ac:dyDescent="0.25">
      <c r="B1737" s="216">
        <v>44819</v>
      </c>
      <c r="C1737" s="122">
        <v>59934.01</v>
      </c>
    </row>
    <row r="1738" spans="2:3" x14ac:dyDescent="0.25">
      <c r="B1738" s="216">
        <v>44820</v>
      </c>
      <c r="C1738" s="122">
        <v>58840.79</v>
      </c>
    </row>
    <row r="1739" spans="2:3" x14ac:dyDescent="0.25">
      <c r="B1739" s="216">
        <v>44823</v>
      </c>
      <c r="C1739" s="122">
        <v>59141.23</v>
      </c>
    </row>
    <row r="1740" spans="2:3" x14ac:dyDescent="0.25">
      <c r="B1740" s="216">
        <v>44824</v>
      </c>
      <c r="C1740" s="122">
        <v>59719.74</v>
      </c>
    </row>
    <row r="1741" spans="2:3" x14ac:dyDescent="0.25">
      <c r="B1741" s="216">
        <v>44825</v>
      </c>
      <c r="C1741" s="122">
        <v>59456.78</v>
      </c>
    </row>
    <row r="1742" spans="2:3" x14ac:dyDescent="0.25">
      <c r="B1742" s="216">
        <v>44826</v>
      </c>
      <c r="C1742" s="122">
        <v>59119.72</v>
      </c>
    </row>
    <row r="1743" spans="2:3" x14ac:dyDescent="0.25">
      <c r="B1743" s="216">
        <v>44827</v>
      </c>
      <c r="C1743" s="122">
        <v>58098.92</v>
      </c>
    </row>
    <row r="1744" spans="2:3" x14ac:dyDescent="0.25">
      <c r="B1744" s="216">
        <v>44830</v>
      </c>
      <c r="C1744" s="122">
        <v>57145.22</v>
      </c>
    </row>
    <row r="1745" spans="2:3" x14ac:dyDescent="0.25">
      <c r="B1745" s="216">
        <v>44831</v>
      </c>
      <c r="C1745" s="122">
        <v>57107.519999999997</v>
      </c>
    </row>
    <row r="1746" spans="2:3" x14ac:dyDescent="0.25">
      <c r="B1746" s="216">
        <v>44832</v>
      </c>
      <c r="C1746" s="122">
        <v>56598.28</v>
      </c>
    </row>
    <row r="1747" spans="2:3" x14ac:dyDescent="0.25">
      <c r="B1747" s="216">
        <v>44833</v>
      </c>
      <c r="C1747" s="122">
        <v>56409.96</v>
      </c>
    </row>
    <row r="1748" spans="2:3" x14ac:dyDescent="0.25">
      <c r="B1748" s="216">
        <v>44834</v>
      </c>
      <c r="C1748" s="122">
        <v>57426.92</v>
      </c>
    </row>
    <row r="1749" spans="2:3" x14ac:dyDescent="0.25">
      <c r="B1749" s="216">
        <v>44837</v>
      </c>
      <c r="C1749" s="122">
        <v>56788.81</v>
      </c>
    </row>
    <row r="1750" spans="2:3" x14ac:dyDescent="0.25">
      <c r="B1750" s="216">
        <v>44838</v>
      </c>
      <c r="C1750" s="122">
        <v>58065.47</v>
      </c>
    </row>
    <row r="1751" spans="2:3" x14ac:dyDescent="0.25">
      <c r="B1751" s="216">
        <v>44840</v>
      </c>
      <c r="C1751" s="122">
        <v>58222.1</v>
      </c>
    </row>
    <row r="1752" spans="2:3" x14ac:dyDescent="0.25">
      <c r="B1752" s="216">
        <v>44841</v>
      </c>
      <c r="C1752" s="122">
        <v>58191.29</v>
      </c>
    </row>
    <row r="1753" spans="2:3" x14ac:dyDescent="0.25">
      <c r="B1753" s="216">
        <v>44844</v>
      </c>
      <c r="C1753" s="122">
        <v>57991.11</v>
      </c>
    </row>
    <row r="1754" spans="2:3" x14ac:dyDescent="0.25">
      <c r="B1754" s="216">
        <v>44845</v>
      </c>
      <c r="C1754" s="122">
        <v>57147.32</v>
      </c>
    </row>
    <row r="1755" spans="2:3" x14ac:dyDescent="0.25">
      <c r="B1755" s="216">
        <v>44846</v>
      </c>
      <c r="C1755" s="122">
        <v>57625.91</v>
      </c>
    </row>
    <row r="1756" spans="2:3" x14ac:dyDescent="0.25">
      <c r="B1756" s="216">
        <v>44847</v>
      </c>
      <c r="C1756" s="122">
        <v>57235.33</v>
      </c>
    </row>
    <row r="1757" spans="2:3" x14ac:dyDescent="0.25">
      <c r="B1757" s="216">
        <v>44848</v>
      </c>
      <c r="C1757" s="122">
        <v>57919.97</v>
      </c>
    </row>
    <row r="1758" spans="2:3" x14ac:dyDescent="0.25">
      <c r="B1758" s="216">
        <v>44851</v>
      </c>
      <c r="C1758" s="122">
        <v>58410.98</v>
      </c>
    </row>
    <row r="1759" spans="2:3" x14ac:dyDescent="0.25">
      <c r="B1759" s="216">
        <v>44852</v>
      </c>
      <c r="C1759" s="122">
        <v>58960.6</v>
      </c>
    </row>
    <row r="1760" spans="2:3" x14ac:dyDescent="0.25">
      <c r="B1760" s="216">
        <v>44853</v>
      </c>
      <c r="C1760" s="122">
        <v>59107.19</v>
      </c>
    </row>
    <row r="1761" spans="2:3" x14ac:dyDescent="0.25">
      <c r="B1761" s="216">
        <v>44854</v>
      </c>
      <c r="C1761" s="122">
        <v>59202.9</v>
      </c>
    </row>
    <row r="1762" spans="2:3" x14ac:dyDescent="0.25">
      <c r="B1762" s="216">
        <v>44855</v>
      </c>
      <c r="C1762" s="122">
        <v>59307.15</v>
      </c>
    </row>
    <row r="1763" spans="2:3" x14ac:dyDescent="0.25">
      <c r="B1763" s="216">
        <v>44858</v>
      </c>
      <c r="C1763" s="122">
        <v>59831.66</v>
      </c>
    </row>
    <row r="1764" spans="2:3" x14ac:dyDescent="0.25">
      <c r="B1764" s="216">
        <v>44859</v>
      </c>
      <c r="C1764" s="122">
        <v>59543.96</v>
      </c>
    </row>
    <row r="1765" spans="2:3" x14ac:dyDescent="0.25">
      <c r="B1765" s="216">
        <v>44861</v>
      </c>
      <c r="C1765" s="122">
        <v>59756.84</v>
      </c>
    </row>
    <row r="1766" spans="2:3" x14ac:dyDescent="0.25">
      <c r="B1766" s="216">
        <v>44862</v>
      </c>
      <c r="C1766" s="122">
        <v>59959.85</v>
      </c>
    </row>
    <row r="1767" spans="2:3" x14ac:dyDescent="0.25">
      <c r="B1767" s="216">
        <v>44865</v>
      </c>
      <c r="C1767" s="122">
        <v>60746.59</v>
      </c>
    </row>
    <row r="1768" spans="2:3" x14ac:dyDescent="0.25">
      <c r="B1768" s="216">
        <v>44866</v>
      </c>
      <c r="C1768" s="122">
        <v>61121.35</v>
      </c>
    </row>
    <row r="1769" spans="2:3" x14ac:dyDescent="0.25">
      <c r="B1769" s="216">
        <v>44867</v>
      </c>
      <c r="C1769" s="122">
        <v>60906.09</v>
      </c>
    </row>
    <row r="1770" spans="2:3" x14ac:dyDescent="0.25">
      <c r="B1770" s="216">
        <v>44868</v>
      </c>
      <c r="C1770" s="122">
        <v>60836.41</v>
      </c>
    </row>
    <row r="1771" spans="2:3" x14ac:dyDescent="0.25">
      <c r="B1771" s="216">
        <v>44869</v>
      </c>
      <c r="C1771" s="122">
        <v>60950.36</v>
      </c>
    </row>
    <row r="1772" spans="2:3" x14ac:dyDescent="0.25">
      <c r="B1772" s="216">
        <v>44872</v>
      </c>
      <c r="C1772" s="122">
        <v>61185.15</v>
      </c>
    </row>
    <row r="1773" spans="2:3" x14ac:dyDescent="0.25">
      <c r="B1773" s="216">
        <v>44874</v>
      </c>
      <c r="C1773" s="122">
        <v>61033.55</v>
      </c>
    </row>
    <row r="1774" spans="2:3" x14ac:dyDescent="0.25">
      <c r="B1774" s="216">
        <v>44875</v>
      </c>
      <c r="C1774" s="122">
        <v>60613.7</v>
      </c>
    </row>
    <row r="1775" spans="2:3" x14ac:dyDescent="0.25">
      <c r="B1775" s="216">
        <v>44876</v>
      </c>
      <c r="C1775" s="122">
        <v>61795.040000000001</v>
      </c>
    </row>
    <row r="1776" spans="2:3" x14ac:dyDescent="0.25">
      <c r="B1776" s="216">
        <v>44879</v>
      </c>
      <c r="C1776" s="122">
        <v>61624.15</v>
      </c>
    </row>
    <row r="1777" spans="2:3" x14ac:dyDescent="0.25">
      <c r="B1777" s="216">
        <v>44880</v>
      </c>
      <c r="C1777" s="122">
        <v>61872.99</v>
      </c>
    </row>
    <row r="1778" spans="2:3" x14ac:dyDescent="0.25">
      <c r="B1778" s="216">
        <v>44881</v>
      </c>
      <c r="C1778" s="122">
        <v>61980.72</v>
      </c>
    </row>
    <row r="1779" spans="2:3" x14ac:dyDescent="0.25">
      <c r="B1779" s="216">
        <v>44882</v>
      </c>
      <c r="C1779" s="122">
        <v>61750.6</v>
      </c>
    </row>
    <row r="1780" spans="2:3" x14ac:dyDescent="0.25">
      <c r="B1780" s="216">
        <v>44883</v>
      </c>
      <c r="C1780" s="122">
        <v>61663.48</v>
      </c>
    </row>
    <row r="1781" spans="2:3" x14ac:dyDescent="0.25">
      <c r="B1781" s="216">
        <v>44886</v>
      </c>
      <c r="C1781" s="122">
        <v>61144.84</v>
      </c>
    </row>
    <row r="1782" spans="2:3" x14ac:dyDescent="0.25">
      <c r="B1782" s="216">
        <v>44887</v>
      </c>
      <c r="C1782" s="122">
        <v>61418.96</v>
      </c>
    </row>
    <row r="1783" spans="2:3" x14ac:dyDescent="0.25">
      <c r="B1783" s="216">
        <v>44888</v>
      </c>
      <c r="C1783" s="122">
        <v>61510.58</v>
      </c>
    </row>
    <row r="1784" spans="2:3" x14ac:dyDescent="0.25">
      <c r="B1784" s="216">
        <v>44889</v>
      </c>
      <c r="C1784" s="122">
        <v>62272.68</v>
      </c>
    </row>
    <row r="1785" spans="2:3" x14ac:dyDescent="0.25">
      <c r="B1785" s="216">
        <v>44890</v>
      </c>
      <c r="C1785" s="122">
        <v>62293.64</v>
      </c>
    </row>
    <row r="1786" spans="2:3" x14ac:dyDescent="0.25">
      <c r="B1786" s="216">
        <v>44893</v>
      </c>
      <c r="C1786" s="122">
        <v>62504.800000000003</v>
      </c>
    </row>
    <row r="1787" spans="2:3" x14ac:dyDescent="0.25">
      <c r="B1787" s="216">
        <v>44894</v>
      </c>
      <c r="C1787" s="122">
        <v>62681.84</v>
      </c>
    </row>
    <row r="1788" spans="2:3" x14ac:dyDescent="0.25">
      <c r="B1788" s="216">
        <v>44895</v>
      </c>
      <c r="C1788" s="122">
        <v>63099.65</v>
      </c>
    </row>
    <row r="1789" spans="2:3" x14ac:dyDescent="0.25">
      <c r="B1789" s="216">
        <v>44896</v>
      </c>
      <c r="C1789" s="122">
        <v>63284.19</v>
      </c>
    </row>
    <row r="1790" spans="2:3" x14ac:dyDescent="0.25">
      <c r="B1790" s="216">
        <v>44897</v>
      </c>
      <c r="C1790" s="122">
        <v>62868.5</v>
      </c>
    </row>
    <row r="1791" spans="2:3" x14ac:dyDescent="0.25">
      <c r="B1791" s="216">
        <v>44900</v>
      </c>
      <c r="C1791" s="122">
        <v>62834.6</v>
      </c>
    </row>
    <row r="1792" spans="2:3" x14ac:dyDescent="0.25">
      <c r="B1792" s="216">
        <v>44901</v>
      </c>
      <c r="C1792" s="122">
        <v>62626.36</v>
      </c>
    </row>
    <row r="1793" spans="2:3" x14ac:dyDescent="0.25">
      <c r="B1793" s="216">
        <v>44902</v>
      </c>
      <c r="C1793" s="122">
        <v>62410.68</v>
      </c>
    </row>
    <row r="1794" spans="2:3" x14ac:dyDescent="0.25">
      <c r="B1794" s="216">
        <v>44903</v>
      </c>
      <c r="C1794" s="122">
        <v>62570.68</v>
      </c>
    </row>
    <row r="1795" spans="2:3" x14ac:dyDescent="0.25">
      <c r="B1795" s="216">
        <v>44904</v>
      </c>
      <c r="C1795" s="122">
        <v>62181.67</v>
      </c>
    </row>
    <row r="1796" spans="2:3" x14ac:dyDescent="0.25">
      <c r="B1796" s="216">
        <v>44907</v>
      </c>
      <c r="C1796" s="122">
        <v>62130.57</v>
      </c>
    </row>
    <row r="1797" spans="2:3" x14ac:dyDescent="0.25">
      <c r="B1797" s="216">
        <v>44908</v>
      </c>
      <c r="C1797" s="122">
        <v>62533.3</v>
      </c>
    </row>
    <row r="1798" spans="2:3" x14ac:dyDescent="0.25">
      <c r="B1798" s="216">
        <v>44909</v>
      </c>
      <c r="C1798" s="122">
        <v>62677.91</v>
      </c>
    </row>
    <row r="1799" spans="2:3" x14ac:dyDescent="0.25">
      <c r="B1799" s="216">
        <v>44910</v>
      </c>
      <c r="C1799" s="122">
        <v>61799.03</v>
      </c>
    </row>
    <row r="1800" spans="2:3" x14ac:dyDescent="0.25">
      <c r="B1800" s="216">
        <v>44911</v>
      </c>
      <c r="C1800" s="122">
        <v>61337.81</v>
      </c>
    </row>
    <row r="1801" spans="2:3" x14ac:dyDescent="0.25">
      <c r="B1801" s="216">
        <v>44914</v>
      </c>
      <c r="C1801" s="122">
        <v>61806.19</v>
      </c>
    </row>
    <row r="1802" spans="2:3" x14ac:dyDescent="0.25">
      <c r="B1802" s="216">
        <v>44915</v>
      </c>
      <c r="C1802" s="122">
        <v>61702.29</v>
      </c>
    </row>
    <row r="1803" spans="2:3" x14ac:dyDescent="0.25">
      <c r="B1803" s="216">
        <v>44916</v>
      </c>
      <c r="C1803" s="122">
        <v>61067.24</v>
      </c>
    </row>
    <row r="1804" spans="2:3" x14ac:dyDescent="0.25">
      <c r="B1804" s="216">
        <v>44917</v>
      </c>
      <c r="C1804" s="122">
        <v>60826.22</v>
      </c>
    </row>
    <row r="1805" spans="2:3" x14ac:dyDescent="0.25">
      <c r="B1805" s="216">
        <v>44918</v>
      </c>
      <c r="C1805" s="122">
        <v>59845.29</v>
      </c>
    </row>
    <row r="1806" spans="2:3" x14ac:dyDescent="0.25">
      <c r="B1806" s="216">
        <v>44921</v>
      </c>
      <c r="C1806" s="122">
        <v>60566.42</v>
      </c>
    </row>
    <row r="1807" spans="2:3" x14ac:dyDescent="0.25">
      <c r="B1807" s="216">
        <v>44922</v>
      </c>
      <c r="C1807" s="122">
        <v>60927.43</v>
      </c>
    </row>
    <row r="1808" spans="2:3" x14ac:dyDescent="0.25">
      <c r="B1808" s="216">
        <v>44923</v>
      </c>
      <c r="C1808" s="122">
        <v>60910.28</v>
      </c>
    </row>
    <row r="1809" spans="2:3" x14ac:dyDescent="0.25">
      <c r="B1809" s="216">
        <v>44924</v>
      </c>
      <c r="C1809" s="122">
        <v>61133.88</v>
      </c>
    </row>
    <row r="1810" spans="2:3" x14ac:dyDescent="0.25">
      <c r="B1810" s="216">
        <v>44925</v>
      </c>
      <c r="C1810" s="122">
        <v>60840.74</v>
      </c>
    </row>
    <row r="1811" spans="2:3" x14ac:dyDescent="0.25">
      <c r="B1811" s="216">
        <v>44928</v>
      </c>
      <c r="C1811" s="122">
        <v>61167.79</v>
      </c>
    </row>
    <row r="1812" spans="2:3" x14ac:dyDescent="0.25">
      <c r="B1812" s="216">
        <v>44929</v>
      </c>
      <c r="C1812" s="122">
        <v>61294.2</v>
      </c>
    </row>
    <row r="1813" spans="2:3" x14ac:dyDescent="0.25">
      <c r="B1813" s="216">
        <v>44930</v>
      </c>
      <c r="C1813" s="122">
        <v>60657.45</v>
      </c>
    </row>
    <row r="1814" spans="2:3" x14ac:dyDescent="0.25">
      <c r="B1814" s="216">
        <v>44931</v>
      </c>
      <c r="C1814" s="122">
        <v>60353.27</v>
      </c>
    </row>
    <row r="1815" spans="2:3" x14ac:dyDescent="0.25">
      <c r="B1815" s="216">
        <v>44932</v>
      </c>
      <c r="C1815" s="122">
        <v>59900.37</v>
      </c>
    </row>
    <row r="1816" spans="2:3" x14ac:dyDescent="0.25">
      <c r="B1816" s="216">
        <v>44935</v>
      </c>
      <c r="C1816" s="122">
        <v>60747.31</v>
      </c>
    </row>
    <row r="1817" spans="2:3" x14ac:dyDescent="0.25">
      <c r="B1817" s="216">
        <v>44936</v>
      </c>
      <c r="C1817" s="122">
        <v>60115.48</v>
      </c>
    </row>
    <row r="1818" spans="2:3" x14ac:dyDescent="0.25">
      <c r="B1818" s="216">
        <v>44937</v>
      </c>
      <c r="C1818" s="122">
        <v>60105.5</v>
      </c>
    </row>
    <row r="1819" spans="2:3" x14ac:dyDescent="0.25">
      <c r="B1819" s="216">
        <v>44938</v>
      </c>
      <c r="C1819" s="122">
        <v>59958.03</v>
      </c>
    </row>
    <row r="1820" spans="2:3" x14ac:dyDescent="0.25">
      <c r="B1820" s="216">
        <v>44939</v>
      </c>
      <c r="C1820" s="122">
        <v>60261.18</v>
      </c>
    </row>
    <row r="1821" spans="2:3" x14ac:dyDescent="0.25">
      <c r="B1821" s="216">
        <v>44942</v>
      </c>
      <c r="C1821" s="122">
        <v>60092.97</v>
      </c>
    </row>
    <row r="1822" spans="2:3" x14ac:dyDescent="0.25">
      <c r="B1822" s="216">
        <v>44943</v>
      </c>
      <c r="C1822" s="122">
        <v>60655.72</v>
      </c>
    </row>
    <row r="1823" spans="2:3" x14ac:dyDescent="0.25">
      <c r="B1823" s="216">
        <v>44944</v>
      </c>
      <c r="C1823" s="122">
        <v>61045.74</v>
      </c>
    </row>
    <row r="1824" spans="2:3" x14ac:dyDescent="0.25">
      <c r="B1824" s="216">
        <v>44945</v>
      </c>
      <c r="C1824" s="122">
        <v>60858.43</v>
      </c>
    </row>
    <row r="1825" spans="2:3" x14ac:dyDescent="0.25">
      <c r="B1825" s="216">
        <v>44946</v>
      </c>
      <c r="C1825" s="122">
        <v>60621.77</v>
      </c>
    </row>
    <row r="1826" spans="2:3" x14ac:dyDescent="0.25">
      <c r="B1826" s="216">
        <v>44949</v>
      </c>
      <c r="C1826" s="122">
        <v>60941.67</v>
      </c>
    </row>
    <row r="1827" spans="2:3" x14ac:dyDescent="0.25">
      <c r="B1827" s="216">
        <v>44950</v>
      </c>
      <c r="C1827" s="122">
        <v>60978.75</v>
      </c>
    </row>
    <row r="1828" spans="2:3" x14ac:dyDescent="0.25">
      <c r="B1828" s="216">
        <v>44951</v>
      </c>
      <c r="C1828" s="122">
        <v>60205.06</v>
      </c>
    </row>
    <row r="1829" spans="2:3" x14ac:dyDescent="0.25">
      <c r="B1829" s="216">
        <v>44953</v>
      </c>
      <c r="C1829" s="122">
        <v>59330.9</v>
      </c>
    </row>
    <row r="1830" spans="2:3" x14ac:dyDescent="0.25">
      <c r="B1830" s="216">
        <v>44956</v>
      </c>
      <c r="C1830" s="122">
        <v>59500.41</v>
      </c>
    </row>
    <row r="1831" spans="2:3" x14ac:dyDescent="0.25">
      <c r="B1831" s="216">
        <v>44957</v>
      </c>
      <c r="C1831" s="122">
        <v>59549.9</v>
      </c>
    </row>
    <row r="1832" spans="2:3" x14ac:dyDescent="0.25">
      <c r="B1832" s="216">
        <v>44958</v>
      </c>
      <c r="C1832" s="122">
        <v>59708.08</v>
      </c>
    </row>
    <row r="1833" spans="2:3" x14ac:dyDescent="0.25">
      <c r="B1833" s="216">
        <v>44959</v>
      </c>
      <c r="C1833" s="122">
        <v>59932.24</v>
      </c>
    </row>
    <row r="1834" spans="2:3" x14ac:dyDescent="0.25">
      <c r="B1834" s="216">
        <v>44960</v>
      </c>
      <c r="C1834" s="122">
        <v>60841.88</v>
      </c>
    </row>
    <row r="1835" spans="2:3" x14ac:dyDescent="0.25">
      <c r="B1835" s="216">
        <v>44963</v>
      </c>
      <c r="C1835" s="122">
        <v>60506.9</v>
      </c>
    </row>
    <row r="1836" spans="2:3" x14ac:dyDescent="0.25">
      <c r="B1836" s="216">
        <v>44964</v>
      </c>
      <c r="C1836" s="122">
        <v>60286.04</v>
      </c>
    </row>
    <row r="1837" spans="2:3" x14ac:dyDescent="0.25">
      <c r="B1837" s="216">
        <v>44965</v>
      </c>
      <c r="C1837" s="122">
        <v>60663.79</v>
      </c>
    </row>
    <row r="1838" spans="2:3" x14ac:dyDescent="0.25">
      <c r="B1838" s="216">
        <v>44966</v>
      </c>
      <c r="C1838" s="122">
        <v>60806.22</v>
      </c>
    </row>
    <row r="1839" spans="2:3" x14ac:dyDescent="0.25">
      <c r="B1839" s="216">
        <v>44967</v>
      </c>
      <c r="C1839" s="122">
        <v>60682.7</v>
      </c>
    </row>
    <row r="1840" spans="2:3" x14ac:dyDescent="0.25">
      <c r="B1840" s="216">
        <v>44970</v>
      </c>
      <c r="C1840" s="122">
        <v>60431.839999999997</v>
      </c>
    </row>
    <row r="1841" spans="2:3" x14ac:dyDescent="0.25">
      <c r="B1841" s="216">
        <v>44971</v>
      </c>
      <c r="C1841" s="122">
        <v>61032.26</v>
      </c>
    </row>
    <row r="1842" spans="2:3" x14ac:dyDescent="0.25">
      <c r="B1842" s="216">
        <v>44972</v>
      </c>
      <c r="C1842" s="122">
        <v>61275.09</v>
      </c>
    </row>
    <row r="1843" spans="2:3" x14ac:dyDescent="0.25">
      <c r="B1843" s="216">
        <v>44973</v>
      </c>
      <c r="C1843" s="122">
        <v>61319.51</v>
      </c>
    </row>
    <row r="1844" spans="2:3" x14ac:dyDescent="0.25">
      <c r="B1844" s="216">
        <v>44974</v>
      </c>
      <c r="C1844" s="122">
        <v>61002.57</v>
      </c>
    </row>
    <row r="1845" spans="2:3" x14ac:dyDescent="0.25">
      <c r="B1845" s="216">
        <v>44977</v>
      </c>
      <c r="C1845" s="122">
        <v>60691.54</v>
      </c>
    </row>
    <row r="1846" spans="2:3" x14ac:dyDescent="0.25">
      <c r="B1846" s="216">
        <v>44978</v>
      </c>
      <c r="C1846" s="122">
        <v>60672.72</v>
      </c>
    </row>
    <row r="1847" spans="2:3" x14ac:dyDescent="0.25">
      <c r="B1847" s="216">
        <v>44979</v>
      </c>
      <c r="C1847" s="122">
        <v>59744.98</v>
      </c>
    </row>
    <row r="1848" spans="2:3" x14ac:dyDescent="0.25">
      <c r="B1848" s="216">
        <v>44980</v>
      </c>
      <c r="C1848" s="122">
        <v>59605.8</v>
      </c>
    </row>
    <row r="1849" spans="2:3" x14ac:dyDescent="0.25">
      <c r="B1849" s="216">
        <v>44981</v>
      </c>
      <c r="C1849" s="122">
        <v>59463.93</v>
      </c>
    </row>
    <row r="1850" spans="2:3" x14ac:dyDescent="0.25">
      <c r="B1850" s="216">
        <v>44984</v>
      </c>
      <c r="C1850" s="122">
        <v>59288.35</v>
      </c>
    </row>
    <row r="1851" spans="2:3" x14ac:dyDescent="0.25">
      <c r="B1851" s="216">
        <v>44985</v>
      </c>
      <c r="C1851" s="122">
        <v>58962.12</v>
      </c>
    </row>
    <row r="1852" spans="2:3" x14ac:dyDescent="0.25">
      <c r="B1852" s="216">
        <v>44986</v>
      </c>
      <c r="C1852" s="122">
        <v>59411.08</v>
      </c>
    </row>
    <row r="1853" spans="2:3" x14ac:dyDescent="0.25">
      <c r="B1853" s="216">
        <v>44987</v>
      </c>
      <c r="C1853" s="122">
        <v>58909.35</v>
      </c>
    </row>
    <row r="1854" spans="2:3" x14ac:dyDescent="0.25">
      <c r="B1854" s="216">
        <v>44988</v>
      </c>
      <c r="C1854" s="122">
        <v>59808.97</v>
      </c>
    </row>
    <row r="1855" spans="2:3" x14ac:dyDescent="0.25">
      <c r="B1855" s="216">
        <v>44991</v>
      </c>
      <c r="C1855" s="122">
        <v>60224.46</v>
      </c>
    </row>
    <row r="1856" spans="2:3" x14ac:dyDescent="0.25">
      <c r="B1856" s="216">
        <v>44993</v>
      </c>
      <c r="C1856" s="122">
        <v>60348.09</v>
      </c>
    </row>
    <row r="1857" spans="2:3" x14ac:dyDescent="0.25">
      <c r="B1857" s="216">
        <v>44994</v>
      </c>
      <c r="C1857" s="122">
        <v>59806.28</v>
      </c>
    </row>
    <row r="1858" spans="2:3" x14ac:dyDescent="0.25">
      <c r="B1858" s="216">
        <v>44995</v>
      </c>
      <c r="C1858" s="122">
        <v>59135.13</v>
      </c>
    </row>
    <row r="1859" spans="2:3" x14ac:dyDescent="0.25">
      <c r="B1859" s="216">
        <v>44998</v>
      </c>
      <c r="C1859" s="122">
        <v>58237.85</v>
      </c>
    </row>
    <row r="1860" spans="2:3" x14ac:dyDescent="0.25">
      <c r="B1860" s="216">
        <v>44999</v>
      </c>
      <c r="C1860" s="122">
        <v>57900.19</v>
      </c>
    </row>
    <row r="1861" spans="2:3" x14ac:dyDescent="0.25">
      <c r="B1861" s="216">
        <v>45000</v>
      </c>
      <c r="C1861" s="122">
        <v>57555.9</v>
      </c>
    </row>
    <row r="1862" spans="2:3" x14ac:dyDescent="0.25">
      <c r="B1862" s="216">
        <v>45001</v>
      </c>
      <c r="C1862" s="122">
        <v>57634.84</v>
      </c>
    </row>
    <row r="1863" spans="2:3" x14ac:dyDescent="0.25">
      <c r="B1863" s="216">
        <v>45002</v>
      </c>
      <c r="C1863" s="122">
        <v>57989.9</v>
      </c>
    </row>
    <row r="1864" spans="2:3" x14ac:dyDescent="0.25">
      <c r="B1864" s="216">
        <v>45005</v>
      </c>
      <c r="C1864" s="122">
        <v>57628.95</v>
      </c>
    </row>
    <row r="1865" spans="2:3" x14ac:dyDescent="0.25">
      <c r="B1865" s="216">
        <v>45006</v>
      </c>
      <c r="C1865" s="122">
        <v>58074.68</v>
      </c>
    </row>
    <row r="1866" spans="2:3" x14ac:dyDescent="0.25">
      <c r="B1866" s="216">
        <v>45007</v>
      </c>
      <c r="C1866" s="122">
        <v>58214.59</v>
      </c>
    </row>
    <row r="1867" spans="2:3" x14ac:dyDescent="0.25">
      <c r="B1867" s="216">
        <v>45008</v>
      </c>
      <c r="C1867" s="122">
        <v>57925.279999999999</v>
      </c>
    </row>
    <row r="1868" spans="2:3" x14ac:dyDescent="0.25">
      <c r="B1868" s="216">
        <v>45009</v>
      </c>
      <c r="C1868" s="122">
        <v>57527.1</v>
      </c>
    </row>
    <row r="1869" spans="2:3" x14ac:dyDescent="0.25">
      <c r="B1869" s="216">
        <v>45012</v>
      </c>
      <c r="C1869" s="122">
        <v>57653.86</v>
      </c>
    </row>
    <row r="1870" spans="2:3" x14ac:dyDescent="0.25">
      <c r="B1870" s="216">
        <v>45013</v>
      </c>
      <c r="C1870" s="122">
        <v>57613.72</v>
      </c>
    </row>
    <row r="1871" spans="2:3" x14ac:dyDescent="0.25">
      <c r="B1871" s="216">
        <v>45014</v>
      </c>
      <c r="C1871" s="122">
        <v>57960.09</v>
      </c>
    </row>
    <row r="1872" spans="2:3" x14ac:dyDescent="0.25">
      <c r="B1872" s="216">
        <v>45016</v>
      </c>
      <c r="C1872" s="122">
        <v>58991.519999999997</v>
      </c>
    </row>
    <row r="1873" spans="2:3" x14ac:dyDescent="0.25">
      <c r="B1873" s="216">
        <v>45019</v>
      </c>
      <c r="C1873" s="122">
        <v>59106.44</v>
      </c>
    </row>
    <row r="1874" spans="2:3" x14ac:dyDescent="0.25">
      <c r="B1874" s="216">
        <v>45021</v>
      </c>
      <c r="C1874" s="122">
        <v>59689.31</v>
      </c>
    </row>
    <row r="1875" spans="2:3" x14ac:dyDescent="0.25">
      <c r="B1875" s="216">
        <v>45022</v>
      </c>
      <c r="C1875" s="122">
        <v>59832.97</v>
      </c>
    </row>
    <row r="1876" spans="2:3" x14ac:dyDescent="0.25">
      <c r="B1876" s="216">
        <v>45026</v>
      </c>
      <c r="C1876" s="122">
        <v>59846.51</v>
      </c>
    </row>
    <row r="1877" spans="2:3" x14ac:dyDescent="0.25">
      <c r="B1877" s="216">
        <v>45027</v>
      </c>
      <c r="C1877" s="122">
        <v>60157.72</v>
      </c>
    </row>
    <row r="1878" spans="2:3" x14ac:dyDescent="0.25">
      <c r="B1878" s="216">
        <v>45028</v>
      </c>
      <c r="C1878" s="122">
        <v>60392.77</v>
      </c>
    </row>
    <row r="1879" spans="2:3" x14ac:dyDescent="0.25">
      <c r="B1879" s="216">
        <v>45029</v>
      </c>
      <c r="C1879" s="122">
        <v>60431</v>
      </c>
    </row>
    <row r="1880" spans="2:3" x14ac:dyDescent="0.25">
      <c r="B1880" s="216">
        <v>45033</v>
      </c>
      <c r="C1880" s="122">
        <v>59910.75</v>
      </c>
    </row>
    <row r="1881" spans="2:3" x14ac:dyDescent="0.25">
      <c r="B1881" s="216">
        <v>45034</v>
      </c>
      <c r="C1881" s="122">
        <v>59727.01</v>
      </c>
    </row>
    <row r="1882" spans="2:3" x14ac:dyDescent="0.25">
      <c r="B1882" s="216">
        <v>45035</v>
      </c>
      <c r="C1882" s="122">
        <v>59567.8</v>
      </c>
    </row>
    <row r="1883" spans="2:3" x14ac:dyDescent="0.25">
      <c r="B1883" s="216">
        <v>45036</v>
      </c>
      <c r="C1883" s="122">
        <v>59632.35</v>
      </c>
    </row>
    <row r="1884" spans="2:3" x14ac:dyDescent="0.25">
      <c r="B1884" s="216">
        <v>45037</v>
      </c>
      <c r="C1884" s="122">
        <v>59655.06</v>
      </c>
    </row>
    <row r="1885" spans="2:3" x14ac:dyDescent="0.25">
      <c r="B1885" s="216">
        <v>45040</v>
      </c>
      <c r="C1885" s="122">
        <v>60056.1</v>
      </c>
    </row>
    <row r="1886" spans="2:3" x14ac:dyDescent="0.25">
      <c r="B1886" s="216">
        <v>45041</v>
      </c>
      <c r="C1886" s="122">
        <v>60130.71</v>
      </c>
    </row>
    <row r="1887" spans="2:3" x14ac:dyDescent="0.25">
      <c r="B1887" s="216">
        <v>45042</v>
      </c>
      <c r="C1887" s="122">
        <v>60300.58</v>
      </c>
    </row>
    <row r="1888" spans="2:3" x14ac:dyDescent="0.25">
      <c r="B1888" s="216">
        <v>45043</v>
      </c>
      <c r="C1888" s="122">
        <v>60649.38</v>
      </c>
    </row>
    <row r="1889" spans="2:3" x14ac:dyDescent="0.25">
      <c r="B1889" s="216">
        <v>45044</v>
      </c>
      <c r="C1889" s="122">
        <v>61112.44</v>
      </c>
    </row>
    <row r="1890" spans="2:3" x14ac:dyDescent="0.25">
      <c r="B1890" s="216">
        <v>45048</v>
      </c>
      <c r="C1890" s="122">
        <v>61354.71</v>
      </c>
    </row>
    <row r="1891" spans="2:3" x14ac:dyDescent="0.25">
      <c r="B1891" s="216">
        <v>45049</v>
      </c>
      <c r="C1891" s="122">
        <v>61193.3</v>
      </c>
    </row>
    <row r="1892" spans="2:3" x14ac:dyDescent="0.25">
      <c r="B1892" s="216">
        <v>45050</v>
      </c>
      <c r="C1892" s="122">
        <v>61749.25</v>
      </c>
    </row>
    <row r="1893" spans="2:3" x14ac:dyDescent="0.25">
      <c r="B1893" s="216">
        <v>45051</v>
      </c>
      <c r="C1893" s="122">
        <v>61054.29</v>
      </c>
    </row>
    <row r="1894" spans="2:3" x14ac:dyDescent="0.25">
      <c r="B1894" s="216">
        <v>45054</v>
      </c>
      <c r="C1894" s="122">
        <v>61764.25</v>
      </c>
    </row>
    <row r="1895" spans="2:3" x14ac:dyDescent="0.25">
      <c r="B1895" s="216">
        <v>45055</v>
      </c>
      <c r="C1895" s="122">
        <v>61761.33</v>
      </c>
    </row>
    <row r="1896" spans="2:3" x14ac:dyDescent="0.25">
      <c r="B1896" s="216">
        <v>45056</v>
      </c>
      <c r="C1896" s="122">
        <v>61940.2</v>
      </c>
    </row>
    <row r="1897" spans="2:3" x14ac:dyDescent="0.25">
      <c r="B1897" s="216">
        <v>45057</v>
      </c>
      <c r="C1897" s="122">
        <v>61904.52</v>
      </c>
    </row>
    <row r="1898" spans="2:3" x14ac:dyDescent="0.25">
      <c r="B1898" s="216">
        <v>45058</v>
      </c>
      <c r="C1898" s="122">
        <v>62027.9</v>
      </c>
    </row>
    <row r="1899" spans="2:3" x14ac:dyDescent="0.25">
      <c r="B1899" s="216">
        <v>45061</v>
      </c>
      <c r="C1899" s="122">
        <v>62345.71</v>
      </c>
    </row>
    <row r="1900" spans="2:3" x14ac:dyDescent="0.25">
      <c r="B1900" s="216">
        <v>45062</v>
      </c>
      <c r="C1900" s="122">
        <v>61932.47</v>
      </c>
    </row>
    <row r="1901" spans="2:3" x14ac:dyDescent="0.25">
      <c r="B1901" s="216">
        <v>45063</v>
      </c>
      <c r="C1901" s="122">
        <v>61560.639999999999</v>
      </c>
    </row>
    <row r="1902" spans="2:3" x14ac:dyDescent="0.25">
      <c r="B1902" s="216">
        <v>45064</v>
      </c>
      <c r="C1902" s="122">
        <v>61431.74</v>
      </c>
    </row>
    <row r="1903" spans="2:3" x14ac:dyDescent="0.25">
      <c r="B1903" s="216">
        <v>45065</v>
      </c>
      <c r="C1903" s="122">
        <v>61729.68</v>
      </c>
    </row>
    <row r="1904" spans="2:3" x14ac:dyDescent="0.25">
      <c r="B1904" s="216">
        <v>45068</v>
      </c>
      <c r="C1904" s="122">
        <v>61963.68</v>
      </c>
    </row>
    <row r="1905" spans="2:3" x14ac:dyDescent="0.25">
      <c r="B1905" s="216">
        <v>45069</v>
      </c>
      <c r="C1905" s="122">
        <v>61981.79</v>
      </c>
    </row>
    <row r="1906" spans="2:3" x14ac:dyDescent="0.25">
      <c r="B1906" s="216">
        <v>45070</v>
      </c>
      <c r="C1906" s="122">
        <v>61773.78</v>
      </c>
    </row>
    <row r="1907" spans="2:3" x14ac:dyDescent="0.25">
      <c r="B1907" s="216">
        <v>45071</v>
      </c>
      <c r="C1907" s="122">
        <v>61872.62</v>
      </c>
    </row>
    <row r="1908" spans="2:3" x14ac:dyDescent="0.25">
      <c r="B1908" s="216">
        <v>45072</v>
      </c>
      <c r="C1908" s="122">
        <v>62501.69</v>
      </c>
    </row>
    <row r="1909" spans="2:3" x14ac:dyDescent="0.25">
      <c r="B1909" s="216">
        <v>45075</v>
      </c>
      <c r="C1909" s="122">
        <v>62846.38</v>
      </c>
    </row>
    <row r="1910" spans="2:3" x14ac:dyDescent="0.25">
      <c r="B1910" s="216">
        <v>45076</v>
      </c>
      <c r="C1910" s="122">
        <v>62969.13</v>
      </c>
    </row>
    <row r="1911" spans="2:3" x14ac:dyDescent="0.25">
      <c r="B1911" s="216">
        <v>45077</v>
      </c>
      <c r="C1911" s="122">
        <v>62622.239999999998</v>
      </c>
    </row>
    <row r="1912" spans="2:3" x14ac:dyDescent="0.25">
      <c r="B1912" s="216">
        <v>45078</v>
      </c>
      <c r="C1912" s="122">
        <v>62428.54</v>
      </c>
    </row>
    <row r="1913" spans="2:3" x14ac:dyDescent="0.25">
      <c r="B1913" s="216">
        <v>45079</v>
      </c>
      <c r="C1913" s="122">
        <v>62547.11</v>
      </c>
    </row>
    <row r="1914" spans="2:3" x14ac:dyDescent="0.25">
      <c r="B1914" s="216">
        <v>45082</v>
      </c>
      <c r="C1914" s="122">
        <v>62787.47</v>
      </c>
    </row>
    <row r="1915" spans="2:3" x14ac:dyDescent="0.25">
      <c r="B1915" s="216">
        <v>45083</v>
      </c>
      <c r="C1915" s="122">
        <v>62792.88</v>
      </c>
    </row>
    <row r="1916" spans="2:3" x14ac:dyDescent="0.25">
      <c r="B1916" s="216">
        <v>45084</v>
      </c>
      <c r="C1916" s="122">
        <v>63142.96</v>
      </c>
    </row>
    <row r="1917" spans="2:3" x14ac:dyDescent="0.25">
      <c r="B1917" s="216">
        <v>45085</v>
      </c>
      <c r="C1917" s="122">
        <v>62848.639999999999</v>
      </c>
    </row>
    <row r="1918" spans="2:3" x14ac:dyDescent="0.25">
      <c r="B1918" s="216">
        <v>45086</v>
      </c>
      <c r="C1918" s="122">
        <v>62625.63</v>
      </c>
    </row>
    <row r="1919" spans="2:3" x14ac:dyDescent="0.25">
      <c r="B1919" s="216">
        <v>45089</v>
      </c>
      <c r="C1919" s="122">
        <v>62724.71</v>
      </c>
    </row>
    <row r="1920" spans="2:3" x14ac:dyDescent="0.25">
      <c r="B1920" s="216">
        <v>45090</v>
      </c>
      <c r="C1920" s="122">
        <v>63143.16</v>
      </c>
    </row>
    <row r="1921" spans="2:3" x14ac:dyDescent="0.25">
      <c r="B1921" s="216">
        <v>45091</v>
      </c>
      <c r="C1921" s="122">
        <v>63228.51</v>
      </c>
    </row>
    <row r="1922" spans="2:3" x14ac:dyDescent="0.25">
      <c r="B1922" s="216">
        <v>45092</v>
      </c>
      <c r="C1922" s="122">
        <v>62917.63</v>
      </c>
    </row>
    <row r="1923" spans="2:3" x14ac:dyDescent="0.25">
      <c r="B1923" s="216">
        <v>45093</v>
      </c>
      <c r="C1923" s="122">
        <v>63384.58</v>
      </c>
    </row>
    <row r="1924" spans="2:3" x14ac:dyDescent="0.25">
      <c r="B1924" s="216">
        <v>45096</v>
      </c>
      <c r="C1924" s="122">
        <v>63168.3</v>
      </c>
    </row>
    <row r="1925" spans="2:3" x14ac:dyDescent="0.25">
      <c r="B1925" s="216">
        <v>45097</v>
      </c>
      <c r="C1925" s="122">
        <v>63327.7</v>
      </c>
    </row>
    <row r="1926" spans="2:3" x14ac:dyDescent="0.25">
      <c r="B1926" s="216">
        <v>45098</v>
      </c>
      <c r="C1926" s="122">
        <v>63523.15</v>
      </c>
    </row>
    <row r="1927" spans="2:3" x14ac:dyDescent="0.25">
      <c r="B1927" s="216">
        <v>45099</v>
      </c>
      <c r="C1927" s="122">
        <v>63238.89</v>
      </c>
    </row>
    <row r="1928" spans="2:3" x14ac:dyDescent="0.25">
      <c r="B1928" s="216">
        <v>45100</v>
      </c>
      <c r="C1928" s="122">
        <v>62979.37</v>
      </c>
    </row>
    <row r="1929" spans="2:3" x14ac:dyDescent="0.25">
      <c r="B1929" s="216">
        <v>45103</v>
      </c>
      <c r="C1929" s="122">
        <v>62970</v>
      </c>
    </row>
    <row r="1930" spans="2:3" x14ac:dyDescent="0.25">
      <c r="B1930" s="216">
        <v>45104</v>
      </c>
      <c r="C1930" s="122">
        <v>63416.03</v>
      </c>
    </row>
    <row r="1931" spans="2:3" x14ac:dyDescent="0.25">
      <c r="B1931" s="216">
        <v>45105</v>
      </c>
      <c r="C1931" s="122">
        <v>63915.42</v>
      </c>
    </row>
    <row r="1932" spans="2:3" x14ac:dyDescent="0.25">
      <c r="B1932" s="216">
        <v>45107</v>
      </c>
      <c r="C1932" s="122">
        <v>64718.559999999998</v>
      </c>
    </row>
    <row r="1933" spans="2:3" x14ac:dyDescent="0.25">
      <c r="B1933" s="216">
        <v>45110</v>
      </c>
      <c r="C1933" s="122">
        <v>65205.05</v>
      </c>
    </row>
    <row r="1934" spans="2:3" x14ac:dyDescent="0.25">
      <c r="B1934" s="216">
        <v>45111</v>
      </c>
      <c r="C1934" s="122">
        <v>65479.05</v>
      </c>
    </row>
    <row r="1935" spans="2:3" x14ac:dyDescent="0.25">
      <c r="B1935" s="216">
        <v>45112</v>
      </c>
      <c r="C1935" s="122">
        <v>65446.04</v>
      </c>
    </row>
    <row r="1936" spans="2:3" x14ac:dyDescent="0.25">
      <c r="B1936" s="216">
        <v>45113</v>
      </c>
      <c r="C1936" s="122">
        <v>65785.64</v>
      </c>
    </row>
    <row r="1937" spans="2:3" x14ac:dyDescent="0.25">
      <c r="B1937" s="216">
        <v>45114</v>
      </c>
      <c r="C1937" s="122">
        <v>65280.45</v>
      </c>
    </row>
    <row r="1938" spans="2:3" x14ac:dyDescent="0.25">
      <c r="B1938" s="216">
        <v>45117</v>
      </c>
      <c r="C1938" s="122">
        <v>65344.17</v>
      </c>
    </row>
    <row r="1939" spans="2:3" x14ac:dyDescent="0.25">
      <c r="B1939" s="216">
        <v>45118</v>
      </c>
      <c r="C1939" s="122">
        <v>65617.84</v>
      </c>
    </row>
    <row r="1940" spans="2:3" x14ac:dyDescent="0.25">
      <c r="B1940" s="216">
        <v>45119</v>
      </c>
      <c r="C1940" s="122">
        <v>65393.9</v>
      </c>
    </row>
    <row r="1941" spans="2:3" x14ac:dyDescent="0.25">
      <c r="B1941" s="216">
        <v>45120</v>
      </c>
      <c r="C1941" s="122">
        <v>65558.89</v>
      </c>
    </row>
    <row r="1942" spans="2:3" x14ac:dyDescent="0.25">
      <c r="B1942" s="216">
        <v>45121</v>
      </c>
      <c r="C1942" s="122">
        <v>66060.899999999994</v>
      </c>
    </row>
    <row r="1943" spans="2:3" x14ac:dyDescent="0.25">
      <c r="B1943" s="216">
        <v>45124</v>
      </c>
      <c r="C1943" s="122">
        <v>66589.929999999993</v>
      </c>
    </row>
    <row r="1944" spans="2:3" x14ac:dyDescent="0.25">
      <c r="B1944" s="216">
        <v>45125</v>
      </c>
      <c r="C1944" s="122">
        <v>66795.14</v>
      </c>
    </row>
    <row r="1945" spans="2:3" x14ac:dyDescent="0.25">
      <c r="B1945" s="216">
        <v>45126</v>
      </c>
      <c r="C1945" s="122">
        <v>67097.440000000002</v>
      </c>
    </row>
    <row r="1946" spans="2:3" x14ac:dyDescent="0.25">
      <c r="B1946" s="216">
        <v>45127</v>
      </c>
      <c r="C1946" s="122">
        <v>67571.899999999994</v>
      </c>
    </row>
    <row r="1947" spans="2:3" x14ac:dyDescent="0.25">
      <c r="B1947" s="216">
        <v>45128</v>
      </c>
      <c r="C1947" s="122">
        <v>66684.259999999995</v>
      </c>
    </row>
    <row r="1948" spans="2:3" x14ac:dyDescent="0.25">
      <c r="B1948" s="216">
        <v>45131</v>
      </c>
      <c r="C1948" s="122">
        <v>66384.78</v>
      </c>
    </row>
    <row r="1949" spans="2:3" x14ac:dyDescent="0.25">
      <c r="B1949" s="216">
        <v>45132</v>
      </c>
      <c r="C1949" s="122">
        <v>66355.710000000006</v>
      </c>
    </row>
    <row r="1950" spans="2:3" x14ac:dyDescent="0.25">
      <c r="B1950" s="216">
        <v>45133</v>
      </c>
      <c r="C1950" s="122">
        <v>66707.199999999997</v>
      </c>
    </row>
    <row r="1951" spans="2:3" x14ac:dyDescent="0.25">
      <c r="B1951" s="216">
        <v>45134</v>
      </c>
      <c r="C1951" s="122">
        <v>66266.820000000007</v>
      </c>
    </row>
    <row r="1952" spans="2:3" x14ac:dyDescent="0.25">
      <c r="B1952" s="216">
        <v>45135</v>
      </c>
      <c r="C1952" s="122">
        <v>66160.2</v>
      </c>
    </row>
    <row r="1953" spans="2:3" x14ac:dyDescent="0.25">
      <c r="B1953" s="216">
        <v>45138</v>
      </c>
      <c r="C1953" s="122">
        <v>66527.67</v>
      </c>
    </row>
    <row r="1954" spans="2:3" x14ac:dyDescent="0.25">
      <c r="B1954" s="216">
        <v>45139</v>
      </c>
      <c r="C1954" s="122">
        <v>66459.31</v>
      </c>
    </row>
    <row r="1955" spans="2:3" x14ac:dyDescent="0.25">
      <c r="B1955" s="216">
        <v>45140</v>
      </c>
      <c r="C1955" s="122">
        <v>65782.78</v>
      </c>
    </row>
    <row r="1956" spans="2:3" x14ac:dyDescent="0.25">
      <c r="B1956" s="216">
        <v>45141</v>
      </c>
      <c r="C1956" s="122">
        <v>65240.68</v>
      </c>
    </row>
    <row r="1957" spans="2:3" x14ac:dyDescent="0.25">
      <c r="B1957" s="216">
        <v>45142</v>
      </c>
      <c r="C1957" s="122">
        <v>65721.25</v>
      </c>
    </row>
    <row r="1958" spans="2:3" x14ac:dyDescent="0.25">
      <c r="B1958" s="216">
        <v>45145</v>
      </c>
      <c r="C1958" s="122">
        <v>65953.48</v>
      </c>
    </row>
    <row r="1959" spans="2:3" x14ac:dyDescent="0.25">
      <c r="B1959" s="216">
        <v>45146</v>
      </c>
      <c r="C1959" s="122">
        <v>65846.5</v>
      </c>
    </row>
    <row r="1960" spans="2:3" x14ac:dyDescent="0.25">
      <c r="B1960" s="216">
        <v>45147</v>
      </c>
      <c r="C1960" s="122">
        <v>65995.81</v>
      </c>
    </row>
    <row r="1961" spans="2:3" x14ac:dyDescent="0.25">
      <c r="B1961" s="216">
        <v>45148</v>
      </c>
      <c r="C1961" s="122">
        <v>65688.179999999993</v>
      </c>
    </row>
    <row r="1962" spans="2:3" x14ac:dyDescent="0.25">
      <c r="B1962" s="216">
        <v>45149</v>
      </c>
      <c r="C1962" s="122">
        <v>65322.65</v>
      </c>
    </row>
    <row r="1963" spans="2:3" x14ac:dyDescent="0.25">
      <c r="B1963" s="216">
        <v>45152</v>
      </c>
      <c r="C1963" s="122">
        <v>65401.919999999998</v>
      </c>
    </row>
    <row r="1964" spans="2:3" x14ac:dyDescent="0.25">
      <c r="B1964" s="216">
        <v>45154</v>
      </c>
      <c r="C1964" s="122">
        <v>65539.42</v>
      </c>
    </row>
    <row r="1965" spans="2:3" x14ac:dyDescent="0.25">
      <c r="B1965" s="216">
        <v>45155</v>
      </c>
      <c r="C1965" s="122">
        <v>65151.02</v>
      </c>
    </row>
    <row r="1966" spans="2:3" x14ac:dyDescent="0.25">
      <c r="B1966" s="216">
        <v>45156</v>
      </c>
      <c r="C1966" s="122">
        <v>64948.66</v>
      </c>
    </row>
    <row r="1967" spans="2:3" x14ac:dyDescent="0.25">
      <c r="B1967" s="216">
        <v>45159</v>
      </c>
      <c r="C1967" s="122">
        <v>65216.09</v>
      </c>
    </row>
    <row r="1968" spans="2:3" x14ac:dyDescent="0.25">
      <c r="B1968" s="216">
        <v>45160</v>
      </c>
      <c r="C1968" s="122">
        <v>65220.03</v>
      </c>
    </row>
    <row r="1969" spans="2:3" x14ac:dyDescent="0.25">
      <c r="B1969" s="216">
        <v>45161</v>
      </c>
      <c r="C1969" s="122">
        <v>65433.3</v>
      </c>
    </row>
    <row r="1970" spans="2:3" x14ac:dyDescent="0.25">
      <c r="B1970" s="216">
        <v>45162</v>
      </c>
      <c r="C1970" s="122">
        <v>65252.34</v>
      </c>
    </row>
    <row r="1971" spans="2:3" x14ac:dyDescent="0.25">
      <c r="B1971" s="216">
        <v>45163</v>
      </c>
      <c r="C1971" s="122">
        <v>64886.51</v>
      </c>
    </row>
    <row r="1972" spans="2:3" x14ac:dyDescent="0.25">
      <c r="B1972" s="216">
        <v>45166</v>
      </c>
      <c r="C1972" s="122">
        <v>64996.6</v>
      </c>
    </row>
    <row r="1973" spans="2:3" x14ac:dyDescent="0.25">
      <c r="B1973" s="216">
        <v>45167</v>
      </c>
      <c r="C1973" s="122">
        <v>65075.82</v>
      </c>
    </row>
    <row r="1974" spans="2:3" x14ac:dyDescent="0.25">
      <c r="B1974" s="216">
        <v>45168</v>
      </c>
      <c r="C1974" s="122">
        <v>65087.25</v>
      </c>
    </row>
    <row r="1975" spans="2:3" x14ac:dyDescent="0.25">
      <c r="B1975" s="216">
        <v>45169</v>
      </c>
      <c r="C1975" s="122">
        <v>64831.41</v>
      </c>
    </row>
    <row r="1976" spans="2:3" x14ac:dyDescent="0.25">
      <c r="B1976" s="216">
        <v>45170</v>
      </c>
      <c r="C1976" s="122">
        <v>65387.16</v>
      </c>
    </row>
    <row r="1977" spans="2:3" x14ac:dyDescent="0.25">
      <c r="B1977" s="216">
        <v>45173</v>
      </c>
      <c r="C1977" s="122">
        <v>65628.14</v>
      </c>
    </row>
    <row r="1978" spans="2:3" x14ac:dyDescent="0.25">
      <c r="B1978" s="216">
        <v>45174</v>
      </c>
      <c r="C1978" s="122">
        <v>65780.259999999995</v>
      </c>
    </row>
    <row r="1979" spans="2:3" x14ac:dyDescent="0.25">
      <c r="B1979" s="216">
        <v>45175</v>
      </c>
      <c r="C1979" s="122">
        <v>65880.52</v>
      </c>
    </row>
    <row r="1980" spans="2:3" x14ac:dyDescent="0.25">
      <c r="B1980" s="216">
        <v>45176</v>
      </c>
      <c r="C1980" s="122">
        <v>66265.56</v>
      </c>
    </row>
    <row r="1981" spans="2:3" x14ac:dyDescent="0.25">
      <c r="B1981" s="216">
        <v>45177</v>
      </c>
      <c r="C1981" s="122">
        <v>66598.91</v>
      </c>
    </row>
    <row r="1982" spans="2:3" x14ac:dyDescent="0.25">
      <c r="B1982" s="216">
        <v>45180</v>
      </c>
      <c r="C1982" s="122">
        <v>67127.08</v>
      </c>
    </row>
    <row r="1983" spans="2:3" x14ac:dyDescent="0.25">
      <c r="B1983" s="216">
        <v>45181</v>
      </c>
      <c r="C1983" s="122">
        <v>67221.13</v>
      </c>
    </row>
    <row r="1984" spans="2:3" x14ac:dyDescent="0.25">
      <c r="B1984" s="216">
        <v>45182</v>
      </c>
      <c r="C1984" s="122">
        <v>67466.990000000005</v>
      </c>
    </row>
    <row r="1985" spans="2:3" x14ac:dyDescent="0.25">
      <c r="B1985" s="216">
        <v>45183</v>
      </c>
      <c r="C1985" s="122">
        <v>67519</v>
      </c>
    </row>
    <row r="1986" spans="2:3" x14ac:dyDescent="0.25">
      <c r="B1986" s="216">
        <v>45184</v>
      </c>
      <c r="C1986" s="122">
        <v>67838.63</v>
      </c>
    </row>
    <row r="1987" spans="2:3" x14ac:dyDescent="0.25">
      <c r="B1987" s="216">
        <v>45187</v>
      </c>
      <c r="C1987" s="122">
        <v>67596.84</v>
      </c>
    </row>
    <row r="1988" spans="2:3" x14ac:dyDescent="0.25">
      <c r="B1988" s="216">
        <v>45189</v>
      </c>
      <c r="C1988" s="122">
        <v>66800.84</v>
      </c>
    </row>
    <row r="1989" spans="2:3" x14ac:dyDescent="0.25">
      <c r="B1989" s="216">
        <v>45190</v>
      </c>
      <c r="C1989" s="122">
        <v>66230.240000000005</v>
      </c>
    </row>
    <row r="1990" spans="2:3" x14ac:dyDescent="0.25">
      <c r="B1990" s="216">
        <v>45191</v>
      </c>
      <c r="C1990" s="122">
        <v>66009.149999999994</v>
      </c>
    </row>
    <row r="1991" spans="2:3" x14ac:dyDescent="0.25">
      <c r="B1991" s="216">
        <v>45194</v>
      </c>
      <c r="C1991" s="122">
        <v>66023.69</v>
      </c>
    </row>
    <row r="1992" spans="2:3" x14ac:dyDescent="0.25">
      <c r="B1992" s="216">
        <v>45195</v>
      </c>
      <c r="C1992" s="122">
        <v>65945.47</v>
      </c>
    </row>
    <row r="1993" spans="2:3" x14ac:dyDescent="0.25">
      <c r="B1993" s="216">
        <v>45196</v>
      </c>
      <c r="C1993" s="122">
        <v>66118.69</v>
      </c>
    </row>
    <row r="1994" spans="2:3" x14ac:dyDescent="0.25">
      <c r="B1994" s="216">
        <v>45197</v>
      </c>
      <c r="C1994" s="122">
        <v>65508.32</v>
      </c>
    </row>
    <row r="1995" spans="2:3" x14ac:dyDescent="0.25">
      <c r="B1995" s="216">
        <v>45198</v>
      </c>
      <c r="C1995" s="122">
        <v>65828.41</v>
      </c>
    </row>
    <row r="1996" spans="2:3" x14ac:dyDescent="0.25">
      <c r="B1996" s="216">
        <v>45202</v>
      </c>
      <c r="C1996" s="122">
        <v>65512.1</v>
      </c>
    </row>
    <row r="1997" spans="2:3" x14ac:dyDescent="0.25">
      <c r="B1997" s="216">
        <v>45203</v>
      </c>
      <c r="C1997" s="122">
        <v>65226.04</v>
      </c>
    </row>
    <row r="1998" spans="2:3" x14ac:dyDescent="0.25">
      <c r="B1998" s="216">
        <v>45204</v>
      </c>
      <c r="C1998" s="122">
        <v>65631.570000000007</v>
      </c>
    </row>
    <row r="1999" spans="2:3" x14ac:dyDescent="0.25">
      <c r="B1999" s="216">
        <v>45205</v>
      </c>
      <c r="C1999" s="122">
        <v>65995.63</v>
      </c>
    </row>
    <row r="2000" spans="2:3" x14ac:dyDescent="0.25">
      <c r="B2000" s="216">
        <v>45208</v>
      </c>
      <c r="C2000" s="122">
        <v>65512.39</v>
      </c>
    </row>
    <row r="2001" spans="2:3" x14ac:dyDescent="0.25">
      <c r="B2001" s="216">
        <v>45209</v>
      </c>
      <c r="C2001" s="122">
        <v>66079.360000000001</v>
      </c>
    </row>
    <row r="2002" spans="2:3" x14ac:dyDescent="0.25">
      <c r="B2002" s="216">
        <v>45210</v>
      </c>
      <c r="C2002" s="122">
        <v>66473.05</v>
      </c>
    </row>
    <row r="2003" spans="2:3" x14ac:dyDescent="0.25">
      <c r="B2003" s="216">
        <v>45211</v>
      </c>
      <c r="C2003" s="122">
        <v>66408.39</v>
      </c>
    </row>
    <row r="2004" spans="2:3" x14ac:dyDescent="0.25">
      <c r="B2004" s="216">
        <v>45212</v>
      </c>
      <c r="C2004" s="122">
        <v>66282.740000000005</v>
      </c>
    </row>
    <row r="2005" spans="2:3" x14ac:dyDescent="0.25">
      <c r="B2005" s="216">
        <v>45215</v>
      </c>
      <c r="C2005" s="122">
        <v>66166.929999999993</v>
      </c>
    </row>
    <row r="2006" spans="2:3" x14ac:dyDescent="0.25">
      <c r="B2006" s="216">
        <v>45216</v>
      </c>
      <c r="C2006" s="122">
        <v>66428.09</v>
      </c>
    </row>
    <row r="2007" spans="2:3" x14ac:dyDescent="0.25">
      <c r="B2007" s="216">
        <v>45217</v>
      </c>
      <c r="C2007" s="122">
        <v>65877.02</v>
      </c>
    </row>
    <row r="2008" spans="2:3" x14ac:dyDescent="0.25">
      <c r="B2008" s="216">
        <v>45218</v>
      </c>
      <c r="C2008" s="122">
        <v>65629.240000000005</v>
      </c>
    </row>
    <row r="2009" spans="2:3" x14ac:dyDescent="0.25">
      <c r="B2009" s="216">
        <v>45219</v>
      </c>
      <c r="C2009" s="122">
        <v>65397.62</v>
      </c>
    </row>
    <row r="2010" spans="2:3" x14ac:dyDescent="0.25">
      <c r="B2010" s="216">
        <v>45222</v>
      </c>
      <c r="C2010" s="122">
        <v>64571.88</v>
      </c>
    </row>
    <row r="2011" spans="2:3" x14ac:dyDescent="0.25">
      <c r="B2011" s="216">
        <v>45224</v>
      </c>
      <c r="C2011" s="122">
        <v>64049.06</v>
      </c>
    </row>
    <row r="2012" spans="2:3" x14ac:dyDescent="0.25">
      <c r="B2012" s="216">
        <v>45225</v>
      </c>
      <c r="C2012" s="122">
        <v>63148.15</v>
      </c>
    </row>
    <row r="2013" spans="2:3" x14ac:dyDescent="0.25">
      <c r="B2013" s="216">
        <v>45226</v>
      </c>
      <c r="C2013" s="122">
        <v>63782.8</v>
      </c>
    </row>
    <row r="2014" spans="2:3" x14ac:dyDescent="0.25">
      <c r="B2014" s="216">
        <v>45229</v>
      </c>
      <c r="C2014" s="122">
        <v>64112.65</v>
      </c>
    </row>
    <row r="2015" spans="2:3" x14ac:dyDescent="0.25">
      <c r="B2015" s="216">
        <v>45230</v>
      </c>
      <c r="C2015" s="122">
        <v>63874.93</v>
      </c>
    </row>
    <row r="2016" spans="2:3" x14ac:dyDescent="0.25">
      <c r="B2016" s="216">
        <v>45231</v>
      </c>
      <c r="C2016" s="122">
        <v>63591.33</v>
      </c>
    </row>
    <row r="2017" spans="2:3" x14ac:dyDescent="0.25">
      <c r="B2017" s="216">
        <v>45232</v>
      </c>
      <c r="C2017" s="122">
        <v>64080.9</v>
      </c>
    </row>
    <row r="2018" spans="2:3" x14ac:dyDescent="0.25">
      <c r="B2018" s="216">
        <v>45233</v>
      </c>
      <c r="C2018" s="122">
        <v>64363.78</v>
      </c>
    </row>
    <row r="2019" spans="2:3" x14ac:dyDescent="0.25">
      <c r="B2019" s="216">
        <v>45236</v>
      </c>
      <c r="C2019" s="122">
        <v>64958.69</v>
      </c>
    </row>
    <row r="2020" spans="2:3" x14ac:dyDescent="0.25">
      <c r="B2020" s="216">
        <v>45237</v>
      </c>
      <c r="C2020" s="122">
        <v>64942.400000000001</v>
      </c>
    </row>
    <row r="2021" spans="2:3" x14ac:dyDescent="0.25">
      <c r="B2021" s="216">
        <v>45238</v>
      </c>
      <c r="C2021" s="122">
        <v>64975.61</v>
      </c>
    </row>
    <row r="2022" spans="2:3" x14ac:dyDescent="0.25">
      <c r="B2022" s="216">
        <v>45239</v>
      </c>
      <c r="C2022" s="122">
        <v>64832.2</v>
      </c>
    </row>
    <row r="2023" spans="2:3" x14ac:dyDescent="0.25">
      <c r="B2023" s="216">
        <v>45240</v>
      </c>
      <c r="C2023" s="122">
        <v>64904.68</v>
      </c>
    </row>
    <row r="2024" spans="2:3" x14ac:dyDescent="0.25">
      <c r="B2024" s="216">
        <v>45242</v>
      </c>
      <c r="C2024" s="122">
        <v>65259.45</v>
      </c>
    </row>
    <row r="2025" spans="2:3" x14ac:dyDescent="0.25">
      <c r="B2025" s="216">
        <v>45243</v>
      </c>
      <c r="C2025" s="122">
        <v>64933.87</v>
      </c>
    </row>
    <row r="2026" spans="2:3" x14ac:dyDescent="0.25">
      <c r="B2026" s="216">
        <v>45245</v>
      </c>
      <c r="C2026" s="122">
        <v>65675.929999999993</v>
      </c>
    </row>
    <row r="2027" spans="2:3" x14ac:dyDescent="0.25">
      <c r="B2027" s="216">
        <v>45246</v>
      </c>
      <c r="C2027" s="122">
        <v>65982.48</v>
      </c>
    </row>
    <row r="2028" spans="2:3" x14ac:dyDescent="0.25">
      <c r="B2028" s="216">
        <v>45247</v>
      </c>
      <c r="C2028" s="122">
        <v>65794.73</v>
      </c>
    </row>
    <row r="2029" spans="2:3" x14ac:dyDescent="0.25">
      <c r="B2029" s="216">
        <v>45250</v>
      </c>
      <c r="C2029" s="122">
        <v>65655.149999999994</v>
      </c>
    </row>
    <row r="2030" spans="2:3" x14ac:dyDescent="0.25">
      <c r="B2030" s="216">
        <v>45251</v>
      </c>
      <c r="C2030" s="122">
        <v>65930.77</v>
      </c>
    </row>
    <row r="2031" spans="2:3" x14ac:dyDescent="0.25">
      <c r="B2031" s="216">
        <v>45252</v>
      </c>
      <c r="C2031" s="122">
        <v>66023.240000000005</v>
      </c>
    </row>
    <row r="2032" spans="2:3" x14ac:dyDescent="0.25">
      <c r="B2032" s="216">
        <v>45253</v>
      </c>
      <c r="C2032" s="122">
        <v>66017.81</v>
      </c>
    </row>
    <row r="2033" spans="2:3" x14ac:dyDescent="0.25">
      <c r="B2033" s="216">
        <v>45254</v>
      </c>
      <c r="C2033" s="122">
        <v>65970.039999999994</v>
      </c>
    </row>
    <row r="2034" spans="2:3" x14ac:dyDescent="0.25">
      <c r="B2034" s="216">
        <v>45258</v>
      </c>
      <c r="C2034" s="122">
        <v>66174.2</v>
      </c>
    </row>
    <row r="2035" spans="2:3" x14ac:dyDescent="0.25">
      <c r="B2035" s="216">
        <v>45259</v>
      </c>
      <c r="C2035" s="122">
        <v>66901.91</v>
      </c>
    </row>
    <row r="2036" spans="2:3" x14ac:dyDescent="0.25">
      <c r="B2036" s="216">
        <v>45260</v>
      </c>
      <c r="C2036" s="122">
        <v>66988.44</v>
      </c>
    </row>
    <row r="2037" spans="2:3" x14ac:dyDescent="0.25">
      <c r="B2037" s="216">
        <v>45261</v>
      </c>
      <c r="C2037" s="122">
        <v>67481.19</v>
      </c>
    </row>
    <row r="2038" spans="2:3" x14ac:dyDescent="0.25">
      <c r="B2038" s="216">
        <v>45264</v>
      </c>
      <c r="C2038" s="122">
        <v>68865.119999999995</v>
      </c>
    </row>
    <row r="2039" spans="2:3" x14ac:dyDescent="0.25">
      <c r="B2039" s="216">
        <v>45265</v>
      </c>
      <c r="C2039" s="122">
        <v>69296.14</v>
      </c>
    </row>
    <row r="2040" spans="2:3" x14ac:dyDescent="0.25">
      <c r="B2040" s="216">
        <v>45266</v>
      </c>
      <c r="C2040" s="122">
        <v>69653.73</v>
      </c>
    </row>
    <row r="2041" spans="2:3" x14ac:dyDescent="0.25">
      <c r="B2041" s="216">
        <v>45267</v>
      </c>
      <c r="C2041" s="122">
        <v>69521.69</v>
      </c>
    </row>
    <row r="2042" spans="2:3" x14ac:dyDescent="0.25">
      <c r="B2042" s="216">
        <v>45268</v>
      </c>
      <c r="C2042" s="122">
        <v>69825.600000000006</v>
      </c>
    </row>
    <row r="2043" spans="2:3" x14ac:dyDescent="0.25">
      <c r="B2043" s="216">
        <v>45271</v>
      </c>
      <c r="C2043" s="122">
        <v>69928.53</v>
      </c>
    </row>
    <row r="2044" spans="2:3" x14ac:dyDescent="0.25">
      <c r="B2044" s="216">
        <v>45272</v>
      </c>
      <c r="C2044" s="122">
        <v>69551.03</v>
      </c>
    </row>
    <row r="2045" spans="2:3" x14ac:dyDescent="0.25">
      <c r="B2045" s="216">
        <v>45273</v>
      </c>
      <c r="C2045" s="122">
        <v>69584.600000000006</v>
      </c>
    </row>
    <row r="2046" spans="2:3" x14ac:dyDescent="0.25">
      <c r="B2046" s="216">
        <v>45274</v>
      </c>
      <c r="C2046" s="122">
        <v>70514.2</v>
      </c>
    </row>
    <row r="2047" spans="2:3" x14ac:dyDescent="0.25">
      <c r="B2047" s="216">
        <v>45275</v>
      </c>
      <c r="C2047" s="122">
        <v>71483.75</v>
      </c>
    </row>
    <row r="2048" spans="2:3" x14ac:dyDescent="0.25">
      <c r="B2048" s="216">
        <v>45278</v>
      </c>
      <c r="C2048" s="122">
        <v>71315.09</v>
      </c>
    </row>
    <row r="2049" spans="2:3" x14ac:dyDescent="0.25">
      <c r="B2049" s="216">
        <v>45279</v>
      </c>
      <c r="C2049" s="122">
        <v>71437.19</v>
      </c>
    </row>
    <row r="2050" spans="2:3" x14ac:dyDescent="0.25">
      <c r="B2050" s="216">
        <v>45280</v>
      </c>
      <c r="C2050" s="122">
        <v>70506.31</v>
      </c>
    </row>
    <row r="2051" spans="2:3" x14ac:dyDescent="0.25">
      <c r="B2051" s="216">
        <v>45281</v>
      </c>
      <c r="C2051" s="122">
        <v>70865.100000000006</v>
      </c>
    </row>
    <row r="2052" spans="2:3" x14ac:dyDescent="0.25">
      <c r="B2052" s="216">
        <v>45282</v>
      </c>
      <c r="C2052" s="122">
        <v>71106.960000000006</v>
      </c>
    </row>
    <row r="2053" spans="2:3" x14ac:dyDescent="0.25">
      <c r="B2053" s="216">
        <v>45286</v>
      </c>
      <c r="C2053" s="122">
        <v>71336.800000000003</v>
      </c>
    </row>
    <row r="2054" spans="2:3" x14ac:dyDescent="0.25">
      <c r="B2054" s="216">
        <v>45287</v>
      </c>
      <c r="C2054" s="122">
        <v>72038.429999999993</v>
      </c>
    </row>
    <row r="2055" spans="2:3" x14ac:dyDescent="0.25">
      <c r="B2055" s="216">
        <v>45288</v>
      </c>
      <c r="C2055" s="122">
        <v>72410.38</v>
      </c>
    </row>
    <row r="2056" spans="2:3" x14ac:dyDescent="0.25">
      <c r="B2056" s="216">
        <v>45289</v>
      </c>
      <c r="C2056" s="122">
        <v>72240.259999999995</v>
      </c>
    </row>
    <row r="2057" spans="2:3" x14ac:dyDescent="0.25">
      <c r="B2057" s="216">
        <v>45292</v>
      </c>
      <c r="C2057" s="122">
        <v>72271.94</v>
      </c>
    </row>
    <row r="2058" spans="2:3" x14ac:dyDescent="0.25">
      <c r="B2058" s="216">
        <v>45293</v>
      </c>
      <c r="C2058" s="122">
        <v>71892.479999999996</v>
      </c>
    </row>
    <row r="2059" spans="2:3" x14ac:dyDescent="0.25">
      <c r="B2059" s="216">
        <v>45294</v>
      </c>
      <c r="C2059" s="122">
        <v>71356.600000000006</v>
      </c>
    </row>
    <row r="2060" spans="2:3" x14ac:dyDescent="0.25">
      <c r="B2060" s="216">
        <v>45295</v>
      </c>
      <c r="C2060" s="122">
        <v>71847.570000000007</v>
      </c>
    </row>
    <row r="2061" spans="2:3" x14ac:dyDescent="0.25">
      <c r="B2061" s="216">
        <v>45296</v>
      </c>
      <c r="C2061" s="122">
        <v>72026.149999999994</v>
      </c>
    </row>
    <row r="2062" spans="2:3" x14ac:dyDescent="0.25">
      <c r="B2062" s="216">
        <v>45299</v>
      </c>
      <c r="C2062" s="122">
        <v>71355.22</v>
      </c>
    </row>
    <row r="2063" spans="2:3" x14ac:dyDescent="0.25">
      <c r="B2063" s="216">
        <v>45300</v>
      </c>
      <c r="C2063" s="122">
        <v>71386.210000000006</v>
      </c>
    </row>
    <row r="2064" spans="2:3" x14ac:dyDescent="0.25">
      <c r="B2064" s="216">
        <v>45301</v>
      </c>
      <c r="C2064" s="122">
        <v>71657.710000000006</v>
      </c>
    </row>
    <row r="2065" spans="2:3" x14ac:dyDescent="0.25">
      <c r="B2065" s="216">
        <v>45302</v>
      </c>
      <c r="C2065" s="122">
        <v>71721.179999999993</v>
      </c>
    </row>
    <row r="2066" spans="2:3" x14ac:dyDescent="0.25">
      <c r="B2066" s="216">
        <v>45303</v>
      </c>
      <c r="C2066" s="122">
        <v>72568.45</v>
      </c>
    </row>
    <row r="2067" spans="2:3" x14ac:dyDescent="0.25">
      <c r="B2067" s="216">
        <v>45306</v>
      </c>
      <c r="C2067" s="122">
        <v>73327.94</v>
      </c>
    </row>
    <row r="2068" spans="2:3" x14ac:dyDescent="0.25">
      <c r="B2068" s="216">
        <v>45307</v>
      </c>
      <c r="C2068" s="122">
        <v>73128.77</v>
      </c>
    </row>
    <row r="2069" spans="2:3" x14ac:dyDescent="0.25">
      <c r="B2069" s="216">
        <v>45308</v>
      </c>
      <c r="C2069" s="122">
        <v>71500.759999999995</v>
      </c>
    </row>
    <row r="2070" spans="2:3" x14ac:dyDescent="0.25">
      <c r="B2070" s="216">
        <v>45309</v>
      </c>
      <c r="C2070" s="122">
        <v>71186.86</v>
      </c>
    </row>
    <row r="2071" spans="2:3" x14ac:dyDescent="0.25">
      <c r="B2071" s="216">
        <v>45310</v>
      </c>
      <c r="C2071" s="122">
        <v>71683.23</v>
      </c>
    </row>
    <row r="2072" spans="2:3" x14ac:dyDescent="0.25">
      <c r="B2072" s="216">
        <v>45311</v>
      </c>
      <c r="C2072" s="122">
        <v>71423.649999999994</v>
      </c>
    </row>
    <row r="2073" spans="2:3" x14ac:dyDescent="0.25">
      <c r="B2073" s="216">
        <v>45314</v>
      </c>
      <c r="C2073" s="122">
        <v>70370.55</v>
      </c>
    </row>
    <row r="2074" spans="2:3" x14ac:dyDescent="0.25">
      <c r="B2074" s="216">
        <v>45315</v>
      </c>
      <c r="C2074" s="122">
        <v>71060.31</v>
      </c>
    </row>
    <row r="2075" spans="2:3" x14ac:dyDescent="0.25">
      <c r="B2075" s="216">
        <v>45316</v>
      </c>
      <c r="C2075" s="122">
        <v>70700.67</v>
      </c>
    </row>
    <row r="2076" spans="2:3" x14ac:dyDescent="0.25">
      <c r="B2076" s="216">
        <v>45320</v>
      </c>
      <c r="C2076" s="122">
        <v>71941.570000000007</v>
      </c>
    </row>
    <row r="2077" spans="2:3" x14ac:dyDescent="0.25">
      <c r="B2077" s="216">
        <v>45321</v>
      </c>
      <c r="C2077" s="122">
        <v>71139.899999999994</v>
      </c>
    </row>
    <row r="2078" spans="2:3" x14ac:dyDescent="0.25">
      <c r="B2078" s="216">
        <v>45322</v>
      </c>
      <c r="C2078" s="122">
        <v>71752.11</v>
      </c>
    </row>
    <row r="2079" spans="2:3" x14ac:dyDescent="0.25">
      <c r="B2079" s="216">
        <v>45323</v>
      </c>
      <c r="C2079" s="122">
        <v>71645.3</v>
      </c>
    </row>
    <row r="2080" spans="2:3" x14ac:dyDescent="0.25">
      <c r="B2080" s="216">
        <v>45324</v>
      </c>
      <c r="C2080" s="122">
        <v>72085.63</v>
      </c>
    </row>
    <row r="2081" spans="2:3" x14ac:dyDescent="0.25">
      <c r="B2081" s="216">
        <v>45327</v>
      </c>
      <c r="C2081" s="122">
        <v>71731.42</v>
      </c>
    </row>
    <row r="2082" spans="2:3" x14ac:dyDescent="0.25">
      <c r="B2082" s="216">
        <v>45328</v>
      </c>
      <c r="C2082" s="122">
        <v>72186.09</v>
      </c>
    </row>
    <row r="2083" spans="2:3" x14ac:dyDescent="0.25">
      <c r="B2083" s="216">
        <v>45329</v>
      </c>
      <c r="C2083" s="122">
        <v>72152</v>
      </c>
    </row>
    <row r="2084" spans="2:3" x14ac:dyDescent="0.25">
      <c r="B2084" s="216">
        <v>45330</v>
      </c>
      <c r="C2084" s="122">
        <v>71428.429999999993</v>
      </c>
    </row>
    <row r="2085" spans="2:3" x14ac:dyDescent="0.25">
      <c r="B2085" s="216">
        <v>45331</v>
      </c>
      <c r="C2085" s="122">
        <v>71595.490000000005</v>
      </c>
    </row>
    <row r="2086" spans="2:3" x14ac:dyDescent="0.25">
      <c r="B2086" s="216">
        <v>45334</v>
      </c>
      <c r="C2086" s="122">
        <v>71072.490000000005</v>
      </c>
    </row>
    <row r="2087" spans="2:3" x14ac:dyDescent="0.25">
      <c r="B2087" s="216">
        <v>45335</v>
      </c>
      <c r="C2087" s="122">
        <v>71555.19</v>
      </c>
    </row>
    <row r="2088" spans="2:3" x14ac:dyDescent="0.25">
      <c r="B2088" s="216">
        <v>45336</v>
      </c>
      <c r="C2088" s="122">
        <v>71822.83</v>
      </c>
    </row>
    <row r="2089" spans="2:3" x14ac:dyDescent="0.25">
      <c r="B2089" s="216">
        <v>45337</v>
      </c>
      <c r="C2089" s="122">
        <v>72050.38</v>
      </c>
    </row>
    <row r="2090" spans="2:3" x14ac:dyDescent="0.25">
      <c r="B2090" s="216">
        <v>45338</v>
      </c>
      <c r="C2090" s="122">
        <v>72426.64</v>
      </c>
    </row>
    <row r="2091" spans="2:3" x14ac:dyDescent="0.25">
      <c r="B2091" s="216">
        <v>45341</v>
      </c>
      <c r="C2091" s="122">
        <v>72708.160000000003</v>
      </c>
    </row>
    <row r="2092" spans="2:3" x14ac:dyDescent="0.25">
      <c r="B2092" s="216">
        <v>45342</v>
      </c>
      <c r="C2092" s="122">
        <v>73057.399999999994</v>
      </c>
    </row>
    <row r="2093" spans="2:3" x14ac:dyDescent="0.25">
      <c r="B2093" s="216">
        <v>45343</v>
      </c>
      <c r="C2093" s="122">
        <v>72623.09</v>
      </c>
    </row>
    <row r="2094" spans="2:3" x14ac:dyDescent="0.25">
      <c r="B2094" s="216">
        <v>45344</v>
      </c>
      <c r="C2094" s="122">
        <v>73158.240000000005</v>
      </c>
    </row>
    <row r="2095" spans="2:3" x14ac:dyDescent="0.25">
      <c r="B2095" s="216">
        <v>45345</v>
      </c>
      <c r="C2095" s="122">
        <v>73142.8</v>
      </c>
    </row>
    <row r="2096" spans="2:3" x14ac:dyDescent="0.25">
      <c r="B2096" s="216">
        <v>45348</v>
      </c>
      <c r="C2096" s="122">
        <v>72790.13</v>
      </c>
    </row>
    <row r="2097" spans="2:3" x14ac:dyDescent="0.25">
      <c r="B2097" s="216">
        <v>45349</v>
      </c>
      <c r="C2097" s="122">
        <v>73095.22</v>
      </c>
    </row>
    <row r="2098" spans="2:3" x14ac:dyDescent="0.25">
      <c r="B2098" s="216">
        <v>45350</v>
      </c>
      <c r="C2098" s="122">
        <v>72304.88</v>
      </c>
    </row>
    <row r="2099" spans="2:3" x14ac:dyDescent="0.25">
      <c r="B2099" s="216">
        <v>45351</v>
      </c>
      <c r="C2099" s="122">
        <v>72500.3</v>
      </c>
    </row>
    <row r="2100" spans="2:3" x14ac:dyDescent="0.25">
      <c r="B2100" s="216">
        <v>45352</v>
      </c>
      <c r="C2100" s="122">
        <v>73745.350000000006</v>
      </c>
    </row>
    <row r="2101" spans="2:3" x14ac:dyDescent="0.25">
      <c r="B2101" s="216">
        <v>45353</v>
      </c>
      <c r="C2101" s="122">
        <v>73806.149999999994</v>
      </c>
    </row>
    <row r="2102" spans="2:3" x14ac:dyDescent="0.25">
      <c r="B2102" s="216">
        <v>45355</v>
      </c>
      <c r="C2102" s="122">
        <v>73872.289999999994</v>
      </c>
    </row>
    <row r="2103" spans="2:3" x14ac:dyDescent="0.25">
      <c r="B2103" s="216">
        <v>45356</v>
      </c>
      <c r="C2103" s="122">
        <v>73677.13</v>
      </c>
    </row>
    <row r="2104" spans="2:3" x14ac:dyDescent="0.25">
      <c r="B2104" s="216">
        <v>45357</v>
      </c>
      <c r="C2104" s="122">
        <v>74085.990000000005</v>
      </c>
    </row>
    <row r="2105" spans="2:3" x14ac:dyDescent="0.25">
      <c r="B2105" s="216">
        <v>45358</v>
      </c>
      <c r="C2105" s="122">
        <v>74119.39</v>
      </c>
    </row>
    <row r="2106" spans="2:3" x14ac:dyDescent="0.25">
      <c r="B2106" s="216">
        <v>45362</v>
      </c>
      <c r="C2106" s="122">
        <v>73502.64</v>
      </c>
    </row>
    <row r="2107" spans="2:3" x14ac:dyDescent="0.25">
      <c r="B2107" s="216">
        <v>45363</v>
      </c>
      <c r="C2107" s="122">
        <v>73667.960000000006</v>
      </c>
    </row>
    <row r="2108" spans="2:3" x14ac:dyDescent="0.25">
      <c r="B2108" s="216">
        <v>45364</v>
      </c>
      <c r="C2108" s="122">
        <v>72761.89</v>
      </c>
    </row>
    <row r="2109" spans="2:3" x14ac:dyDescent="0.25">
      <c r="B2109" s="216">
        <v>45365</v>
      </c>
      <c r="C2109" s="122">
        <v>73097.279999999999</v>
      </c>
    </row>
    <row r="2110" spans="2:3" x14ac:dyDescent="0.25">
      <c r="B2110" s="216">
        <v>45366</v>
      </c>
      <c r="C2110" s="122">
        <v>72643.429999999993</v>
      </c>
    </row>
    <row r="2111" spans="2:3" x14ac:dyDescent="0.25">
      <c r="B2111" s="216">
        <v>45369</v>
      </c>
      <c r="C2111" s="122">
        <v>72748.42</v>
      </c>
    </row>
    <row r="2112" spans="2:3" x14ac:dyDescent="0.25">
      <c r="B2112" s="216">
        <v>45370</v>
      </c>
      <c r="C2112" s="122">
        <v>72012.05</v>
      </c>
    </row>
    <row r="2113" spans="2:3" x14ac:dyDescent="0.25">
      <c r="B2113" s="216">
        <v>45371</v>
      </c>
      <c r="C2113" s="122">
        <v>72101.69</v>
      </c>
    </row>
    <row r="2114" spans="2:3" x14ac:dyDescent="0.25">
      <c r="B2114" s="216">
        <v>45372</v>
      </c>
      <c r="C2114" s="122">
        <v>72641.19</v>
      </c>
    </row>
    <row r="2115" spans="2:3" x14ac:dyDescent="0.25">
      <c r="B2115" s="216">
        <v>45373</v>
      </c>
      <c r="C2115" s="122">
        <v>72831.94</v>
      </c>
    </row>
    <row r="2116" spans="2:3" x14ac:dyDescent="0.25">
      <c r="B2116" s="216">
        <v>45377</v>
      </c>
      <c r="C2116" s="122">
        <v>72470.3</v>
      </c>
    </row>
    <row r="2117" spans="2:3" x14ac:dyDescent="0.25">
      <c r="B2117" s="216">
        <v>45378</v>
      </c>
      <c r="C2117" s="122">
        <v>72996.31</v>
      </c>
    </row>
    <row r="2118" spans="2:3" x14ac:dyDescent="0.25">
      <c r="B2118" s="216">
        <v>45379</v>
      </c>
      <c r="C2118" s="122">
        <v>73651.350000000006</v>
      </c>
    </row>
    <row r="2119" spans="2:3" x14ac:dyDescent="0.25">
      <c r="B2119" s="216">
        <v>45383</v>
      </c>
      <c r="C2119" s="122">
        <v>74014.55</v>
      </c>
    </row>
    <row r="2120" spans="2:3" x14ac:dyDescent="0.25">
      <c r="B2120" s="216">
        <v>45384</v>
      </c>
      <c r="C2120" s="122">
        <v>73903.91</v>
      </c>
    </row>
    <row r="2121" spans="2:3" x14ac:dyDescent="0.25">
      <c r="B2121" s="216">
        <v>45385</v>
      </c>
      <c r="C2121" s="122">
        <v>73876.820000000007</v>
      </c>
    </row>
    <row r="2122" spans="2:3" x14ac:dyDescent="0.25">
      <c r="B2122" s="216">
        <v>45386</v>
      </c>
      <c r="C2122" s="122">
        <v>74227.63</v>
      </c>
    </row>
    <row r="2123" spans="2:3" x14ac:dyDescent="0.25">
      <c r="B2123" s="216">
        <v>45387</v>
      </c>
      <c r="C2123" s="122">
        <v>74248.22</v>
      </c>
    </row>
    <row r="2124" spans="2:3" x14ac:dyDescent="0.25">
      <c r="B2124" s="216">
        <v>45390</v>
      </c>
      <c r="C2124" s="122">
        <v>74742.5</v>
      </c>
    </row>
    <row r="2125" spans="2:3" x14ac:dyDescent="0.25">
      <c r="B2125" s="216">
        <v>45391</v>
      </c>
      <c r="C2125" s="122">
        <v>74683.7</v>
      </c>
    </row>
    <row r="2126" spans="2:3" x14ac:dyDescent="0.25">
      <c r="B2126" s="216">
        <v>45392</v>
      </c>
      <c r="C2126" s="122">
        <v>75038.149999999994</v>
      </c>
    </row>
    <row r="2127" spans="2:3" x14ac:dyDescent="0.25">
      <c r="B2127" s="216">
        <v>45394</v>
      </c>
      <c r="C2127" s="122">
        <v>74244.899999999994</v>
      </c>
    </row>
    <row r="2128" spans="2:3" x14ac:dyDescent="0.25">
      <c r="B2128" s="216">
        <v>45397</v>
      </c>
      <c r="C2128" s="122">
        <v>73399.78</v>
      </c>
    </row>
    <row r="2129" spans="2:3" x14ac:dyDescent="0.25">
      <c r="B2129" s="216">
        <v>45398</v>
      </c>
      <c r="C2129" s="122">
        <v>72943.679999999993</v>
      </c>
    </row>
    <row r="2130" spans="2:3" x14ac:dyDescent="0.25">
      <c r="B2130" s="216">
        <v>45400</v>
      </c>
      <c r="C2130" s="122">
        <v>72488.990000000005</v>
      </c>
    </row>
    <row r="2131" spans="2:3" x14ac:dyDescent="0.25">
      <c r="B2131" s="216">
        <v>45401</v>
      </c>
      <c r="C2131" s="122">
        <v>73088.33</v>
      </c>
    </row>
    <row r="2132" spans="2:3" x14ac:dyDescent="0.25">
      <c r="B2132" s="216">
        <v>45404</v>
      </c>
      <c r="C2132" s="122">
        <v>73648.62</v>
      </c>
    </row>
    <row r="2133" spans="2:3" x14ac:dyDescent="0.25">
      <c r="B2133" s="216">
        <v>45405</v>
      </c>
      <c r="C2133" s="122">
        <v>73738.45</v>
      </c>
    </row>
    <row r="2134" spans="2:3" x14ac:dyDescent="0.25">
      <c r="B2134" s="216">
        <v>45406</v>
      </c>
      <c r="C2134" s="122">
        <v>73852.94</v>
      </c>
    </row>
    <row r="2135" spans="2:3" x14ac:dyDescent="0.25">
      <c r="B2135" s="216">
        <v>45407</v>
      </c>
      <c r="C2135" s="122">
        <v>74339.44</v>
      </c>
    </row>
    <row r="2136" spans="2:3" x14ac:dyDescent="0.25">
      <c r="B2136" s="216">
        <v>45408</v>
      </c>
      <c r="C2136" s="122">
        <v>73730.16</v>
      </c>
    </row>
    <row r="2137" spans="2:3" x14ac:dyDescent="0.25">
      <c r="B2137" s="216">
        <v>45411</v>
      </c>
      <c r="C2137" s="122">
        <v>74671.28</v>
      </c>
    </row>
    <row r="2138" spans="2:3" x14ac:dyDescent="0.25">
      <c r="B2138" s="216">
        <v>45412</v>
      </c>
      <c r="C2138" s="122">
        <v>74482.78</v>
      </c>
    </row>
    <row r="2139" spans="2:3" x14ac:dyDescent="0.25">
      <c r="B2139" s="216">
        <v>45414</v>
      </c>
      <c r="C2139" s="122">
        <v>74611.11</v>
      </c>
    </row>
    <row r="2140" spans="2:3" x14ac:dyDescent="0.25">
      <c r="B2140" s="216">
        <v>45415</v>
      </c>
      <c r="C2140" s="122">
        <v>73878.149999999994</v>
      </c>
    </row>
    <row r="2141" spans="2:3" x14ac:dyDescent="0.25">
      <c r="B2141" s="216">
        <v>45418</v>
      </c>
      <c r="C2141" s="122">
        <v>73895.539999999994</v>
      </c>
    </row>
    <row r="2142" spans="2:3" x14ac:dyDescent="0.25">
      <c r="B2142" s="216">
        <v>45419</v>
      </c>
      <c r="C2142" s="122">
        <v>73511.850000000006</v>
      </c>
    </row>
    <row r="2143" spans="2:3" x14ac:dyDescent="0.25">
      <c r="B2143" s="216">
        <v>45420</v>
      </c>
      <c r="C2143" s="122">
        <v>73466.39</v>
      </c>
    </row>
    <row r="2144" spans="2:3" x14ac:dyDescent="0.25">
      <c r="B2144" s="216">
        <v>45421</v>
      </c>
      <c r="C2144" s="122">
        <v>72404.17</v>
      </c>
    </row>
    <row r="2145" spans="2:3" x14ac:dyDescent="0.25">
      <c r="B2145" s="216">
        <v>45422</v>
      </c>
      <c r="C2145" s="122">
        <v>72664.47</v>
      </c>
    </row>
    <row r="2146" spans="2:3" x14ac:dyDescent="0.25">
      <c r="B2146" s="216">
        <v>45425</v>
      </c>
      <c r="C2146" s="122">
        <v>72776.13</v>
      </c>
    </row>
    <row r="2147" spans="2:3" x14ac:dyDescent="0.25">
      <c r="B2147" s="216">
        <v>45426</v>
      </c>
      <c r="C2147" s="122">
        <v>73104.61</v>
      </c>
    </row>
    <row r="2148" spans="2:3" x14ac:dyDescent="0.25">
      <c r="B2148" s="216">
        <v>45427</v>
      </c>
      <c r="C2148" s="122">
        <v>72987.03</v>
      </c>
    </row>
    <row r="2149" spans="2:3" x14ac:dyDescent="0.25">
      <c r="B2149" s="216">
        <v>45428</v>
      </c>
      <c r="C2149" s="122">
        <v>73663.72</v>
      </c>
    </row>
    <row r="2150" spans="2:3" x14ac:dyDescent="0.25">
      <c r="B2150" s="216">
        <v>45429</v>
      </c>
      <c r="C2150" s="122">
        <v>73917.03</v>
      </c>
    </row>
    <row r="2151" spans="2:3" x14ac:dyDescent="0.25">
      <c r="B2151" s="216">
        <v>45430</v>
      </c>
      <c r="C2151" s="122">
        <v>74005.94</v>
      </c>
    </row>
    <row r="2152" spans="2:3" x14ac:dyDescent="0.25">
      <c r="B2152" s="216">
        <v>45433</v>
      </c>
      <c r="C2152" s="122">
        <v>73953.31</v>
      </c>
    </row>
    <row r="2153" spans="2:3" x14ac:dyDescent="0.25">
      <c r="B2153" s="216">
        <v>45434</v>
      </c>
      <c r="C2153" s="122">
        <v>74221.06</v>
      </c>
    </row>
    <row r="2154" spans="2:3" x14ac:dyDescent="0.25">
      <c r="B2154" s="216">
        <v>45435</v>
      </c>
      <c r="C2154" s="122">
        <v>75418.039999999994</v>
      </c>
    </row>
    <row r="2155" spans="2:3" x14ac:dyDescent="0.25">
      <c r="B2155" s="216">
        <v>45436</v>
      </c>
      <c r="C2155" s="122">
        <v>75410.39</v>
      </c>
    </row>
    <row r="2156" spans="2:3" x14ac:dyDescent="0.25">
      <c r="B2156" s="216">
        <v>45439</v>
      </c>
      <c r="C2156" s="122">
        <v>75390.5</v>
      </c>
    </row>
    <row r="2157" spans="2:3" x14ac:dyDescent="0.25">
      <c r="B2157" s="216">
        <v>45440</v>
      </c>
      <c r="C2157" s="122">
        <v>75170.45</v>
      </c>
    </row>
    <row r="2158" spans="2:3" x14ac:dyDescent="0.25">
      <c r="B2158" s="216">
        <v>45441</v>
      </c>
      <c r="C2158" s="122">
        <v>74502.899999999994</v>
      </c>
    </row>
    <row r="2159" spans="2:3" x14ac:dyDescent="0.25">
      <c r="B2159" s="216">
        <v>45442</v>
      </c>
      <c r="C2159" s="122">
        <v>73885.600000000006</v>
      </c>
    </row>
    <row r="2160" spans="2:3" x14ac:dyDescent="0.25">
      <c r="B2160" s="216">
        <v>45443</v>
      </c>
      <c r="C2160" s="122">
        <v>73961.31</v>
      </c>
    </row>
    <row r="2161" spans="2:3" x14ac:dyDescent="0.25">
      <c r="B2161" s="216">
        <v>45446</v>
      </c>
      <c r="C2161" s="122">
        <v>76468.78</v>
      </c>
    </row>
    <row r="2162" spans="2:3" x14ac:dyDescent="0.25">
      <c r="B2162" s="216">
        <v>45447</v>
      </c>
      <c r="C2162" s="122">
        <v>72079.05</v>
      </c>
    </row>
    <row r="2163" spans="2:3" x14ac:dyDescent="0.25">
      <c r="B2163" s="216">
        <v>45448</v>
      </c>
      <c r="C2163" s="122">
        <v>74382.240000000005</v>
      </c>
    </row>
    <row r="2164" spans="2:3" x14ac:dyDescent="0.25">
      <c r="B2164" s="216">
        <v>45449</v>
      </c>
      <c r="C2164" s="122">
        <v>75074.509999999995</v>
      </c>
    </row>
    <row r="2165" spans="2:3" x14ac:dyDescent="0.25">
      <c r="B2165" s="216">
        <v>45450</v>
      </c>
      <c r="C2165" s="122">
        <v>76693.36</v>
      </c>
    </row>
    <row r="2166" spans="2:3" x14ac:dyDescent="0.25">
      <c r="B2166" s="216">
        <v>45453</v>
      </c>
      <c r="C2166" s="122">
        <v>76490.080000000002</v>
      </c>
    </row>
    <row r="2167" spans="2:3" x14ac:dyDescent="0.25">
      <c r="B2167" s="216">
        <v>45454</v>
      </c>
      <c r="C2167" s="122">
        <v>76456.59</v>
      </c>
    </row>
    <row r="2168" spans="2:3" x14ac:dyDescent="0.25">
      <c r="B2168" s="216">
        <v>45455</v>
      </c>
      <c r="C2168" s="122">
        <v>76606.570000000007</v>
      </c>
    </row>
    <row r="2169" spans="2:3" x14ac:dyDescent="0.25">
      <c r="B2169" s="216">
        <v>45456</v>
      </c>
      <c r="C2169" s="122">
        <v>76810.899999999994</v>
      </c>
    </row>
    <row r="2170" spans="2:3" x14ac:dyDescent="0.25">
      <c r="B2170" s="216">
        <v>45457</v>
      </c>
      <c r="C2170" s="122">
        <v>76992.77</v>
      </c>
    </row>
    <row r="2171" spans="2:3" x14ac:dyDescent="0.25">
      <c r="B2171" s="216">
        <v>45461</v>
      </c>
      <c r="C2171" s="122">
        <v>77301.14</v>
      </c>
    </row>
    <row r="2172" spans="2:3" x14ac:dyDescent="0.25">
      <c r="B2172" s="216">
        <v>45462</v>
      </c>
      <c r="C2172" s="122">
        <v>77337.59</v>
      </c>
    </row>
    <row r="2173" spans="2:3" x14ac:dyDescent="0.25">
      <c r="B2173" s="216">
        <v>45463</v>
      </c>
      <c r="C2173" s="122">
        <v>77478.929999999993</v>
      </c>
    </row>
    <row r="2174" spans="2:3" x14ac:dyDescent="0.25">
      <c r="B2174" s="216">
        <v>45464</v>
      </c>
      <c r="C2174" s="122">
        <v>77209.899999999994</v>
      </c>
    </row>
    <row r="2175" spans="2:3" x14ac:dyDescent="0.25">
      <c r="B2175" s="216">
        <v>45467</v>
      </c>
      <c r="C2175" s="122">
        <v>77341.08</v>
      </c>
    </row>
    <row r="2176" spans="2:3" x14ac:dyDescent="0.25">
      <c r="B2176" s="216">
        <v>45468</v>
      </c>
      <c r="C2176" s="122">
        <v>78053.52</v>
      </c>
    </row>
    <row r="2177" spans="2:3" x14ac:dyDescent="0.25">
      <c r="B2177" s="216">
        <v>45469</v>
      </c>
      <c r="C2177" s="122">
        <v>78674.25</v>
      </c>
    </row>
    <row r="2178" spans="2:3" x14ac:dyDescent="0.25">
      <c r="B2178" s="216">
        <v>45470</v>
      </c>
      <c r="C2178" s="122">
        <v>79243.179999999993</v>
      </c>
    </row>
    <row r="2179" spans="2:3" x14ac:dyDescent="0.25">
      <c r="B2179" s="216">
        <v>45471</v>
      </c>
      <c r="C2179" s="122">
        <v>79032.73</v>
      </c>
    </row>
    <row r="2180" spans="2:3" x14ac:dyDescent="0.25">
      <c r="B2180" s="216">
        <v>45474</v>
      </c>
      <c r="C2180" s="122">
        <v>79476.19</v>
      </c>
    </row>
    <row r="2181" spans="2:3" x14ac:dyDescent="0.25">
      <c r="B2181" s="216">
        <v>45475</v>
      </c>
      <c r="C2181" s="122">
        <v>79441.45</v>
      </c>
    </row>
    <row r="2182" spans="2:3" x14ac:dyDescent="0.25">
      <c r="B2182" s="216">
        <v>45476</v>
      </c>
      <c r="C2182" s="122">
        <v>79986.8</v>
      </c>
    </row>
    <row r="2183" spans="2:3" x14ac:dyDescent="0.25">
      <c r="B2183" s="216">
        <v>45477</v>
      </c>
      <c r="C2183" s="122">
        <v>80049.67</v>
      </c>
    </row>
    <row r="2184" spans="2:3" x14ac:dyDescent="0.25">
      <c r="B2184" s="216">
        <v>45478</v>
      </c>
      <c r="C2184" s="122">
        <v>79996.600000000006</v>
      </c>
    </row>
    <row r="2185" spans="2:3" x14ac:dyDescent="0.25">
      <c r="B2185" s="216">
        <v>45481</v>
      </c>
      <c r="C2185" s="122">
        <v>79960.38</v>
      </c>
    </row>
    <row r="2186" spans="2:3" x14ac:dyDescent="0.25">
      <c r="B2186" s="216">
        <v>45482</v>
      </c>
      <c r="C2186" s="122">
        <v>80351.64</v>
      </c>
    </row>
    <row r="2187" spans="2:3" x14ac:dyDescent="0.25">
      <c r="B2187" s="216">
        <v>45483</v>
      </c>
      <c r="C2187" s="122">
        <v>79924.77</v>
      </c>
    </row>
    <row r="2188" spans="2:3" x14ac:dyDescent="0.25">
      <c r="B2188" s="216">
        <v>45484</v>
      </c>
      <c r="C2188" s="122">
        <v>79897.34</v>
      </c>
    </row>
    <row r="2189" spans="2:3" x14ac:dyDescent="0.25">
      <c r="B2189" s="216">
        <v>45485</v>
      </c>
      <c r="C2189" s="122">
        <v>80519.34</v>
      </c>
    </row>
    <row r="2190" spans="2:3" x14ac:dyDescent="0.25">
      <c r="B2190" s="216">
        <v>45488</v>
      </c>
      <c r="C2190" s="122">
        <v>80664.86</v>
      </c>
    </row>
    <row r="2191" spans="2:3" x14ac:dyDescent="0.25">
      <c r="B2191" s="216">
        <v>45489</v>
      </c>
      <c r="C2191" s="122">
        <v>80716.55</v>
      </c>
    </row>
    <row r="2192" spans="2:3" x14ac:dyDescent="0.25">
      <c r="B2192" s="216">
        <v>45491</v>
      </c>
      <c r="C2192" s="122">
        <v>81343.460000000006</v>
      </c>
    </row>
    <row r="2193" spans="2:3" x14ac:dyDescent="0.25">
      <c r="B2193" s="216">
        <v>45492</v>
      </c>
      <c r="C2193" s="122">
        <v>80604.649999999994</v>
      </c>
    </row>
    <row r="2194" spans="2:3" x14ac:dyDescent="0.25">
      <c r="B2194" s="216">
        <v>45495</v>
      </c>
      <c r="C2194" s="122">
        <v>80502.080000000002</v>
      </c>
    </row>
    <row r="2195" spans="2:3" x14ac:dyDescent="0.25">
      <c r="B2195" s="216">
        <v>45496</v>
      </c>
      <c r="C2195" s="122">
        <v>80429.039999999994</v>
      </c>
    </row>
    <row r="2196" spans="2:3" x14ac:dyDescent="0.25">
      <c r="B2196" s="216">
        <v>45497</v>
      </c>
      <c r="C2196" s="122">
        <v>80148.88</v>
      </c>
    </row>
    <row r="2197" spans="2:3" x14ac:dyDescent="0.25">
      <c r="B2197" s="216">
        <v>45498</v>
      </c>
      <c r="C2197" s="122">
        <v>80039.8</v>
      </c>
    </row>
    <row r="2198" spans="2:3" x14ac:dyDescent="0.25">
      <c r="B2198" s="216">
        <v>45499</v>
      </c>
      <c r="C2198" s="122">
        <v>81332.72</v>
      </c>
    </row>
    <row r="2199" spans="2:3" x14ac:dyDescent="0.25">
      <c r="B2199" s="216">
        <v>45502</v>
      </c>
      <c r="C2199" s="122">
        <v>81355.839999999997</v>
      </c>
    </row>
    <row r="2200" spans="2:3" x14ac:dyDescent="0.25">
      <c r="B2200" s="216">
        <v>45503</v>
      </c>
      <c r="C2200" s="122">
        <v>81455.399999999994</v>
      </c>
    </row>
    <row r="2201" spans="2:3" x14ac:dyDescent="0.25">
      <c r="B2201" s="216">
        <v>45504</v>
      </c>
      <c r="C2201" s="122">
        <v>81741.34</v>
      </c>
    </row>
    <row r="2202" spans="2:3" x14ac:dyDescent="0.25">
      <c r="B2202" s="216">
        <v>45505</v>
      </c>
      <c r="C2202" s="122">
        <v>81867.55</v>
      </c>
    </row>
    <row r="2203" spans="2:3" x14ac:dyDescent="0.25">
      <c r="B2203" s="216">
        <v>45506</v>
      </c>
      <c r="C2203" s="122">
        <v>80981.95</v>
      </c>
    </row>
    <row r="2204" spans="2:3" x14ac:dyDescent="0.25">
      <c r="B2204" s="216">
        <v>45509</v>
      </c>
      <c r="C2204" s="122">
        <v>78759.399999999994</v>
      </c>
    </row>
    <row r="2205" spans="2:3" x14ac:dyDescent="0.25">
      <c r="B2205" s="216">
        <v>45510</v>
      </c>
      <c r="C2205" s="122">
        <v>78593.070000000007</v>
      </c>
    </row>
    <row r="2206" spans="2:3" x14ac:dyDescent="0.25">
      <c r="B2206" s="216">
        <v>45511</v>
      </c>
      <c r="C2206" s="122">
        <v>79468.009999999995</v>
      </c>
    </row>
    <row r="2207" spans="2:3" x14ac:dyDescent="0.25">
      <c r="B2207" s="216">
        <v>45512</v>
      </c>
      <c r="C2207" s="122">
        <v>78886.22</v>
      </c>
    </row>
    <row r="2208" spans="2:3" x14ac:dyDescent="0.25">
      <c r="B2208" s="216">
        <v>45513</v>
      </c>
      <c r="C2208" s="122">
        <v>79705.91</v>
      </c>
    </row>
    <row r="2209" spans="2:3" x14ac:dyDescent="0.25">
      <c r="B2209" s="216">
        <v>45516</v>
      </c>
      <c r="C2209" s="122">
        <v>79648.92</v>
      </c>
    </row>
    <row r="2210" spans="2:3" x14ac:dyDescent="0.25">
      <c r="B2210" s="216">
        <v>45517</v>
      </c>
      <c r="C2210" s="122">
        <v>78956.03</v>
      </c>
    </row>
    <row r="2211" spans="2:3" x14ac:dyDescent="0.25">
      <c r="B2211" s="216">
        <v>45518</v>
      </c>
      <c r="C2211" s="122">
        <v>79105.88</v>
      </c>
    </row>
    <row r="2212" spans="2:3" x14ac:dyDescent="0.25">
      <c r="B2212" s="216">
        <v>45520</v>
      </c>
      <c r="C2212" s="122">
        <v>80436.84</v>
      </c>
    </row>
    <row r="2213" spans="2:3" x14ac:dyDescent="0.25">
      <c r="B2213" s="216">
        <v>45523</v>
      </c>
      <c r="C2213" s="122">
        <v>80424.679999999993</v>
      </c>
    </row>
    <row r="2214" spans="2:3" x14ac:dyDescent="0.25">
      <c r="B2214" s="216">
        <v>45524</v>
      </c>
      <c r="C2214" s="122">
        <v>80802.86</v>
      </c>
    </row>
    <row r="2215" spans="2:3" x14ac:dyDescent="0.25">
      <c r="B2215" s="216">
        <v>45525</v>
      </c>
      <c r="C2215" s="122">
        <v>80905.3</v>
      </c>
    </row>
    <row r="2216" spans="2:3" x14ac:dyDescent="0.25">
      <c r="B2216" s="216">
        <v>45526</v>
      </c>
      <c r="C2216" s="122">
        <v>81053.19</v>
      </c>
    </row>
    <row r="2217" spans="2:3" x14ac:dyDescent="0.25">
      <c r="B2217" s="216">
        <v>45527</v>
      </c>
      <c r="C2217" s="122">
        <v>81086.210000000006</v>
      </c>
    </row>
    <row r="2218" spans="2:3" x14ac:dyDescent="0.25">
      <c r="B2218" s="216">
        <v>45530</v>
      </c>
      <c r="C2218" s="122">
        <v>81698.11</v>
      </c>
    </row>
    <row r="2219" spans="2:3" x14ac:dyDescent="0.25">
      <c r="B2219" s="216">
        <v>45531</v>
      </c>
      <c r="C2219" s="122">
        <v>81711.759999999995</v>
      </c>
    </row>
    <row r="2220" spans="2:3" x14ac:dyDescent="0.25">
      <c r="B2220" s="216">
        <v>45532</v>
      </c>
      <c r="C2220" s="122">
        <v>81785.56</v>
      </c>
    </row>
    <row r="2221" spans="2:3" x14ac:dyDescent="0.25">
      <c r="B2221" s="216">
        <v>45533</v>
      </c>
      <c r="C2221" s="122">
        <v>82134.61</v>
      </c>
    </row>
    <row r="2222" spans="2:3" x14ac:dyDescent="0.25">
      <c r="B2222" s="216">
        <v>45534</v>
      </c>
      <c r="C2222" s="122">
        <v>82365.77</v>
      </c>
    </row>
    <row r="2223" spans="2:3" x14ac:dyDescent="0.25">
      <c r="B2223" s="216">
        <v>45537</v>
      </c>
      <c r="C2223" s="122">
        <v>82559.839999999997</v>
      </c>
    </row>
    <row r="2224" spans="2:3" x14ac:dyDescent="0.25">
      <c r="B2224" s="216">
        <v>45538</v>
      </c>
      <c r="C2224" s="122">
        <v>82555.44</v>
      </c>
    </row>
    <row r="2225" spans="2:3" x14ac:dyDescent="0.25">
      <c r="B2225" s="216">
        <v>45539</v>
      </c>
      <c r="C2225" s="122">
        <v>82352.639999999999</v>
      </c>
    </row>
    <row r="2226" spans="2:3" x14ac:dyDescent="0.25">
      <c r="B2226" s="216">
        <v>45540</v>
      </c>
      <c r="C2226" s="122">
        <v>82201.16</v>
      </c>
    </row>
    <row r="2227" spans="2:3" x14ac:dyDescent="0.25">
      <c r="B2227" s="216">
        <v>45541</v>
      </c>
      <c r="C2227" s="122">
        <v>81183.929999999993</v>
      </c>
    </row>
    <row r="2228" spans="2:3" x14ac:dyDescent="0.25">
      <c r="B2228" s="216">
        <v>45544</v>
      </c>
      <c r="C2228" s="122">
        <v>81559.539999999994</v>
      </c>
    </row>
    <row r="2229" spans="2:3" x14ac:dyDescent="0.25">
      <c r="B2229" s="216">
        <v>45545</v>
      </c>
      <c r="C2229" s="122">
        <v>81921.289999999994</v>
      </c>
    </row>
    <row r="2230" spans="2:3" x14ac:dyDescent="0.25">
      <c r="B2230" s="216">
        <v>45546</v>
      </c>
      <c r="C2230" s="122">
        <v>81523.16</v>
      </c>
    </row>
    <row r="2231" spans="2:3" x14ac:dyDescent="0.25">
      <c r="B2231" s="216">
        <v>45547</v>
      </c>
      <c r="C2231" s="122">
        <v>82962.710000000006</v>
      </c>
    </row>
    <row r="2232" spans="2:3" x14ac:dyDescent="0.25">
      <c r="B2232" s="216">
        <v>45548</v>
      </c>
      <c r="C2232" s="122">
        <v>82890.94</v>
      </c>
    </row>
    <row r="2233" spans="2:3" x14ac:dyDescent="0.25">
      <c r="B2233" s="216">
        <v>45551</v>
      </c>
      <c r="C2233" s="122">
        <v>82988.78</v>
      </c>
    </row>
    <row r="2234" spans="2:3" x14ac:dyDescent="0.25">
      <c r="B2234" s="216">
        <v>45552</v>
      </c>
      <c r="C2234" s="122">
        <v>83079.66</v>
      </c>
    </row>
    <row r="2235" spans="2:3" x14ac:dyDescent="0.25">
      <c r="B2235" s="216">
        <v>45553</v>
      </c>
      <c r="C2235" s="122">
        <v>82948.23</v>
      </c>
    </row>
    <row r="2236" spans="2:3" x14ac:dyDescent="0.25">
      <c r="B2236" s="216">
        <v>45554</v>
      </c>
      <c r="C2236" s="122">
        <v>83184.800000000003</v>
      </c>
    </row>
    <row r="2237" spans="2:3" x14ac:dyDescent="0.25">
      <c r="B2237" s="216">
        <v>45555</v>
      </c>
      <c r="C2237" s="122">
        <v>84544.31</v>
      </c>
    </row>
    <row r="2238" spans="2:3" x14ac:dyDescent="0.25">
      <c r="B2238" s="216">
        <v>45558</v>
      </c>
      <c r="C2238" s="122">
        <v>84928.61</v>
      </c>
    </row>
    <row r="2239" spans="2:3" x14ac:dyDescent="0.25">
      <c r="B2239" s="216">
        <v>45559</v>
      </c>
      <c r="C2239" s="122">
        <v>84914.04</v>
      </c>
    </row>
    <row r="2240" spans="2:3" x14ac:dyDescent="0.25">
      <c r="B2240" s="216">
        <v>45560</v>
      </c>
      <c r="C2240" s="122">
        <v>85169.87</v>
      </c>
    </row>
    <row r="2241" spans="2:3" x14ac:dyDescent="0.25">
      <c r="B2241" s="216">
        <v>45561</v>
      </c>
      <c r="C2241" s="122">
        <v>85836.12</v>
      </c>
    </row>
    <row r="2242" spans="2:3" x14ac:dyDescent="0.25">
      <c r="B2242" s="216">
        <v>45562</v>
      </c>
      <c r="C2242" s="122">
        <v>85571.85</v>
      </c>
    </row>
    <row r="2243" spans="2:3" x14ac:dyDescent="0.25">
      <c r="B2243" s="216">
        <v>45565</v>
      </c>
      <c r="C2243" s="122">
        <v>84299.78</v>
      </c>
    </row>
    <row r="2244" spans="2:3" x14ac:dyDescent="0.25">
      <c r="B2244" s="216">
        <v>45566</v>
      </c>
      <c r="C2244" s="122">
        <v>84266.29</v>
      </c>
    </row>
    <row r="2245" spans="2:3" x14ac:dyDescent="0.25">
      <c r="B2245" s="216">
        <v>45568</v>
      </c>
      <c r="C2245" s="122">
        <v>82497.100000000006</v>
      </c>
    </row>
    <row r="2246" spans="2:3" x14ac:dyDescent="0.25">
      <c r="B2246" s="216">
        <v>45569</v>
      </c>
      <c r="C2246" s="122">
        <v>81688.45</v>
      </c>
    </row>
    <row r="2247" spans="2:3" x14ac:dyDescent="0.25">
      <c r="B2247" s="216">
        <v>45572</v>
      </c>
      <c r="C2247" s="122">
        <v>81050</v>
      </c>
    </row>
    <row r="2248" spans="2:3" x14ac:dyDescent="0.25">
      <c r="B2248" s="216">
        <v>45573</v>
      </c>
      <c r="C2248" s="122">
        <v>81634.81</v>
      </c>
    </row>
    <row r="2249" spans="2:3" x14ac:dyDescent="0.25">
      <c r="B2249" s="216">
        <v>45574</v>
      </c>
      <c r="C2249" s="122">
        <v>81467.100000000006</v>
      </c>
    </row>
    <row r="2250" spans="2:3" x14ac:dyDescent="0.25">
      <c r="B2250" s="216">
        <v>45575</v>
      </c>
      <c r="C2250" s="122">
        <v>81611.41</v>
      </c>
    </row>
    <row r="2251" spans="2:3" x14ac:dyDescent="0.25">
      <c r="B2251" s="216">
        <v>45576</v>
      </c>
      <c r="C2251" s="122">
        <v>81381.36</v>
      </c>
    </row>
    <row r="2252" spans="2:3" x14ac:dyDescent="0.25">
      <c r="B2252" s="216">
        <v>45579</v>
      </c>
      <c r="C2252" s="122">
        <v>81973.05</v>
      </c>
    </row>
    <row r="2253" spans="2:3" x14ac:dyDescent="0.25">
      <c r="B2253" s="216">
        <v>45580</v>
      </c>
      <c r="C2253" s="122">
        <v>81820.12</v>
      </c>
    </row>
    <row r="2254" spans="2:3" x14ac:dyDescent="0.25">
      <c r="B2254" s="216">
        <v>45581</v>
      </c>
      <c r="C2254" s="122">
        <v>81501.36</v>
      </c>
    </row>
    <row r="2255" spans="2:3" x14ac:dyDescent="0.25">
      <c r="B2255" s="216">
        <v>45582</v>
      </c>
      <c r="C2255" s="122">
        <v>81006.61</v>
      </c>
    </row>
    <row r="2256" spans="2:3" x14ac:dyDescent="0.25">
      <c r="B2256" s="216">
        <v>45583</v>
      </c>
      <c r="C2256" s="122">
        <v>81224.75</v>
      </c>
    </row>
    <row r="2257" spans="2:3" x14ac:dyDescent="0.25">
      <c r="B2257" s="216">
        <v>45586</v>
      </c>
      <c r="C2257" s="122">
        <v>81151.27</v>
      </c>
    </row>
    <row r="2258" spans="2:3" x14ac:dyDescent="0.25">
      <c r="B2258" s="216">
        <v>45587</v>
      </c>
      <c r="C2258" s="122">
        <v>80220.72</v>
      </c>
    </row>
    <row r="2259" spans="2:3" x14ac:dyDescent="0.25">
      <c r="B2259" s="216">
        <v>45588</v>
      </c>
      <c r="C2259" s="122">
        <v>80081.98</v>
      </c>
    </row>
    <row r="2260" spans="2:3" x14ac:dyDescent="0.25">
      <c r="B2260" s="216">
        <v>45589</v>
      </c>
      <c r="C2260" s="122">
        <v>80065.16</v>
      </c>
    </row>
    <row r="2261" spans="2:3" x14ac:dyDescent="0.25">
      <c r="B2261" s="216">
        <v>45590</v>
      </c>
      <c r="C2261" s="122">
        <v>79402.289999999994</v>
      </c>
    </row>
    <row r="2262" spans="2:3" x14ac:dyDescent="0.25">
      <c r="B2262" s="216">
        <v>45593</v>
      </c>
      <c r="C2262" s="122">
        <v>80005.039999999994</v>
      </c>
    </row>
    <row r="2263" spans="2:3" x14ac:dyDescent="0.25">
      <c r="B2263" s="216">
        <v>45594</v>
      </c>
      <c r="C2263" s="122">
        <v>80369.03</v>
      </c>
    </row>
    <row r="2264" spans="2:3" x14ac:dyDescent="0.25">
      <c r="B2264" s="216">
        <v>45595</v>
      </c>
      <c r="C2264" s="122">
        <v>79942.179999999993</v>
      </c>
    </row>
    <row r="2265" spans="2:3" x14ac:dyDescent="0.25">
      <c r="B2265" s="216">
        <v>45596</v>
      </c>
      <c r="C2265" s="122">
        <v>79389.06</v>
      </c>
    </row>
    <row r="2266" spans="2:3" x14ac:dyDescent="0.25">
      <c r="B2266" s="216">
        <v>45597</v>
      </c>
      <c r="C2266" s="122">
        <v>79724.12</v>
      </c>
    </row>
    <row r="2267" spans="2:3" x14ac:dyDescent="0.25">
      <c r="B2267" s="216">
        <v>45600</v>
      </c>
      <c r="C2267" s="122">
        <v>78782.240000000005</v>
      </c>
    </row>
    <row r="2268" spans="2:3" x14ac:dyDescent="0.25">
      <c r="B2268" s="216">
        <v>45601</v>
      </c>
      <c r="C2268" s="122">
        <v>79476.63</v>
      </c>
    </row>
    <row r="2269" spans="2:3" x14ac:dyDescent="0.25">
      <c r="B2269" s="216">
        <v>45602</v>
      </c>
      <c r="C2269" s="122">
        <v>80378.13</v>
      </c>
    </row>
    <row r="2270" spans="2:3" x14ac:dyDescent="0.25">
      <c r="B2270" s="216">
        <v>45603</v>
      </c>
      <c r="C2270" s="122">
        <v>79541.789999999994</v>
      </c>
    </row>
    <row r="2271" spans="2:3" x14ac:dyDescent="0.25">
      <c r="B2271" s="216">
        <v>45604</v>
      </c>
      <c r="C2271" s="122">
        <v>79486.320000000007</v>
      </c>
    </row>
    <row r="2272" spans="2:3" x14ac:dyDescent="0.25">
      <c r="B2272" s="216">
        <v>45607</v>
      </c>
      <c r="C2272" s="122">
        <v>79496.149999999994</v>
      </c>
    </row>
    <row r="2273" spans="2:3" x14ac:dyDescent="0.25">
      <c r="B2273" s="216">
        <v>45608</v>
      </c>
      <c r="C2273" s="122">
        <v>78675.179999999993</v>
      </c>
    </row>
    <row r="2274" spans="2:3" x14ac:dyDescent="0.25">
      <c r="B2274" s="216">
        <v>45609</v>
      </c>
      <c r="C2274" s="122">
        <v>77690.95</v>
      </c>
    </row>
    <row r="2275" spans="2:3" x14ac:dyDescent="0.25">
      <c r="B2275" s="216">
        <v>45610</v>
      </c>
      <c r="C2275" s="122">
        <v>77580.31</v>
      </c>
    </row>
    <row r="2276" spans="2:3" x14ac:dyDescent="0.25">
      <c r="B2276" s="216">
        <v>45614</v>
      </c>
      <c r="C2276" s="122">
        <v>77339.009999999995</v>
      </c>
    </row>
    <row r="2277" spans="2:3" x14ac:dyDescent="0.25">
      <c r="B2277" s="216">
        <v>45615</v>
      </c>
      <c r="C2277" s="122">
        <v>77578.38</v>
      </c>
    </row>
    <row r="2278" spans="2:3" x14ac:dyDescent="0.25">
      <c r="B2278" s="216">
        <v>45617</v>
      </c>
      <c r="C2278" s="122">
        <v>77155.789999999994</v>
      </c>
    </row>
    <row r="2279" spans="2:3" x14ac:dyDescent="0.25">
      <c r="B2279" s="216">
        <v>45618</v>
      </c>
      <c r="C2279" s="122">
        <v>79117.11</v>
      </c>
    </row>
    <row r="2280" spans="2:3" x14ac:dyDescent="0.25">
      <c r="B2280" s="216">
        <v>45621</v>
      </c>
      <c r="C2280" s="122">
        <v>80109.850000000006</v>
      </c>
    </row>
    <row r="2281" spans="2:3" x14ac:dyDescent="0.25">
      <c r="B2281" s="216">
        <v>45622</v>
      </c>
      <c r="C2281" s="122">
        <v>80004.06</v>
      </c>
    </row>
    <row r="2282" spans="2:3" x14ac:dyDescent="0.25">
      <c r="B2282" s="216">
        <v>45623</v>
      </c>
      <c r="C2282" s="122">
        <v>80234.080000000002</v>
      </c>
    </row>
    <row r="2283" spans="2:3" x14ac:dyDescent="0.25">
      <c r="B2283" s="216">
        <v>45624</v>
      </c>
      <c r="C2283" s="122">
        <v>79043.740000000005</v>
      </c>
    </row>
    <row r="2284" spans="2:3" x14ac:dyDescent="0.25">
      <c r="B2284" s="216">
        <v>45625</v>
      </c>
      <c r="C2284" s="122">
        <v>79802.789999999994</v>
      </c>
    </row>
    <row r="2285" spans="2:3" x14ac:dyDescent="0.25">
      <c r="B2285" s="216">
        <v>45628</v>
      </c>
      <c r="C2285" s="122">
        <v>80248.08</v>
      </c>
    </row>
    <row r="2286" spans="2:3" x14ac:dyDescent="0.25">
      <c r="B2286" s="216">
        <v>45629</v>
      </c>
      <c r="C2286" s="122">
        <v>80845.75</v>
      </c>
    </row>
    <row r="2287" spans="2:3" x14ac:dyDescent="0.25">
      <c r="B2287" s="216">
        <v>45630</v>
      </c>
      <c r="C2287" s="122">
        <v>80956.33</v>
      </c>
    </row>
    <row r="2288" spans="2:3" x14ac:dyDescent="0.25">
      <c r="B2288" s="216">
        <v>45631</v>
      </c>
      <c r="C2288" s="122">
        <v>81765.86</v>
      </c>
    </row>
    <row r="2289" spans="2:3" x14ac:dyDescent="0.25">
      <c r="B2289" s="216">
        <v>45632</v>
      </c>
      <c r="C2289" s="122">
        <v>81709.119999999995</v>
      </c>
    </row>
    <row r="2290" spans="2:3" x14ac:dyDescent="0.25">
      <c r="B2290" s="216">
        <v>45635</v>
      </c>
      <c r="C2290" s="122">
        <v>81508.460000000006</v>
      </c>
    </row>
    <row r="2291" spans="2:3" x14ac:dyDescent="0.25">
      <c r="B2291" s="216">
        <v>45636</v>
      </c>
      <c r="C2291" s="122">
        <v>81510.05</v>
      </c>
    </row>
    <row r="2292" spans="2:3" x14ac:dyDescent="0.25">
      <c r="B2292" s="216">
        <v>45637</v>
      </c>
      <c r="C2292" s="122">
        <v>81526.14</v>
      </c>
    </row>
    <row r="2293" spans="2:3" x14ac:dyDescent="0.25">
      <c r="B2293" s="216">
        <v>45638</v>
      </c>
      <c r="C2293" s="122">
        <v>81289.960000000006</v>
      </c>
    </row>
    <row r="2294" spans="2:3" x14ac:dyDescent="0.25">
      <c r="B2294" s="216">
        <v>45639</v>
      </c>
      <c r="C2294" s="122">
        <v>82133.119999999995</v>
      </c>
    </row>
    <row r="2295" spans="2:3" x14ac:dyDescent="0.25">
      <c r="B2295" s="216">
        <v>45642</v>
      </c>
      <c r="C2295" s="122">
        <v>81748.570000000007</v>
      </c>
    </row>
    <row r="2296" spans="2:3" x14ac:dyDescent="0.25">
      <c r="B2296" s="216">
        <v>45643</v>
      </c>
      <c r="C2296" s="122">
        <v>80684.45</v>
      </c>
    </row>
    <row r="2297" spans="2:3" x14ac:dyDescent="0.25">
      <c r="B2297" s="216">
        <v>45644</v>
      </c>
      <c r="C2297" s="122">
        <v>80182.2</v>
      </c>
    </row>
    <row r="2298" spans="2:3" x14ac:dyDescent="0.25">
      <c r="B2298" s="216">
        <v>45645</v>
      </c>
      <c r="C2298" s="122">
        <v>79218.05</v>
      </c>
    </row>
    <row r="2299" spans="2:3" x14ac:dyDescent="0.25">
      <c r="B2299" s="216">
        <v>45646</v>
      </c>
      <c r="C2299" s="122">
        <v>78041.59</v>
      </c>
    </row>
    <row r="2300" spans="2:3" x14ac:dyDescent="0.25">
      <c r="B2300" s="216">
        <v>45649</v>
      </c>
      <c r="C2300" s="122">
        <v>78540.17</v>
      </c>
    </row>
    <row r="2301" spans="2:3" x14ac:dyDescent="0.25">
      <c r="B2301" s="216">
        <v>45650</v>
      </c>
      <c r="C2301" s="122">
        <v>78472.87</v>
      </c>
    </row>
    <row r="2302" spans="2:3" x14ac:dyDescent="0.25">
      <c r="B2302" s="216">
        <v>45652</v>
      </c>
      <c r="C2302" s="122">
        <v>78472.479999999996</v>
      </c>
    </row>
    <row r="2303" spans="2:3" x14ac:dyDescent="0.25">
      <c r="B2303" s="216">
        <v>45653</v>
      </c>
      <c r="C2303" s="122">
        <v>78699.070000000007</v>
      </c>
    </row>
    <row r="2304" spans="2:3" x14ac:dyDescent="0.25">
      <c r="B2304" s="216">
        <v>45656</v>
      </c>
      <c r="C2304" s="122">
        <v>78248.13</v>
      </c>
    </row>
    <row r="2305" spans="2:3" x14ac:dyDescent="0.25">
      <c r="B2305" s="216">
        <v>45657</v>
      </c>
      <c r="C2305" s="122">
        <v>78139.009999999995</v>
      </c>
    </row>
    <row r="2306" spans="2:3" x14ac:dyDescent="0.25">
      <c r="B2306" s="216">
        <v>45658</v>
      </c>
      <c r="C2306" s="122">
        <v>78507.41</v>
      </c>
    </row>
    <row r="2307" spans="2:3" x14ac:dyDescent="0.25">
      <c r="B2307" s="216">
        <v>45659</v>
      </c>
      <c r="C2307" s="122">
        <v>79943.710000000006</v>
      </c>
    </row>
    <row r="2308" spans="2:3" x14ac:dyDescent="0.25">
      <c r="B2308" s="216">
        <v>45660</v>
      </c>
      <c r="C2308" s="122">
        <v>79223.11</v>
      </c>
    </row>
    <row r="2309" spans="2:3" x14ac:dyDescent="0.25">
      <c r="B2309" s="216">
        <v>45663</v>
      </c>
      <c r="C2309" s="122">
        <v>77964.990000000005</v>
      </c>
    </row>
    <row r="2310" spans="2:3" x14ac:dyDescent="0.25">
      <c r="B2310" s="216">
        <v>45664</v>
      </c>
      <c r="C2310" s="122">
        <v>78199.11</v>
      </c>
    </row>
    <row r="2311" spans="2:3" x14ac:dyDescent="0.25">
      <c r="B2311" s="216">
        <v>45665</v>
      </c>
      <c r="C2311" s="122">
        <v>78148.490000000005</v>
      </c>
    </row>
    <row r="2312" spans="2:3" x14ac:dyDescent="0.25">
      <c r="B2312" s="216">
        <v>45666</v>
      </c>
      <c r="C2312" s="122">
        <v>77620.210000000006</v>
      </c>
    </row>
    <row r="2313" spans="2:3" x14ac:dyDescent="0.25">
      <c r="B2313" s="216">
        <v>45667</v>
      </c>
      <c r="C2313" s="122">
        <v>77378.91</v>
      </c>
    </row>
    <row r="2314" spans="2:3" x14ac:dyDescent="0.25">
      <c r="B2314" s="216">
        <v>45670</v>
      </c>
      <c r="C2314" s="122">
        <v>76330.009999999995</v>
      </c>
    </row>
    <row r="2315" spans="2:3" x14ac:dyDescent="0.25">
      <c r="B2315" s="216">
        <v>45671</v>
      </c>
      <c r="C2315" s="122">
        <v>76499.63</v>
      </c>
    </row>
    <row r="2316" spans="2:3" x14ac:dyDescent="0.25">
      <c r="B2316" s="216">
        <v>45672</v>
      </c>
      <c r="C2316" s="122">
        <v>76724.08</v>
      </c>
    </row>
    <row r="2317" spans="2:3" x14ac:dyDescent="0.25">
      <c r="B2317" s="216">
        <v>45673</v>
      </c>
      <c r="C2317" s="122">
        <v>77042.820000000007</v>
      </c>
    </row>
    <row r="2318" spans="2:3" x14ac:dyDescent="0.25">
      <c r="B2318" s="216">
        <v>45674</v>
      </c>
      <c r="C2318" s="122">
        <v>76619.33</v>
      </c>
    </row>
    <row r="2319" spans="2:3" x14ac:dyDescent="0.25">
      <c r="B2319" s="216">
        <v>45677</v>
      </c>
      <c r="C2319" s="122">
        <v>77073.440000000002</v>
      </c>
    </row>
    <row r="2320" spans="2:3" x14ac:dyDescent="0.25">
      <c r="B2320" s="216">
        <v>45678</v>
      </c>
      <c r="C2320" s="122">
        <v>75838.36</v>
      </c>
    </row>
    <row r="2321" spans="2:3" x14ac:dyDescent="0.25">
      <c r="B2321" s="216">
        <v>45679</v>
      </c>
      <c r="C2321" s="122">
        <v>76404.990000000005</v>
      </c>
    </row>
    <row r="2322" spans="2:3" x14ac:dyDescent="0.25">
      <c r="B2322" s="216">
        <v>45680</v>
      </c>
      <c r="C2322" s="122">
        <v>76520.38</v>
      </c>
    </row>
    <row r="2323" spans="2:3" x14ac:dyDescent="0.25">
      <c r="B2323" s="216">
        <v>45681</v>
      </c>
      <c r="C2323" s="122">
        <v>76190.460000000006</v>
      </c>
    </row>
    <row r="2324" spans="2:3" x14ac:dyDescent="0.25">
      <c r="B2324" s="216">
        <v>45684</v>
      </c>
      <c r="C2324" s="122">
        <v>75366.17</v>
      </c>
    </row>
    <row r="2325" spans="2:3" x14ac:dyDescent="0.25">
      <c r="B2325" s="216">
        <v>45685</v>
      </c>
      <c r="C2325" s="122">
        <v>75901.41</v>
      </c>
    </row>
    <row r="2326" spans="2:3" x14ac:dyDescent="0.25">
      <c r="B2326" s="216">
        <v>45686</v>
      </c>
      <c r="C2326" s="122">
        <v>76532.960000000006</v>
      </c>
    </row>
    <row r="2327" spans="2:3" x14ac:dyDescent="0.25">
      <c r="B2327" s="216">
        <v>45687</v>
      </c>
      <c r="C2327" s="122">
        <v>76759.81</v>
      </c>
    </row>
    <row r="2328" spans="2:3" x14ac:dyDescent="0.25">
      <c r="B2328" s="216">
        <v>45688</v>
      </c>
      <c r="C2328" s="122">
        <v>77500.570000000007</v>
      </c>
    </row>
    <row r="2329" spans="2:3" x14ac:dyDescent="0.25">
      <c r="B2329" s="216">
        <v>45689</v>
      </c>
      <c r="C2329" s="122">
        <v>77505.960000000006</v>
      </c>
    </row>
    <row r="2330" spans="2:3" x14ac:dyDescent="0.25">
      <c r="B2330" s="216">
        <v>45691</v>
      </c>
      <c r="C2330" s="122">
        <v>77186.740000000005</v>
      </c>
    </row>
    <row r="2331" spans="2:3" x14ac:dyDescent="0.25">
      <c r="B2331" s="216">
        <v>45692</v>
      </c>
      <c r="C2331" s="122">
        <v>78583.81</v>
      </c>
    </row>
    <row r="2332" spans="2:3" x14ac:dyDescent="0.25">
      <c r="B2332" s="216">
        <v>45693</v>
      </c>
      <c r="C2332" s="122">
        <v>78271.28</v>
      </c>
    </row>
    <row r="2333" spans="2:3" x14ac:dyDescent="0.25">
      <c r="B2333" s="216">
        <v>45694</v>
      </c>
      <c r="C2333" s="122">
        <v>78058.16</v>
      </c>
    </row>
    <row r="2334" spans="2:3" x14ac:dyDescent="0.25">
      <c r="B2334" s="216">
        <v>45695</v>
      </c>
      <c r="C2334" s="122">
        <v>77860.19</v>
      </c>
    </row>
    <row r="2335" spans="2:3" x14ac:dyDescent="0.25">
      <c r="B2335" s="216">
        <v>45698</v>
      </c>
      <c r="C2335" s="122">
        <v>77311.8</v>
      </c>
    </row>
    <row r="2336" spans="2:3" x14ac:dyDescent="0.25">
      <c r="B2336" s="216">
        <v>45699</v>
      </c>
      <c r="C2336" s="122">
        <v>76293.600000000006</v>
      </c>
    </row>
    <row r="2337" spans="2:3" x14ac:dyDescent="0.25">
      <c r="B2337" s="216">
        <v>45700</v>
      </c>
      <c r="C2337" s="122">
        <v>76171.08</v>
      </c>
    </row>
    <row r="2338" spans="2:3" x14ac:dyDescent="0.25">
      <c r="B2338" s="216">
        <v>45701</v>
      </c>
      <c r="C2338" s="122">
        <v>76138.97</v>
      </c>
    </row>
    <row r="2339" spans="2:3" x14ac:dyDescent="0.25">
      <c r="B2339" s="216">
        <v>45702</v>
      </c>
      <c r="C2339" s="122">
        <v>75939.210000000006</v>
      </c>
    </row>
    <row r="2340" spans="2:3" x14ac:dyDescent="0.25">
      <c r="B2340" s="216">
        <v>45705</v>
      </c>
      <c r="C2340" s="122">
        <v>75996.86</v>
      </c>
    </row>
    <row r="2341" spans="2:3" x14ac:dyDescent="0.25">
      <c r="B2341" s="216">
        <v>45706</v>
      </c>
      <c r="C2341" s="122">
        <v>75967.39</v>
      </c>
    </row>
    <row r="2342" spans="2:3" x14ac:dyDescent="0.25">
      <c r="B2342" s="216">
        <v>45707</v>
      </c>
      <c r="C2342" s="122">
        <v>75939.179999999993</v>
      </c>
    </row>
    <row r="2343" spans="2:3" x14ac:dyDescent="0.25">
      <c r="B2343" s="216">
        <v>45708</v>
      </c>
      <c r="C2343" s="122">
        <v>75735.960000000006</v>
      </c>
    </row>
    <row r="2344" spans="2:3" x14ac:dyDescent="0.25">
      <c r="B2344" s="216">
        <v>45709</v>
      </c>
      <c r="C2344" s="122">
        <v>75311.06</v>
      </c>
    </row>
    <row r="2345" spans="2:3" x14ac:dyDescent="0.25">
      <c r="B2345" s="216">
        <v>45712</v>
      </c>
      <c r="C2345" s="122">
        <v>74454.41</v>
      </c>
    </row>
    <row r="2346" spans="2:3" x14ac:dyDescent="0.25">
      <c r="B2346" s="216">
        <v>45713</v>
      </c>
      <c r="C2346" s="122">
        <v>74602.12</v>
      </c>
    </row>
    <row r="2347" spans="2:3" x14ac:dyDescent="0.25">
      <c r="B2347" s="216">
        <v>45715</v>
      </c>
      <c r="C2347" s="122">
        <v>74612.429999999993</v>
      </c>
    </row>
    <row r="2348" spans="2:3" x14ac:dyDescent="0.25">
      <c r="B2348" s="216">
        <v>45716</v>
      </c>
      <c r="C2348" s="122">
        <v>73198.100000000006</v>
      </c>
    </row>
    <row r="2349" spans="2:3" x14ac:dyDescent="0.25">
      <c r="B2349" s="216">
        <v>45719</v>
      </c>
      <c r="C2349" s="122">
        <v>73085.94</v>
      </c>
    </row>
    <row r="2350" spans="2:3" x14ac:dyDescent="0.25">
      <c r="B2350" s="216">
        <v>45720</v>
      </c>
      <c r="C2350" s="122">
        <v>72989.929999999993</v>
      </c>
    </row>
    <row r="2351" spans="2:3" x14ac:dyDescent="0.25">
      <c r="B2351" s="216">
        <v>45721</v>
      </c>
      <c r="C2351" s="122">
        <v>73730.23</v>
      </c>
    </row>
    <row r="2352" spans="2:3" x14ac:dyDescent="0.25">
      <c r="B2352" s="216">
        <v>45722</v>
      </c>
      <c r="C2352" s="122">
        <v>74340.09</v>
      </c>
    </row>
    <row r="2353" spans="2:3" x14ac:dyDescent="0.25">
      <c r="B2353" s="216">
        <v>45723</v>
      </c>
      <c r="C2353" s="122">
        <v>74332.58</v>
      </c>
    </row>
    <row r="2354" spans="2:3" x14ac:dyDescent="0.25">
      <c r="B2354" s="216">
        <v>45726</v>
      </c>
      <c r="C2354" s="122">
        <v>74115.17</v>
      </c>
    </row>
    <row r="2355" spans="2:3" x14ac:dyDescent="0.25">
      <c r="B2355" s="216">
        <v>45727</v>
      </c>
      <c r="C2355" s="122">
        <v>74102.320000000007</v>
      </c>
    </row>
    <row r="2356" spans="2:3" x14ac:dyDescent="0.25">
      <c r="B2356" s="216">
        <v>45728</v>
      </c>
      <c r="C2356" s="122">
        <v>74029.759999999995</v>
      </c>
    </row>
    <row r="2357" spans="2:3" x14ac:dyDescent="0.25">
      <c r="B2357" s="216">
        <v>45729</v>
      </c>
      <c r="C2357" s="122">
        <v>73828.91</v>
      </c>
    </row>
    <row r="2358" spans="2:3" x14ac:dyDescent="0.25">
      <c r="B2358" s="216">
        <v>45733</v>
      </c>
      <c r="C2358" s="122">
        <v>74169.95</v>
      </c>
    </row>
    <row r="2359" spans="2:3" x14ac:dyDescent="0.25">
      <c r="B2359" s="216">
        <v>45734</v>
      </c>
      <c r="C2359" s="122">
        <v>75301.259999999995</v>
      </c>
    </row>
    <row r="2360" spans="2:3" x14ac:dyDescent="0.25">
      <c r="B2360" s="216">
        <v>45735</v>
      </c>
      <c r="C2360" s="122">
        <v>75449.05</v>
      </c>
    </row>
    <row r="2361" spans="2:3" x14ac:dyDescent="0.25">
      <c r="B2361" s="216">
        <v>45736</v>
      </c>
      <c r="C2361" s="122">
        <v>76348.06</v>
      </c>
    </row>
    <row r="2362" spans="2:3" x14ac:dyDescent="0.25">
      <c r="B2362" s="216">
        <v>45737</v>
      </c>
      <c r="C2362" s="122">
        <v>76905.509999999995</v>
      </c>
    </row>
    <row r="2363" spans="2:3" x14ac:dyDescent="0.25">
      <c r="B2363" s="216">
        <v>45740</v>
      </c>
      <c r="C2363" s="122">
        <v>77984.38</v>
      </c>
    </row>
    <row r="2364" spans="2:3" x14ac:dyDescent="0.25">
      <c r="B2364" s="216">
        <v>45741</v>
      </c>
      <c r="C2364" s="122">
        <v>78017.19</v>
      </c>
    </row>
    <row r="2365" spans="2:3" x14ac:dyDescent="0.25">
      <c r="B2365" s="216">
        <v>45742</v>
      </c>
      <c r="C2365" s="122">
        <v>77288.5</v>
      </c>
    </row>
    <row r="2366" spans="2:3" x14ac:dyDescent="0.25">
      <c r="B2366" s="216">
        <v>45743</v>
      </c>
      <c r="C2366" s="122">
        <v>77606.429999999993</v>
      </c>
    </row>
    <row r="2367" spans="2:3" x14ac:dyDescent="0.25">
      <c r="B2367" s="216">
        <v>45744</v>
      </c>
      <c r="C2367" s="122">
        <v>77414.92</v>
      </c>
    </row>
    <row r="2368" spans="2:3" x14ac:dyDescent="0.25">
      <c r="B2368" s="216">
        <v>45748</v>
      </c>
      <c r="C2368" s="122">
        <v>76024.509999999995</v>
      </c>
    </row>
    <row r="2369" spans="2:3" x14ac:dyDescent="0.25">
      <c r="B2369" s="216">
        <v>45749</v>
      </c>
      <c r="C2369" s="122">
        <v>76617.440000000002</v>
      </c>
    </row>
    <row r="2370" spans="2:3" x14ac:dyDescent="0.25">
      <c r="B2370" s="216">
        <v>45750</v>
      </c>
      <c r="C2370" s="122">
        <v>76295.360000000001</v>
      </c>
    </row>
    <row r="2371" spans="2:3" x14ac:dyDescent="0.25">
      <c r="B2371" s="216">
        <v>45751</v>
      </c>
      <c r="C2371" s="122">
        <v>75364.69</v>
      </c>
    </row>
    <row r="2372" spans="2:3" x14ac:dyDescent="0.25">
      <c r="B2372" s="216">
        <v>45754</v>
      </c>
      <c r="C2372" s="122">
        <v>73137.899999999994</v>
      </c>
    </row>
    <row r="2373" spans="2:3" x14ac:dyDescent="0.25">
      <c r="B2373" s="216">
        <v>45755</v>
      </c>
      <c r="C2373" s="122">
        <v>74227.08</v>
      </c>
    </row>
    <row r="2374" spans="2:3" x14ac:dyDescent="0.25">
      <c r="B2374" s="216">
        <v>45756</v>
      </c>
      <c r="C2374" s="122">
        <v>73847.149999999994</v>
      </c>
    </row>
    <row r="2375" spans="2:3" x14ac:dyDescent="0.25">
      <c r="B2375" s="216">
        <v>45758</v>
      </c>
      <c r="C2375" s="122">
        <v>75157.259999999995</v>
      </c>
    </row>
    <row r="2376" spans="2:3" x14ac:dyDescent="0.25">
      <c r="B2376" s="216">
        <v>45762</v>
      </c>
      <c r="C2376" s="122">
        <v>76734.89</v>
      </c>
    </row>
    <row r="2377" spans="2:3" x14ac:dyDescent="0.25">
      <c r="B2377" s="216">
        <v>45763</v>
      </c>
      <c r="C2377" s="122">
        <v>77044.289999999994</v>
      </c>
    </row>
    <row r="2378" spans="2:3" x14ac:dyDescent="0.25">
      <c r="B2378" s="216">
        <v>45764</v>
      </c>
      <c r="C2378" s="122">
        <v>78553.2</v>
      </c>
    </row>
    <row r="2379" spans="2:3" x14ac:dyDescent="0.25">
      <c r="B2379" s="216">
        <v>45768</v>
      </c>
      <c r="C2379" s="122">
        <v>79408.5</v>
      </c>
    </row>
    <row r="2380" spans="2:3" x14ac:dyDescent="0.25">
      <c r="B2380" s="216">
        <v>45769</v>
      </c>
      <c r="C2380" s="122">
        <v>79595.59</v>
      </c>
    </row>
    <row r="2381" spans="2:3" x14ac:dyDescent="0.25">
      <c r="B2381" s="216">
        <v>45770</v>
      </c>
      <c r="C2381" s="122">
        <v>80116.490000000005</v>
      </c>
    </row>
    <row r="2382" spans="2:3" x14ac:dyDescent="0.25">
      <c r="B2382" s="216">
        <v>45771</v>
      </c>
      <c r="C2382" s="122">
        <v>79801.429999999993</v>
      </c>
    </row>
    <row r="2383" spans="2:3" x14ac:dyDescent="0.25">
      <c r="B2383" s="216">
        <v>45772</v>
      </c>
      <c r="C2383" s="122">
        <v>79212.53</v>
      </c>
    </row>
    <row r="2384" spans="2:3" x14ac:dyDescent="0.25">
      <c r="B2384" s="216">
        <v>45775</v>
      </c>
      <c r="C2384" s="122">
        <v>80218.37</v>
      </c>
    </row>
    <row r="2385" spans="2:3" x14ac:dyDescent="0.25">
      <c r="B2385" s="216">
        <v>45776</v>
      </c>
      <c r="C2385" s="122">
        <v>80288.38</v>
      </c>
    </row>
    <row r="2386" spans="2:3" x14ac:dyDescent="0.25">
      <c r="B2386" s="216">
        <v>45777</v>
      </c>
      <c r="C2386" s="122">
        <v>80242.240000000005</v>
      </c>
    </row>
    <row r="2387" spans="2:3" x14ac:dyDescent="0.25">
      <c r="B2387" s="216">
        <v>45779</v>
      </c>
      <c r="C2387" s="122">
        <v>80501.990000000005</v>
      </c>
    </row>
    <row r="2388" spans="2:3" x14ac:dyDescent="0.25">
      <c r="B2388" s="216">
        <v>45782</v>
      </c>
      <c r="C2388" s="122">
        <v>80796.84</v>
      </c>
    </row>
    <row r="2389" spans="2:3" x14ac:dyDescent="0.25">
      <c r="B2389" s="216">
        <v>45783</v>
      </c>
      <c r="C2389" s="122">
        <v>80641.070000000007</v>
      </c>
    </row>
    <row r="2390" spans="2:3" x14ac:dyDescent="0.25">
      <c r="B2390" s="216">
        <v>45784</v>
      </c>
      <c r="C2390" s="122">
        <v>80746.78</v>
      </c>
    </row>
    <row r="2391" spans="2:3" x14ac:dyDescent="0.25">
      <c r="B2391" s="216">
        <v>45785</v>
      </c>
      <c r="C2391" s="122">
        <v>80334.81</v>
      </c>
    </row>
    <row r="2392" spans="2:3" x14ac:dyDescent="0.25">
      <c r="B2392" s="216">
        <v>45786</v>
      </c>
      <c r="C2392" s="122">
        <v>79454.47</v>
      </c>
    </row>
    <row r="2393" spans="2:3" x14ac:dyDescent="0.25">
      <c r="B2393" s="216">
        <v>45789</v>
      </c>
      <c r="C2393" s="122">
        <v>82429.899999999994</v>
      </c>
    </row>
    <row r="2394" spans="2:3" x14ac:dyDescent="0.25">
      <c r="B2394" s="216">
        <v>45790</v>
      </c>
      <c r="C2394" s="122">
        <v>81148.22</v>
      </c>
    </row>
    <row r="2395" spans="2:3" x14ac:dyDescent="0.25">
      <c r="B2395" s="216">
        <v>45791</v>
      </c>
      <c r="C2395" s="122">
        <v>81330.559999999998</v>
      </c>
    </row>
    <row r="2396" spans="2:3" x14ac:dyDescent="0.25">
      <c r="B2396" s="216">
        <v>45792</v>
      </c>
      <c r="C2396" s="122">
        <v>82530.740000000005</v>
      </c>
    </row>
    <row r="2397" spans="2:3" x14ac:dyDescent="0.25">
      <c r="B2397" s="216">
        <v>45793</v>
      </c>
      <c r="C2397" s="122">
        <v>82330.59</v>
      </c>
    </row>
    <row r="2398" spans="2:3" x14ac:dyDescent="0.25">
      <c r="B2398" s="216">
        <v>45796</v>
      </c>
      <c r="C2398" s="122">
        <v>82059.42</v>
      </c>
    </row>
    <row r="2399" spans="2:3" x14ac:dyDescent="0.25">
      <c r="B2399" s="216">
        <v>45797</v>
      </c>
      <c r="C2399" s="122">
        <v>81186.44</v>
      </c>
    </row>
    <row r="2400" spans="2:3" x14ac:dyDescent="0.25">
      <c r="B2400" s="216">
        <v>45798</v>
      </c>
      <c r="C2400" s="122">
        <v>81596.63</v>
      </c>
    </row>
    <row r="2401" spans="2:3" x14ac:dyDescent="0.25">
      <c r="B2401" s="216">
        <v>45799</v>
      </c>
      <c r="C2401" s="122">
        <v>80951.990000000005</v>
      </c>
    </row>
    <row r="2402" spans="2:3" x14ac:dyDescent="0.25">
      <c r="B2402" s="216">
        <v>45800</v>
      </c>
      <c r="C2402" s="122">
        <v>81721.08</v>
      </c>
    </row>
    <row r="2403" spans="2:3" x14ac:dyDescent="0.25">
      <c r="B2403" s="216">
        <v>45803</v>
      </c>
      <c r="C2403" s="122">
        <v>82176.45</v>
      </c>
    </row>
    <row r="2404" spans="2:3" x14ac:dyDescent="0.25">
      <c r="B2404" s="216">
        <v>45804</v>
      </c>
      <c r="C2404" s="122">
        <v>81551.63</v>
      </c>
    </row>
    <row r="2405" spans="2:3" x14ac:dyDescent="0.25">
      <c r="B2405" s="216">
        <v>45805</v>
      </c>
      <c r="C2405" s="122">
        <v>81312.320000000007</v>
      </c>
    </row>
    <row r="2406" spans="2:3" x14ac:dyDescent="0.25">
      <c r="B2406" s="216">
        <v>45806</v>
      </c>
      <c r="C2406" s="122">
        <v>81633.02</v>
      </c>
    </row>
    <row r="2407" spans="2:3" x14ac:dyDescent="0.25">
      <c r="B2407" s="216">
        <v>45807</v>
      </c>
      <c r="C2407" s="122">
        <v>81451.009999999995</v>
      </c>
    </row>
    <row r="2408" spans="2:3" x14ac:dyDescent="0.25">
      <c r="B2408" s="216">
        <v>45810</v>
      </c>
      <c r="C2408" s="122">
        <v>81373.75</v>
      </c>
    </row>
    <row r="2409" spans="2:3" x14ac:dyDescent="0.25">
      <c r="B2409" s="216">
        <v>45811</v>
      </c>
      <c r="C2409" s="122">
        <v>80737.509999999995</v>
      </c>
    </row>
    <row r="2410" spans="2:3" x14ac:dyDescent="0.25">
      <c r="B2410" s="216">
        <v>45812</v>
      </c>
      <c r="C2410" s="122">
        <v>80998.25</v>
      </c>
    </row>
    <row r="2411" spans="2:3" x14ac:dyDescent="0.25">
      <c r="B2411" s="216">
        <v>45813</v>
      </c>
      <c r="C2411" s="122">
        <v>81442.039999999994</v>
      </c>
    </row>
    <row r="2412" spans="2:3" x14ac:dyDescent="0.25">
      <c r="B2412" s="216">
        <v>45814</v>
      </c>
      <c r="C2412" s="122">
        <v>82188.990000000005</v>
      </c>
    </row>
    <row r="2413" spans="2:3" x14ac:dyDescent="0.25">
      <c r="B2413" s="216">
        <v>45817</v>
      </c>
      <c r="C2413" s="122">
        <v>82445.210000000006</v>
      </c>
    </row>
    <row r="2414" spans="2:3" x14ac:dyDescent="0.25">
      <c r="B2414" s="216">
        <v>45818</v>
      </c>
      <c r="C2414" s="122">
        <v>82391.72</v>
      </c>
    </row>
    <row r="2415" spans="2:3" x14ac:dyDescent="0.25">
      <c r="B2415" s="216">
        <v>45819</v>
      </c>
      <c r="C2415" s="122">
        <v>82515.14</v>
      </c>
    </row>
    <row r="2416" spans="2:3" x14ac:dyDescent="0.25">
      <c r="B2416" s="216">
        <v>45820</v>
      </c>
      <c r="C2416" s="122">
        <v>81691.98</v>
      </c>
    </row>
    <row r="2417" spans="2:3" x14ac:dyDescent="0.25">
      <c r="B2417" s="216">
        <v>45821</v>
      </c>
      <c r="C2417" s="122">
        <v>81118.600000000006</v>
      </c>
    </row>
    <row r="2418" spans="2:3" x14ac:dyDescent="0.25">
      <c r="B2418" s="216">
        <v>45824</v>
      </c>
      <c r="C2418" s="122">
        <v>81796.149999999994</v>
      </c>
    </row>
    <row r="2419" spans="2:3" x14ac:dyDescent="0.25">
      <c r="B2419" s="216">
        <v>45825</v>
      </c>
      <c r="C2419" s="122">
        <v>81583.3</v>
      </c>
    </row>
    <row r="2420" spans="2:3" x14ac:dyDescent="0.25">
      <c r="B2420" s="216">
        <v>45826</v>
      </c>
      <c r="C2420" s="122">
        <v>81444.66</v>
      </c>
    </row>
    <row r="2421" spans="2:3" x14ac:dyDescent="0.25">
      <c r="B2421" s="216">
        <v>45827</v>
      </c>
      <c r="C2421" s="122">
        <v>81361.87</v>
      </c>
    </row>
    <row r="2422" spans="2:3" x14ac:dyDescent="0.25">
      <c r="B2422" s="216">
        <v>45828</v>
      </c>
      <c r="C2422" s="122">
        <v>82408.17</v>
      </c>
    </row>
    <row r="2423" spans="2:3" x14ac:dyDescent="0.25">
      <c r="B2423" s="216">
        <v>45831</v>
      </c>
      <c r="C2423" s="122">
        <v>81896.789999999994</v>
      </c>
    </row>
    <row r="2424" spans="2:3" x14ac:dyDescent="0.25">
      <c r="B2424" s="216">
        <v>45832</v>
      </c>
      <c r="C2424" s="122">
        <v>82055.11</v>
      </c>
    </row>
    <row r="2425" spans="2:3" x14ac:dyDescent="0.25">
      <c r="B2425" s="216">
        <v>45833</v>
      </c>
      <c r="C2425" s="122">
        <v>82755.509999999995</v>
      </c>
    </row>
    <row r="2426" spans="2:3" x14ac:dyDescent="0.25">
      <c r="B2426" s="216">
        <v>45834</v>
      </c>
      <c r="C2426" s="122">
        <v>83755.87</v>
      </c>
    </row>
    <row r="2427" spans="2:3" x14ac:dyDescent="0.25">
      <c r="B2427" s="216">
        <v>45835</v>
      </c>
      <c r="C2427" s="122">
        <v>84058.9</v>
      </c>
    </row>
    <row r="2428" spans="2:3" x14ac:dyDescent="0.25">
      <c r="B2428" s="216">
        <v>45838</v>
      </c>
      <c r="C2428" s="122">
        <v>83606.460000000006</v>
      </c>
    </row>
    <row r="2429" spans="2:3" x14ac:dyDescent="0.25">
      <c r="B2429" s="216">
        <v>45839</v>
      </c>
      <c r="C2429" s="122">
        <v>83697.289999999994</v>
      </c>
    </row>
    <row r="2430" spans="2:3" x14ac:dyDescent="0.25">
      <c r="B2430" s="216">
        <v>45840</v>
      </c>
      <c r="C2430" s="122">
        <v>83409.69</v>
      </c>
    </row>
    <row r="2431" spans="2:3" x14ac:dyDescent="0.25">
      <c r="B2431" s="216">
        <v>45841</v>
      </c>
      <c r="C2431" s="122">
        <v>83239.47</v>
      </c>
    </row>
    <row r="2432" spans="2:3" x14ac:dyDescent="0.25">
      <c r="B2432" s="216">
        <v>45842</v>
      </c>
      <c r="C2432" s="122">
        <v>83432.89</v>
      </c>
    </row>
    <row r="2433" spans="2:3" x14ac:dyDescent="0.25">
      <c r="B2433" s="216">
        <v>45845</v>
      </c>
      <c r="C2433" s="122">
        <v>83442.5</v>
      </c>
    </row>
    <row r="2434" spans="2:3" x14ac:dyDescent="0.25">
      <c r="B2434" s="216">
        <v>45846</v>
      </c>
      <c r="C2434" s="122">
        <v>83712.509999999995</v>
      </c>
    </row>
    <row r="2435" spans="2:3" x14ac:dyDescent="0.25">
      <c r="B2435" s="216">
        <v>45847</v>
      </c>
      <c r="C2435" s="122">
        <v>83536.08</v>
      </c>
    </row>
    <row r="2436" spans="2:3" x14ac:dyDescent="0.25">
      <c r="B2436" s="216">
        <v>45848</v>
      </c>
      <c r="C2436" s="122">
        <v>83190.28</v>
      </c>
    </row>
    <row r="2437" spans="2:3" x14ac:dyDescent="0.25">
      <c r="B2437" s="216">
        <v>45849</v>
      </c>
      <c r="C2437" s="122">
        <v>82500.47</v>
      </c>
    </row>
    <row r="2438" spans="2:3" x14ac:dyDescent="0.25">
      <c r="B2438" s="216">
        <v>45852</v>
      </c>
      <c r="C2438" s="122">
        <v>82253.460000000006</v>
      </c>
    </row>
    <row r="2439" spans="2:3" x14ac:dyDescent="0.25">
      <c r="B2439" s="216">
        <v>45853</v>
      </c>
      <c r="C2439" s="122">
        <v>82570.91</v>
      </c>
    </row>
    <row r="2440" spans="2:3" x14ac:dyDescent="0.25">
      <c r="B2440" s="216">
        <v>45854</v>
      </c>
      <c r="C2440" s="122">
        <v>82634.48</v>
      </c>
    </row>
    <row r="2441" spans="2:3" x14ac:dyDescent="0.25">
      <c r="B2441" s="216">
        <v>45855</v>
      </c>
      <c r="C2441" s="122">
        <v>82259.240000000005</v>
      </c>
    </row>
    <row r="2442" spans="2:3" x14ac:dyDescent="0.25">
      <c r="B2442" s="216">
        <v>45856</v>
      </c>
      <c r="C2442" s="122">
        <v>81757.73</v>
      </c>
    </row>
    <row r="2443" spans="2:3" x14ac:dyDescent="0.25">
      <c r="B2443" s="216">
        <v>45859</v>
      </c>
      <c r="C2443" s="122">
        <v>82200.34</v>
      </c>
    </row>
    <row r="2444" spans="2:3" x14ac:dyDescent="0.25">
      <c r="B2444" s="216">
        <v>45860</v>
      </c>
      <c r="C2444" s="122">
        <v>82186.81</v>
      </c>
    </row>
    <row r="2445" spans="2:3" x14ac:dyDescent="0.25">
      <c r="B2445" s="216">
        <v>45861</v>
      </c>
      <c r="C2445" s="122">
        <v>82726.64</v>
      </c>
    </row>
    <row r="2446" spans="2:3" x14ac:dyDescent="0.25">
      <c r="B2446" s="216">
        <v>45862</v>
      </c>
      <c r="C2446" s="122">
        <v>82184.17</v>
      </c>
    </row>
    <row r="2447" spans="2:3" x14ac:dyDescent="0.25">
      <c r="B2447" s="216">
        <v>45863</v>
      </c>
      <c r="C2447" s="122">
        <v>81463.09</v>
      </c>
    </row>
    <row r="2448" spans="2:3" x14ac:dyDescent="0.25">
      <c r="B2448" s="216">
        <v>45866</v>
      </c>
      <c r="C2448" s="122">
        <v>80891.02</v>
      </c>
    </row>
    <row r="2449" spans="2:3" x14ac:dyDescent="0.25">
      <c r="B2449" s="216">
        <v>45867</v>
      </c>
      <c r="C2449" s="122">
        <v>81337.95</v>
      </c>
    </row>
    <row r="2450" spans="2:3" x14ac:dyDescent="0.25">
      <c r="B2450" s="216">
        <v>45868</v>
      </c>
      <c r="C2450" s="122">
        <v>81481.86</v>
      </c>
    </row>
    <row r="2451" spans="2:3" x14ac:dyDescent="0.25">
      <c r="B2451" s="216">
        <v>45869</v>
      </c>
      <c r="C2451" s="122">
        <v>81185.58</v>
      </c>
    </row>
    <row r="2452" spans="2:3" x14ac:dyDescent="0.25">
      <c r="B2452" s="216">
        <v>45870</v>
      </c>
      <c r="C2452" s="122">
        <v>80599.91</v>
      </c>
    </row>
    <row r="2453" spans="2:3" x14ac:dyDescent="0.25">
      <c r="B2453" s="216">
        <v>45873</v>
      </c>
      <c r="C2453" s="122">
        <v>81018.720000000001</v>
      </c>
    </row>
    <row r="2454" spans="2:3" x14ac:dyDescent="0.25">
      <c r="B2454" s="216">
        <v>45874</v>
      </c>
      <c r="C2454" s="122">
        <v>80710.25</v>
      </c>
    </row>
    <row r="2455" spans="2:3" x14ac:dyDescent="0.25">
      <c r="B2455" s="216">
        <v>45875</v>
      </c>
      <c r="C2455" s="122">
        <v>80543.990000000005</v>
      </c>
    </row>
    <row r="2456" spans="2:3" x14ac:dyDescent="0.25">
      <c r="B2456" s="216">
        <v>45876</v>
      </c>
      <c r="C2456" s="122">
        <v>80623.259999999995</v>
      </c>
    </row>
    <row r="2457" spans="2:3" x14ac:dyDescent="0.25">
      <c r="B2457" s="216">
        <v>45877</v>
      </c>
      <c r="C2457" s="122">
        <v>79857.789999999994</v>
      </c>
    </row>
    <row r="2458" spans="2:3" x14ac:dyDescent="0.25">
      <c r="B2458" s="216">
        <v>45880</v>
      </c>
      <c r="C2458" s="122">
        <v>80604.08</v>
      </c>
    </row>
    <row r="2459" spans="2:3" x14ac:dyDescent="0.25">
      <c r="B2459" s="216">
        <v>45881</v>
      </c>
      <c r="C2459" s="122">
        <v>80235.59</v>
      </c>
    </row>
    <row r="2460" spans="2:3" x14ac:dyDescent="0.25">
      <c r="B2460" s="216">
        <v>45882</v>
      </c>
      <c r="C2460" s="122">
        <v>80539.91</v>
      </c>
    </row>
    <row r="2461" spans="2:3" x14ac:dyDescent="0.25">
      <c r="B2461" s="216">
        <v>45883</v>
      </c>
      <c r="C2461" s="122">
        <v>80597.66</v>
      </c>
    </row>
    <row r="2462" spans="2:3" x14ac:dyDescent="0.25">
      <c r="B2462" s="216">
        <v>45887</v>
      </c>
      <c r="C2462" s="122">
        <v>81273.75</v>
      </c>
    </row>
    <row r="2463" spans="2:3" x14ac:dyDescent="0.25">
      <c r="B2463" s="216">
        <v>45888</v>
      </c>
      <c r="C2463" s="122">
        <v>81644.39</v>
      </c>
    </row>
    <row r="2464" spans="2:3" x14ac:dyDescent="0.25">
      <c r="B2464" s="216">
        <v>45889</v>
      </c>
      <c r="C2464" s="122">
        <v>81857.84</v>
      </c>
    </row>
    <row r="2465" spans="2:3" x14ac:dyDescent="0.25">
      <c r="B2465" s="216">
        <v>45890</v>
      </c>
      <c r="C2465" s="122">
        <v>82000.710000000006</v>
      </c>
    </row>
    <row r="2466" spans="2:3" x14ac:dyDescent="0.25">
      <c r="B2466" s="216">
        <v>45891</v>
      </c>
      <c r="C2466" s="122">
        <v>81306.850000000006</v>
      </c>
    </row>
    <row r="2467" spans="2:3" x14ac:dyDescent="0.25">
      <c r="B2467" s="216">
        <v>45894</v>
      </c>
      <c r="C2467" s="122">
        <v>81635.91</v>
      </c>
    </row>
    <row r="2468" spans="2:3" x14ac:dyDescent="0.25">
      <c r="B2468" s="216">
        <v>45895</v>
      </c>
      <c r="C2468" s="122">
        <v>80786.539999999994</v>
      </c>
    </row>
    <row r="2469" spans="2:3" x14ac:dyDescent="0.25">
      <c r="B2469" s="216">
        <v>45897</v>
      </c>
      <c r="C2469" s="122">
        <v>80080.570000000007</v>
      </c>
    </row>
    <row r="2470" spans="2:3" x14ac:dyDescent="0.25">
      <c r="B2470" s="216">
        <v>45898</v>
      </c>
      <c r="C2470" s="122">
        <v>79809.649999999994</v>
      </c>
    </row>
    <row r="2471" spans="2:3" x14ac:dyDescent="0.25">
      <c r="B2471" s="216">
        <v>45901</v>
      </c>
      <c r="C2471" s="122">
        <v>80364.490000000005</v>
      </c>
    </row>
    <row r="2472" spans="2:3" x14ac:dyDescent="0.25">
      <c r="B2472" s="216">
        <v>45902</v>
      </c>
      <c r="C2472" s="122">
        <v>80157.88</v>
      </c>
    </row>
    <row r="2473" spans="2:3" x14ac:dyDescent="0.25">
      <c r="B2473" s="216">
        <v>45903</v>
      </c>
      <c r="C2473" s="122">
        <v>80567.710000000006</v>
      </c>
    </row>
    <row r="2474" spans="2:3" x14ac:dyDescent="0.25">
      <c r="B2474" s="216">
        <v>45904</v>
      </c>
      <c r="C2474" s="122">
        <v>80718.009999999995</v>
      </c>
    </row>
    <row r="2475" spans="2:3" x14ac:dyDescent="0.25">
      <c r="B2475" s="216">
        <v>45905</v>
      </c>
      <c r="C2475" s="122">
        <v>80710.759999999995</v>
      </c>
    </row>
    <row r="2476" spans="2:3" x14ac:dyDescent="0.25">
      <c r="B2476" s="216">
        <v>45908</v>
      </c>
      <c r="C2476" s="122">
        <v>80787.3</v>
      </c>
    </row>
    <row r="2477" spans="2:3" x14ac:dyDescent="0.25">
      <c r="B2477" s="216">
        <v>45909</v>
      </c>
      <c r="C2477" s="122">
        <v>81101.320000000007</v>
      </c>
    </row>
    <row r="2478" spans="2:3" x14ac:dyDescent="0.25">
      <c r="B2478" s="216">
        <v>45910</v>
      </c>
      <c r="C2478" s="122">
        <v>81425.149999999994</v>
      </c>
    </row>
    <row r="2479" spans="2:3" x14ac:dyDescent="0.25">
      <c r="B2479" s="216">
        <v>45911</v>
      </c>
      <c r="C2479" s="122">
        <v>81548.73</v>
      </c>
    </row>
    <row r="2480" spans="2:3" x14ac:dyDescent="0.25">
      <c r="B2480" s="216">
        <v>45912</v>
      </c>
      <c r="C2480" s="122">
        <v>81904.7</v>
      </c>
    </row>
    <row r="2481" spans="2:3" x14ac:dyDescent="0.25">
      <c r="B2481" s="216">
        <v>45915</v>
      </c>
      <c r="C2481" s="122">
        <v>81785.740000000005</v>
      </c>
    </row>
    <row r="2482" spans="2:3" x14ac:dyDescent="0.25">
      <c r="B2482" s="216">
        <v>45916</v>
      </c>
      <c r="C2482" s="122">
        <v>82380.69</v>
      </c>
    </row>
    <row r="2483" spans="2:3" x14ac:dyDescent="0.25">
      <c r="B2483" s="216">
        <v>45917</v>
      </c>
      <c r="C2483" s="122">
        <v>82693.710000000006</v>
      </c>
    </row>
    <row r="2484" spans="2:3" x14ac:dyDescent="0.25">
      <c r="B2484" s="216">
        <v>45917</v>
      </c>
      <c r="C2484" s="122">
        <v>83013.960000000006</v>
      </c>
    </row>
    <row r="2485" spans="2:3" x14ac:dyDescent="0.25">
      <c r="B2485" s="216">
        <v>45917</v>
      </c>
      <c r="C2485" s="122">
        <v>82626.23</v>
      </c>
    </row>
    <row r="2486" spans="2:3" x14ac:dyDescent="0.25">
      <c r="B2486" s="216">
        <v>45917</v>
      </c>
      <c r="C2486" s="122">
        <v>82159.97</v>
      </c>
    </row>
  </sheetData>
  <mergeCells count="1">
    <mergeCell ref="B7:C7"/>
  </mergeCells>
  <hyperlinks>
    <hyperlink ref="F7" r:id="rId1" display="https://www.bseindia.com/indices/IndexArchiveData.html"/>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8:P130"/>
  <sheetViews>
    <sheetView showGridLines="0" workbookViewId="0">
      <selection activeCell="I12" sqref="I12"/>
    </sheetView>
  </sheetViews>
  <sheetFormatPr defaultRowHeight="15" x14ac:dyDescent="0.25"/>
  <cols>
    <col min="1" max="1" width="1.85546875" customWidth="1"/>
    <col min="2" max="2" width="10.42578125" bestFit="1" customWidth="1"/>
    <col min="3" max="3" width="10.7109375" bestFit="1" customWidth="1"/>
    <col min="4" max="4" width="13.42578125" customWidth="1"/>
    <col min="5" max="5" width="12.5703125" customWidth="1"/>
    <col min="6" max="6" width="11.85546875" customWidth="1"/>
    <col min="8" max="8" width="18" bestFit="1" customWidth="1"/>
    <col min="9" max="9" width="11.7109375" customWidth="1"/>
    <col min="10" max="10" width="14.5703125" bestFit="1" customWidth="1"/>
    <col min="11" max="11" width="6.28515625" customWidth="1"/>
    <col min="12" max="12" width="8.140625" customWidth="1"/>
    <col min="13" max="13" width="10.85546875" bestFit="1" customWidth="1"/>
    <col min="14" max="14" width="11" bestFit="1" customWidth="1"/>
    <col min="15" max="15" width="12.42578125" bestFit="1" customWidth="1"/>
    <col min="16" max="16" width="12.5703125" bestFit="1" customWidth="1"/>
  </cols>
  <sheetData>
    <row r="8" spans="2:16" x14ac:dyDescent="0.25">
      <c r="B8" s="410" t="s">
        <v>200</v>
      </c>
      <c r="C8" s="412" t="s">
        <v>201</v>
      </c>
      <c r="D8" s="412" t="s">
        <v>202</v>
      </c>
      <c r="E8" s="412" t="s">
        <v>203</v>
      </c>
      <c r="F8" s="412" t="s">
        <v>202</v>
      </c>
      <c r="H8" s="237" t="s">
        <v>280</v>
      </c>
      <c r="I8" s="238" t="s">
        <v>281</v>
      </c>
      <c r="J8" s="239"/>
    </row>
    <row r="9" spans="2:16" ht="15.75" thickBot="1" x14ac:dyDescent="0.3">
      <c r="B9" s="411"/>
      <c r="C9" s="413"/>
      <c r="D9" s="413"/>
      <c r="E9" s="413"/>
      <c r="F9" s="413"/>
    </row>
    <row r="10" spans="2:16" x14ac:dyDescent="0.25">
      <c r="B10" s="118">
        <v>42248</v>
      </c>
      <c r="C10" s="121">
        <v>26154.83</v>
      </c>
      <c r="D10" s="117"/>
      <c r="E10" s="121">
        <v>1117</v>
      </c>
      <c r="F10" s="119"/>
      <c r="H10" s="128" t="s">
        <v>205</v>
      </c>
      <c r="I10" s="129">
        <f>SLOPE(F11:F130,D11:D130)</f>
        <v>1.3144288937399173</v>
      </c>
    </row>
    <row r="11" spans="2:16" x14ac:dyDescent="0.25">
      <c r="B11" s="120">
        <v>42278</v>
      </c>
      <c r="C11" s="122">
        <v>26656.83</v>
      </c>
      <c r="D11" s="123">
        <f>C11/C10-1</f>
        <v>1.9193395636675881E-2</v>
      </c>
      <c r="E11" s="122">
        <v>1051</v>
      </c>
      <c r="F11" s="123">
        <f>E11/E10-1</f>
        <v>-5.9086839749328601E-2</v>
      </c>
      <c r="H11" s="128" t="s">
        <v>205</v>
      </c>
      <c r="I11" s="129">
        <f>_xlfn.COVARIANCE.S(F11:F130,D11:D130)/_xlfn.VAR.S(D11:D130)</f>
        <v>1.3144288937399173</v>
      </c>
    </row>
    <row r="12" spans="2:16" x14ac:dyDescent="0.25">
      <c r="B12" s="120">
        <v>42309</v>
      </c>
      <c r="C12" s="122">
        <v>26145.67</v>
      </c>
      <c r="D12" s="123">
        <f t="shared" ref="D12:F75" si="0">C12/C11-1</f>
        <v>-1.9175573389634271E-2</v>
      </c>
      <c r="E12" s="122">
        <v>962.75</v>
      </c>
      <c r="F12" s="123">
        <f t="shared" si="0"/>
        <v>-8.3967649857278781E-2</v>
      </c>
      <c r="H12" s="128" t="s">
        <v>205</v>
      </c>
      <c r="I12" s="129">
        <f>I31</f>
        <v>1.3144288937399162</v>
      </c>
    </row>
    <row r="13" spans="2:16" ht="15.75" thickBot="1" x14ac:dyDescent="0.3">
      <c r="B13" s="120">
        <v>42339</v>
      </c>
      <c r="C13" s="122">
        <v>26117.54</v>
      </c>
      <c r="D13" s="123">
        <f t="shared" si="0"/>
        <v>-1.0758951673449646E-3</v>
      </c>
      <c r="E13" s="122">
        <v>959.25</v>
      </c>
      <c r="F13" s="123">
        <f t="shared" si="0"/>
        <v>-3.6354193715918415E-3</v>
      </c>
    </row>
    <row r="14" spans="2:16" x14ac:dyDescent="0.25">
      <c r="B14" s="120">
        <v>42370</v>
      </c>
      <c r="C14" s="122">
        <v>24870.69</v>
      </c>
      <c r="D14" s="123">
        <f t="shared" si="0"/>
        <v>-4.7739947943029937E-2</v>
      </c>
      <c r="E14" s="122">
        <v>897.25</v>
      </c>
      <c r="F14" s="123">
        <f t="shared" si="0"/>
        <v>-6.4633828511858171E-2</v>
      </c>
      <c r="H14" s="130" t="s">
        <v>206</v>
      </c>
      <c r="I14" s="131"/>
      <c r="J14" s="131"/>
      <c r="K14" s="131"/>
      <c r="L14" s="131"/>
      <c r="M14" s="131"/>
      <c r="N14" s="131"/>
      <c r="O14" s="131"/>
      <c r="P14" s="132"/>
    </row>
    <row r="15" spans="2:16" ht="15.75" thickBot="1" x14ac:dyDescent="0.3">
      <c r="B15" s="120">
        <v>42401</v>
      </c>
      <c r="C15" s="122">
        <v>23002</v>
      </c>
      <c r="D15" s="123">
        <f t="shared" si="0"/>
        <v>-7.5136234660156176E-2</v>
      </c>
      <c r="E15" s="122">
        <v>878</v>
      </c>
      <c r="F15" s="123">
        <f t="shared" si="0"/>
        <v>-2.1454444134856532E-2</v>
      </c>
      <c r="H15" s="133"/>
      <c r="I15" s="102"/>
      <c r="J15" s="102"/>
      <c r="K15" s="102"/>
      <c r="L15" s="102"/>
      <c r="M15" s="102"/>
      <c r="N15" s="102"/>
      <c r="O15" s="102"/>
      <c r="P15" s="134"/>
    </row>
    <row r="16" spans="2:16" x14ac:dyDescent="0.25">
      <c r="B16" s="120">
        <v>42430</v>
      </c>
      <c r="C16" s="122">
        <v>25341.86</v>
      </c>
      <c r="D16" s="123">
        <f t="shared" si="0"/>
        <v>0.1017241978958352</v>
      </c>
      <c r="E16" s="122">
        <v>886.25</v>
      </c>
      <c r="F16" s="123">
        <f t="shared" si="0"/>
        <v>9.3963553530751476E-3</v>
      </c>
      <c r="H16" s="135" t="s">
        <v>207</v>
      </c>
      <c r="I16" s="127"/>
      <c r="J16" s="102"/>
      <c r="K16" s="102"/>
      <c r="L16" s="102"/>
      <c r="M16" s="102"/>
      <c r="N16" s="102"/>
      <c r="O16" s="102"/>
      <c r="P16" s="134"/>
    </row>
    <row r="17" spans="2:16" x14ac:dyDescent="0.25">
      <c r="B17" s="120">
        <v>42461</v>
      </c>
      <c r="C17" s="122">
        <v>25606.62</v>
      </c>
      <c r="D17" s="123">
        <f t="shared" si="0"/>
        <v>1.0447536210838493E-2</v>
      </c>
      <c r="E17" s="122">
        <v>1040.25</v>
      </c>
      <c r="F17" s="123">
        <f t="shared" si="0"/>
        <v>0.17376586741889977</v>
      </c>
      <c r="H17" s="136" t="s">
        <v>208</v>
      </c>
      <c r="I17" s="124">
        <v>0.4769665120794539</v>
      </c>
      <c r="J17" s="102"/>
      <c r="K17" s="102"/>
      <c r="L17" s="102"/>
      <c r="M17" s="102"/>
      <c r="N17" s="102"/>
      <c r="O17" s="102"/>
      <c r="P17" s="134"/>
    </row>
    <row r="18" spans="2:16" x14ac:dyDescent="0.25">
      <c r="B18" s="120">
        <v>42491</v>
      </c>
      <c r="C18" s="122">
        <v>26667.96</v>
      </c>
      <c r="D18" s="123">
        <f t="shared" si="0"/>
        <v>4.1447875588422001E-2</v>
      </c>
      <c r="E18" s="122">
        <v>1091.8499999999999</v>
      </c>
      <c r="F18" s="123">
        <f t="shared" si="0"/>
        <v>4.9603460706560742E-2</v>
      </c>
      <c r="H18" s="136" t="s">
        <v>209</v>
      </c>
      <c r="I18" s="124">
        <v>0.22749705364523984</v>
      </c>
      <c r="J18" s="102"/>
      <c r="K18" s="102"/>
      <c r="L18" s="102"/>
      <c r="M18" s="102"/>
      <c r="N18" s="102"/>
      <c r="O18" s="102"/>
      <c r="P18" s="134"/>
    </row>
    <row r="19" spans="2:16" x14ac:dyDescent="0.25">
      <c r="B19" s="120">
        <v>42522</v>
      </c>
      <c r="C19" s="122">
        <v>26999.72</v>
      </c>
      <c r="D19" s="123">
        <f t="shared" si="0"/>
        <v>1.2440396640762907E-2</v>
      </c>
      <c r="E19" s="122">
        <v>1170</v>
      </c>
      <c r="F19" s="123">
        <f t="shared" si="0"/>
        <v>7.1575765901909616E-2</v>
      </c>
      <c r="H19" s="136" t="s">
        <v>210</v>
      </c>
      <c r="I19" s="124">
        <v>0.22095041850664016</v>
      </c>
      <c r="J19" s="102"/>
      <c r="K19" s="102"/>
      <c r="L19" s="102"/>
      <c r="M19" s="102"/>
      <c r="N19" s="102"/>
      <c r="O19" s="102"/>
      <c r="P19" s="134"/>
    </row>
    <row r="20" spans="2:16" x14ac:dyDescent="0.25">
      <c r="B20" s="120">
        <v>42552</v>
      </c>
      <c r="C20" s="122">
        <v>28051.86</v>
      </c>
      <c r="D20" s="123">
        <f t="shared" si="0"/>
        <v>3.8968552266468004E-2</v>
      </c>
      <c r="E20" s="122">
        <v>1325</v>
      </c>
      <c r="F20" s="123">
        <f t="shared" si="0"/>
        <v>0.13247863247863245</v>
      </c>
      <c r="H20" s="136" t="s">
        <v>211</v>
      </c>
      <c r="I20" s="124">
        <v>0.11246829839851359</v>
      </c>
      <c r="J20" s="102"/>
      <c r="K20" s="102"/>
      <c r="L20" s="102"/>
      <c r="M20" s="102"/>
      <c r="N20" s="102"/>
      <c r="O20" s="102"/>
      <c r="P20" s="134"/>
    </row>
    <row r="21" spans="2:16" ht="15.75" thickBot="1" x14ac:dyDescent="0.3">
      <c r="B21" s="120">
        <v>42583</v>
      </c>
      <c r="C21" s="122">
        <v>28452.17</v>
      </c>
      <c r="D21" s="123">
        <f t="shared" si="0"/>
        <v>1.4270354978243693E-2</v>
      </c>
      <c r="E21" s="122">
        <v>1379.35</v>
      </c>
      <c r="F21" s="123">
        <f t="shared" si="0"/>
        <v>4.1018867924528246E-2</v>
      </c>
      <c r="H21" s="137" t="s">
        <v>212</v>
      </c>
      <c r="I21" s="125">
        <v>120</v>
      </c>
      <c r="J21" s="102"/>
      <c r="K21" s="102"/>
      <c r="L21" s="102"/>
      <c r="M21" s="102"/>
      <c r="N21" s="102"/>
      <c r="O21" s="102"/>
      <c r="P21" s="134"/>
    </row>
    <row r="22" spans="2:16" x14ac:dyDescent="0.25">
      <c r="B22" s="120">
        <v>42614</v>
      </c>
      <c r="C22" s="122">
        <v>27865.96</v>
      </c>
      <c r="D22" s="123">
        <f t="shared" si="0"/>
        <v>-2.0603349410607263E-2</v>
      </c>
      <c r="E22" s="122">
        <v>1454.95</v>
      </c>
      <c r="F22" s="123">
        <f t="shared" si="0"/>
        <v>5.4808424257802635E-2</v>
      </c>
      <c r="H22" s="133"/>
      <c r="I22" s="102"/>
      <c r="J22" s="102"/>
      <c r="K22" s="102"/>
      <c r="L22" s="102"/>
      <c r="M22" s="102"/>
      <c r="N22" s="102"/>
      <c r="O22" s="102"/>
      <c r="P22" s="134"/>
    </row>
    <row r="23" spans="2:16" ht="15.75" thickBot="1" x14ac:dyDescent="0.3">
      <c r="B23" s="120">
        <v>42644</v>
      </c>
      <c r="C23" s="122">
        <v>27930.21</v>
      </c>
      <c r="D23" s="123">
        <f t="shared" si="0"/>
        <v>2.3056804789787222E-3</v>
      </c>
      <c r="E23" s="122">
        <v>2070.5</v>
      </c>
      <c r="F23" s="123">
        <f t="shared" si="0"/>
        <v>0.42307295783360255</v>
      </c>
      <c r="H23" s="133" t="s">
        <v>213</v>
      </c>
      <c r="I23" s="102"/>
      <c r="J23" s="102"/>
      <c r="K23" s="102"/>
      <c r="L23" s="102"/>
      <c r="M23" s="102"/>
      <c r="N23" s="102"/>
      <c r="O23" s="102"/>
      <c r="P23" s="134"/>
    </row>
    <row r="24" spans="2:16" x14ac:dyDescent="0.25">
      <c r="B24" s="120">
        <v>42675</v>
      </c>
      <c r="C24" s="122">
        <v>26652.81</v>
      </c>
      <c r="D24" s="123">
        <f t="shared" si="0"/>
        <v>-4.5735424116037704E-2</v>
      </c>
      <c r="E24" s="122">
        <v>1910</v>
      </c>
      <c r="F24" s="123">
        <f t="shared" si="0"/>
        <v>-7.7517507848345768E-2</v>
      </c>
      <c r="H24" s="138"/>
      <c r="I24" s="126" t="s">
        <v>217</v>
      </c>
      <c r="J24" s="126" t="s">
        <v>218</v>
      </c>
      <c r="K24" s="126" t="s">
        <v>219</v>
      </c>
      <c r="L24" s="126" t="s">
        <v>220</v>
      </c>
      <c r="M24" s="126" t="s">
        <v>221</v>
      </c>
      <c r="N24" s="102"/>
      <c r="O24" s="102"/>
      <c r="P24" s="134"/>
    </row>
    <row r="25" spans="2:16" x14ac:dyDescent="0.25">
      <c r="B25" s="120">
        <v>42705</v>
      </c>
      <c r="C25" s="122">
        <v>26626.46</v>
      </c>
      <c r="D25" s="123">
        <f t="shared" si="0"/>
        <v>-9.8863872139565157E-4</v>
      </c>
      <c r="E25" s="122">
        <v>1845</v>
      </c>
      <c r="F25" s="123">
        <f t="shared" si="0"/>
        <v>-3.4031413612565453E-2</v>
      </c>
      <c r="H25" s="136" t="s">
        <v>214</v>
      </c>
      <c r="I25" s="124">
        <v>1</v>
      </c>
      <c r="J25" s="124">
        <v>0.43955972010005184</v>
      </c>
      <c r="K25" s="124">
        <v>0.43955972010005184</v>
      </c>
      <c r="L25" s="124">
        <v>34.750226464262965</v>
      </c>
      <c r="M25" s="124">
        <v>3.6405389018551301E-8</v>
      </c>
      <c r="N25" s="102"/>
      <c r="O25" s="102"/>
      <c r="P25" s="134"/>
    </row>
    <row r="26" spans="2:16" x14ac:dyDescent="0.25">
      <c r="B26" s="120">
        <v>42736</v>
      </c>
      <c r="C26" s="122">
        <v>27655.96</v>
      </c>
      <c r="D26" s="123">
        <f t="shared" si="0"/>
        <v>3.8664546469939998E-2</v>
      </c>
      <c r="E26" s="122">
        <v>2270.1999999999998</v>
      </c>
      <c r="F26" s="123">
        <f t="shared" si="0"/>
        <v>0.23046070460704593</v>
      </c>
      <c r="H26" s="136" t="s">
        <v>215</v>
      </c>
      <c r="I26" s="124">
        <v>118</v>
      </c>
      <c r="J26" s="124">
        <v>1.4925959410695371</v>
      </c>
      <c r="K26" s="124">
        <v>1.2649118144657094E-2</v>
      </c>
      <c r="L26" s="124"/>
      <c r="M26" s="124"/>
      <c r="N26" s="102"/>
      <c r="O26" s="102"/>
      <c r="P26" s="134"/>
    </row>
    <row r="27" spans="2:16" ht="15.75" thickBot="1" x14ac:dyDescent="0.3">
      <c r="B27" s="120">
        <v>42767</v>
      </c>
      <c r="C27" s="122">
        <v>28743.32</v>
      </c>
      <c r="D27" s="123">
        <f t="shared" si="0"/>
        <v>3.931738402861451E-2</v>
      </c>
      <c r="E27" s="122">
        <v>2757.95</v>
      </c>
      <c r="F27" s="123">
        <f t="shared" si="0"/>
        <v>0.21484891199013312</v>
      </c>
      <c r="H27" s="137" t="s">
        <v>145</v>
      </c>
      <c r="I27" s="125">
        <v>119</v>
      </c>
      <c r="J27" s="125">
        <v>1.9321556611695889</v>
      </c>
      <c r="K27" s="125"/>
      <c r="L27" s="125"/>
      <c r="M27" s="125"/>
      <c r="N27" s="102"/>
      <c r="O27" s="102"/>
      <c r="P27" s="134"/>
    </row>
    <row r="28" spans="2:16" ht="15.75" thickBot="1" x14ac:dyDescent="0.3">
      <c r="B28" s="120">
        <v>42795</v>
      </c>
      <c r="C28" s="122">
        <v>29620.5</v>
      </c>
      <c r="D28" s="123">
        <f t="shared" si="0"/>
        <v>3.0517699416768851E-2</v>
      </c>
      <c r="E28" s="122">
        <v>2820</v>
      </c>
      <c r="F28" s="123">
        <f t="shared" si="0"/>
        <v>2.2498594970902452E-2</v>
      </c>
      <c r="H28" s="133"/>
      <c r="I28" s="102"/>
      <c r="J28" s="102"/>
      <c r="K28" s="102"/>
      <c r="L28" s="102"/>
      <c r="M28" s="102"/>
      <c r="N28" s="102"/>
      <c r="O28" s="102"/>
      <c r="P28" s="134"/>
    </row>
    <row r="29" spans="2:16" x14ac:dyDescent="0.25">
      <c r="B29" s="120">
        <v>42826</v>
      </c>
      <c r="C29" s="122">
        <v>29918.400000000001</v>
      </c>
      <c r="D29" s="123">
        <f t="shared" si="0"/>
        <v>1.0057223882108834E-2</v>
      </c>
      <c r="E29" s="122">
        <v>2855</v>
      </c>
      <c r="F29" s="123">
        <f t="shared" si="0"/>
        <v>1.2411347517730542E-2</v>
      </c>
      <c r="H29" s="138"/>
      <c r="I29" s="126" t="s">
        <v>222</v>
      </c>
      <c r="J29" s="126" t="s">
        <v>211</v>
      </c>
      <c r="K29" s="126" t="s">
        <v>223</v>
      </c>
      <c r="L29" s="126" t="s">
        <v>224</v>
      </c>
      <c r="M29" s="126" t="s">
        <v>225</v>
      </c>
      <c r="N29" s="126" t="s">
        <v>226</v>
      </c>
      <c r="O29" s="126" t="s">
        <v>227</v>
      </c>
      <c r="P29" s="139" t="s">
        <v>228</v>
      </c>
    </row>
    <row r="30" spans="2:16" x14ac:dyDescent="0.25">
      <c r="B30" s="120">
        <v>42856</v>
      </c>
      <c r="C30" s="122">
        <v>31145.8</v>
      </c>
      <c r="D30" s="123">
        <f t="shared" si="0"/>
        <v>4.1024921118776314E-2</v>
      </c>
      <c r="E30" s="122">
        <v>3202.6</v>
      </c>
      <c r="F30" s="123">
        <f t="shared" si="0"/>
        <v>0.12175131348511381</v>
      </c>
      <c r="H30" s="136" t="s">
        <v>216</v>
      </c>
      <c r="I30" s="124">
        <v>4.3400563426106414E-3</v>
      </c>
      <c r="J30" s="124">
        <v>1.0531463028699034E-2</v>
      </c>
      <c r="K30" s="124">
        <v>0.4121038388288179</v>
      </c>
      <c r="L30" s="124">
        <v>0.68101099482978977</v>
      </c>
      <c r="M30" s="124">
        <v>-1.6515107637366334E-2</v>
      </c>
      <c r="N30" s="124">
        <v>2.5195220322587621E-2</v>
      </c>
      <c r="O30" s="124">
        <v>-1.6515107637366334E-2</v>
      </c>
      <c r="P30" s="140">
        <v>2.5195220322587621E-2</v>
      </c>
    </row>
    <row r="31" spans="2:16" ht="15.75" thickBot="1" x14ac:dyDescent="0.3">
      <c r="B31" s="120">
        <v>42887</v>
      </c>
      <c r="C31" s="122">
        <v>30921.61</v>
      </c>
      <c r="D31" s="123">
        <f t="shared" si="0"/>
        <v>-7.1980812822274309E-3</v>
      </c>
      <c r="E31" s="122">
        <v>3280</v>
      </c>
      <c r="F31" s="123">
        <f t="shared" si="0"/>
        <v>2.4167863610816243E-2</v>
      </c>
      <c r="H31" s="137" t="s">
        <v>229</v>
      </c>
      <c r="I31" s="215">
        <v>1.3144288937399162</v>
      </c>
      <c r="J31" s="125">
        <v>0.22297608074273326</v>
      </c>
      <c r="K31" s="125">
        <v>5.8949322696925783</v>
      </c>
      <c r="L31" s="125">
        <v>3.640538901855279E-8</v>
      </c>
      <c r="M31" s="125">
        <v>0.8728755487934321</v>
      </c>
      <c r="N31" s="125">
        <v>1.7559822386864004</v>
      </c>
      <c r="O31" s="125">
        <v>0.8728755487934321</v>
      </c>
      <c r="P31" s="141">
        <v>1.7559822386864004</v>
      </c>
    </row>
    <row r="32" spans="2:16" x14ac:dyDescent="0.25">
      <c r="B32" s="120">
        <v>42917</v>
      </c>
      <c r="C32" s="122">
        <v>32514.94</v>
      </c>
      <c r="D32" s="123">
        <f t="shared" si="0"/>
        <v>5.1528041392411295E-2</v>
      </c>
      <c r="E32" s="122">
        <v>3430.65</v>
      </c>
      <c r="F32" s="123">
        <f t="shared" si="0"/>
        <v>4.5929878048780459E-2</v>
      </c>
    </row>
    <row r="33" spans="2:6" x14ac:dyDescent="0.25">
      <c r="B33" s="120">
        <v>42948</v>
      </c>
      <c r="C33" s="122">
        <v>31730.49</v>
      </c>
      <c r="D33" s="123">
        <f t="shared" si="0"/>
        <v>-2.4125832617252208E-2</v>
      </c>
      <c r="E33" s="122">
        <v>3007</v>
      </c>
      <c r="F33" s="123">
        <f t="shared" si="0"/>
        <v>-0.12348971769198258</v>
      </c>
    </row>
    <row r="34" spans="2:6" x14ac:dyDescent="0.25">
      <c r="B34" s="120">
        <v>42979</v>
      </c>
      <c r="C34" s="122">
        <v>31283.72</v>
      </c>
      <c r="D34" s="123">
        <f t="shared" si="0"/>
        <v>-1.4080148147727956E-2</v>
      </c>
      <c r="E34" s="122">
        <v>3299.4</v>
      </c>
      <c r="F34" s="123">
        <f t="shared" si="0"/>
        <v>9.7239773860991141E-2</v>
      </c>
    </row>
    <row r="35" spans="2:6" x14ac:dyDescent="0.25">
      <c r="B35" s="120">
        <v>43009</v>
      </c>
      <c r="C35" s="122">
        <v>33213.129999999997</v>
      </c>
      <c r="D35" s="123">
        <f t="shared" si="0"/>
        <v>6.1674570671262696E-2</v>
      </c>
      <c r="E35" s="122">
        <v>3266.05</v>
      </c>
      <c r="F35" s="123">
        <f t="shared" si="0"/>
        <v>-1.0107898405770754E-2</v>
      </c>
    </row>
    <row r="36" spans="2:6" x14ac:dyDescent="0.25">
      <c r="B36" s="120">
        <v>43040</v>
      </c>
      <c r="C36" s="122">
        <v>33149.35</v>
      </c>
      <c r="D36" s="123">
        <f t="shared" si="0"/>
        <v>-1.9203248835625297E-3</v>
      </c>
      <c r="E36" s="122">
        <v>3720.45</v>
      </c>
      <c r="F36" s="123">
        <f t="shared" si="0"/>
        <v>0.13912830483305516</v>
      </c>
    </row>
    <row r="37" spans="2:6" x14ac:dyDescent="0.25">
      <c r="B37" s="120">
        <v>43070</v>
      </c>
      <c r="C37" s="122">
        <v>34056.83</v>
      </c>
      <c r="D37" s="123">
        <f t="shared" si="0"/>
        <v>2.7375499067100906E-2</v>
      </c>
      <c r="E37" s="122">
        <v>5059.2</v>
      </c>
      <c r="F37" s="123">
        <f t="shared" si="0"/>
        <v>0.35983550376970519</v>
      </c>
    </row>
    <row r="38" spans="2:6" x14ac:dyDescent="0.25">
      <c r="B38" s="120">
        <v>43101</v>
      </c>
      <c r="C38" s="122">
        <v>35965.019999999997</v>
      </c>
      <c r="D38" s="123">
        <f t="shared" si="0"/>
        <v>5.6029583493237389E-2</v>
      </c>
      <c r="E38" s="122">
        <v>4724.3999999999996</v>
      </c>
      <c r="F38" s="123">
        <f t="shared" si="0"/>
        <v>-6.6176470588235281E-2</v>
      </c>
    </row>
    <row r="39" spans="2:6" x14ac:dyDescent="0.25">
      <c r="B39" s="120">
        <v>43132</v>
      </c>
      <c r="C39" s="122">
        <v>34184.04</v>
      </c>
      <c r="D39" s="123">
        <f t="shared" si="0"/>
        <v>-4.9519783389526673E-2</v>
      </c>
      <c r="E39" s="122">
        <v>4384.55</v>
      </c>
      <c r="F39" s="123">
        <f t="shared" si="0"/>
        <v>-7.1935060536787665E-2</v>
      </c>
    </row>
    <row r="40" spans="2:6" x14ac:dyDescent="0.25">
      <c r="B40" s="120">
        <v>43160</v>
      </c>
      <c r="C40" s="122">
        <v>32968.68</v>
      </c>
      <c r="D40" s="123">
        <f t="shared" si="0"/>
        <v>-3.5553433707660065E-2</v>
      </c>
      <c r="E40" s="122">
        <v>3798</v>
      </c>
      <c r="F40" s="123">
        <f t="shared" si="0"/>
        <v>-0.13377655631706797</v>
      </c>
    </row>
    <row r="41" spans="2:6" x14ac:dyDescent="0.25">
      <c r="B41" s="120">
        <v>43191</v>
      </c>
      <c r="C41" s="122">
        <v>35160.36</v>
      </c>
      <c r="D41" s="123">
        <f t="shared" si="0"/>
        <v>6.6477638777166614E-2</v>
      </c>
      <c r="E41" s="122">
        <v>4044.55</v>
      </c>
      <c r="F41" s="123">
        <f t="shared" si="0"/>
        <v>6.4915745129015212E-2</v>
      </c>
    </row>
    <row r="42" spans="2:6" x14ac:dyDescent="0.25">
      <c r="B42" s="120">
        <v>43221</v>
      </c>
      <c r="C42" s="122">
        <v>35322.379999999997</v>
      </c>
      <c r="D42" s="123">
        <f t="shared" si="0"/>
        <v>4.6080301794406697E-3</v>
      </c>
      <c r="E42" s="122">
        <v>3220</v>
      </c>
      <c r="F42" s="123">
        <f t="shared" si="0"/>
        <v>-0.20386693204435602</v>
      </c>
    </row>
    <row r="43" spans="2:6" x14ac:dyDescent="0.25">
      <c r="B43" s="120">
        <v>43252</v>
      </c>
      <c r="C43" s="122">
        <v>35423.480000000003</v>
      </c>
      <c r="D43" s="123">
        <f t="shared" si="0"/>
        <v>2.8622080392093352E-3</v>
      </c>
      <c r="E43" s="122">
        <v>2914.95</v>
      </c>
      <c r="F43" s="123">
        <f t="shared" si="0"/>
        <v>-9.4736024844720546E-2</v>
      </c>
    </row>
    <row r="44" spans="2:6" x14ac:dyDescent="0.25">
      <c r="B44" s="120">
        <v>43282</v>
      </c>
      <c r="C44" s="122">
        <v>37606.58</v>
      </c>
      <c r="D44" s="123">
        <f t="shared" si="0"/>
        <v>6.1628614692853301E-2</v>
      </c>
      <c r="E44" s="122">
        <v>2750</v>
      </c>
      <c r="F44" s="123">
        <f t="shared" si="0"/>
        <v>-5.658759155388593E-2</v>
      </c>
    </row>
    <row r="45" spans="2:6" x14ac:dyDescent="0.25">
      <c r="B45" s="120">
        <v>43313</v>
      </c>
      <c r="C45" s="122">
        <v>38645.07</v>
      </c>
      <c r="D45" s="123">
        <f t="shared" si="0"/>
        <v>2.7614582341707106E-2</v>
      </c>
      <c r="E45" s="122">
        <v>2785</v>
      </c>
      <c r="F45" s="123">
        <f t="shared" si="0"/>
        <v>1.2727272727272698E-2</v>
      </c>
    </row>
    <row r="46" spans="2:6" x14ac:dyDescent="0.25">
      <c r="B46" s="120">
        <v>43344</v>
      </c>
      <c r="C46" s="122">
        <v>36227.14</v>
      </c>
      <c r="D46" s="123">
        <f t="shared" si="0"/>
        <v>-6.2567618586277685E-2</v>
      </c>
      <c r="E46" s="122">
        <v>2250</v>
      </c>
      <c r="F46" s="123">
        <f t="shared" si="0"/>
        <v>-0.19210053859964094</v>
      </c>
    </row>
    <row r="47" spans="2:6" x14ac:dyDescent="0.25">
      <c r="B47" s="120">
        <v>43374</v>
      </c>
      <c r="C47" s="122">
        <v>34442.050000000003</v>
      </c>
      <c r="D47" s="123">
        <f t="shared" si="0"/>
        <v>-4.9274935863002023E-2</v>
      </c>
      <c r="E47" s="122">
        <v>2122</v>
      </c>
      <c r="F47" s="123">
        <f t="shared" si="0"/>
        <v>-5.6888888888888878E-2</v>
      </c>
    </row>
    <row r="48" spans="2:6" x14ac:dyDescent="0.25">
      <c r="B48" s="120">
        <v>43405</v>
      </c>
      <c r="C48" s="122">
        <v>36194.300000000003</v>
      </c>
      <c r="D48" s="123">
        <f t="shared" si="0"/>
        <v>5.0875310848221833E-2</v>
      </c>
      <c r="E48" s="122">
        <v>2262.3000000000002</v>
      </c>
      <c r="F48" s="123">
        <f t="shared" si="0"/>
        <v>6.6116870876531619E-2</v>
      </c>
    </row>
    <row r="49" spans="2:6" x14ac:dyDescent="0.25">
      <c r="B49" s="120">
        <v>43435</v>
      </c>
      <c r="C49" s="122">
        <v>36068.33</v>
      </c>
      <c r="D49" s="123">
        <f t="shared" si="0"/>
        <v>-3.4803822701364728E-3</v>
      </c>
      <c r="E49" s="122">
        <v>2253</v>
      </c>
      <c r="F49" s="123">
        <f t="shared" si="0"/>
        <v>-4.1108606285639171E-3</v>
      </c>
    </row>
    <row r="50" spans="2:6" x14ac:dyDescent="0.25">
      <c r="B50" s="120">
        <v>43466</v>
      </c>
      <c r="C50" s="122">
        <v>36256.69</v>
      </c>
      <c r="D50" s="123">
        <f t="shared" si="0"/>
        <v>5.2223099877370949E-3</v>
      </c>
      <c r="E50" s="122">
        <v>2043.9</v>
      </c>
      <c r="F50" s="123">
        <f t="shared" si="0"/>
        <v>-9.280958721704391E-2</v>
      </c>
    </row>
    <row r="51" spans="2:6" x14ac:dyDescent="0.25">
      <c r="B51" s="120">
        <v>43497</v>
      </c>
      <c r="C51" s="122">
        <v>35867.440000000002</v>
      </c>
      <c r="D51" s="123">
        <f t="shared" si="0"/>
        <v>-1.0735949696455971E-2</v>
      </c>
      <c r="E51" s="122">
        <v>1812.1</v>
      </c>
      <c r="F51" s="123">
        <f t="shared" si="0"/>
        <v>-0.11341063652820593</v>
      </c>
    </row>
    <row r="52" spans="2:6" x14ac:dyDescent="0.25">
      <c r="B52" s="120">
        <v>43525</v>
      </c>
      <c r="C52" s="122">
        <v>38672.910000000003</v>
      </c>
      <c r="D52" s="123">
        <f t="shared" si="0"/>
        <v>7.8217737312727076E-2</v>
      </c>
      <c r="E52" s="122">
        <v>2111</v>
      </c>
      <c r="F52" s="123">
        <f t="shared" si="0"/>
        <v>0.16494674686827437</v>
      </c>
    </row>
    <row r="53" spans="2:6" x14ac:dyDescent="0.25">
      <c r="B53" s="120">
        <v>43556</v>
      </c>
      <c r="C53" s="122">
        <v>39031.550000000003</v>
      </c>
      <c r="D53" s="123">
        <f t="shared" si="0"/>
        <v>9.2736750350568276E-3</v>
      </c>
      <c r="E53" s="122">
        <v>2178.0500000000002</v>
      </c>
      <c r="F53" s="123">
        <f t="shared" si="0"/>
        <v>3.1762198010421683E-2</v>
      </c>
    </row>
    <row r="54" spans="2:6" x14ac:dyDescent="0.25">
      <c r="B54" s="120">
        <v>43586</v>
      </c>
      <c r="C54" s="122">
        <v>39714.199999999997</v>
      </c>
      <c r="D54" s="123">
        <f t="shared" si="0"/>
        <v>1.7489697437073293E-2</v>
      </c>
      <c r="E54" s="122">
        <v>2100.0500000000002</v>
      </c>
      <c r="F54" s="123">
        <f t="shared" si="0"/>
        <v>-3.5811850049356053E-2</v>
      </c>
    </row>
    <row r="55" spans="2:6" x14ac:dyDescent="0.25">
      <c r="B55" s="120">
        <v>43617</v>
      </c>
      <c r="C55" s="122">
        <v>39394.639999999999</v>
      </c>
      <c r="D55" s="123">
        <f t="shared" si="0"/>
        <v>-8.0464921866737482E-3</v>
      </c>
      <c r="E55" s="122">
        <v>1925.05</v>
      </c>
      <c r="F55" s="123">
        <f t="shared" si="0"/>
        <v>-8.3331349253589315E-2</v>
      </c>
    </row>
    <row r="56" spans="2:6" x14ac:dyDescent="0.25">
      <c r="B56" s="120">
        <v>43647</v>
      </c>
      <c r="C56" s="122">
        <v>37481.120000000003</v>
      </c>
      <c r="D56" s="123">
        <f t="shared" si="0"/>
        <v>-4.8573105376771952E-2</v>
      </c>
      <c r="E56" s="122">
        <v>1608</v>
      </c>
      <c r="F56" s="123">
        <f t="shared" si="0"/>
        <v>-0.1646970208566011</v>
      </c>
    </row>
    <row r="57" spans="2:6" x14ac:dyDescent="0.25">
      <c r="B57" s="120">
        <v>43678</v>
      </c>
      <c r="C57" s="122">
        <v>37332.79</v>
      </c>
      <c r="D57" s="123">
        <f t="shared" si="0"/>
        <v>-3.9574591154160066E-3</v>
      </c>
      <c r="E57" s="122">
        <v>1534.6</v>
      </c>
      <c r="F57" s="123">
        <f t="shared" si="0"/>
        <v>-4.5646766169154307E-2</v>
      </c>
    </row>
    <row r="58" spans="2:6" x14ac:dyDescent="0.25">
      <c r="B58" s="120">
        <v>43709</v>
      </c>
      <c r="C58" s="122">
        <v>38667.33</v>
      </c>
      <c r="D58" s="123">
        <f t="shared" si="0"/>
        <v>3.5747127391229094E-2</v>
      </c>
      <c r="E58" s="122">
        <v>1552.25</v>
      </c>
      <c r="F58" s="123">
        <f t="shared" si="0"/>
        <v>1.1501368434771342E-2</v>
      </c>
    </row>
    <row r="59" spans="2:6" x14ac:dyDescent="0.25">
      <c r="B59" s="120">
        <v>43739</v>
      </c>
      <c r="C59" s="122">
        <v>40129.050000000003</v>
      </c>
      <c r="D59" s="123">
        <f t="shared" si="0"/>
        <v>3.7802454940643715E-2</v>
      </c>
      <c r="E59" s="122">
        <v>1401.65</v>
      </c>
      <c r="F59" s="123">
        <f t="shared" si="0"/>
        <v>-9.7020454179416959E-2</v>
      </c>
    </row>
    <row r="60" spans="2:6" x14ac:dyDescent="0.25">
      <c r="B60" s="120">
        <v>43770</v>
      </c>
      <c r="C60" s="122">
        <v>40793.81</v>
      </c>
      <c r="D60" s="123">
        <f t="shared" si="0"/>
        <v>1.6565555376965024E-2</v>
      </c>
      <c r="E60" s="122">
        <v>1416</v>
      </c>
      <c r="F60" s="123">
        <f t="shared" si="0"/>
        <v>1.0237933863660675E-2</v>
      </c>
    </row>
    <row r="61" spans="2:6" x14ac:dyDescent="0.25">
      <c r="B61" s="120">
        <v>43800</v>
      </c>
      <c r="C61" s="122">
        <v>41253.74</v>
      </c>
      <c r="D61" s="123">
        <f t="shared" si="0"/>
        <v>1.127450463685542E-2</v>
      </c>
      <c r="E61" s="122">
        <v>1323</v>
      </c>
      <c r="F61" s="123">
        <f t="shared" si="0"/>
        <v>-6.5677966101694962E-2</v>
      </c>
    </row>
    <row r="62" spans="2:6" x14ac:dyDescent="0.25">
      <c r="B62" s="120">
        <v>43831</v>
      </c>
      <c r="C62" s="122">
        <v>40723.49</v>
      </c>
      <c r="D62" s="123">
        <f t="shared" si="0"/>
        <v>-1.285338008141812E-2</v>
      </c>
      <c r="E62" s="122">
        <v>1296.45</v>
      </c>
      <c r="F62" s="123">
        <f t="shared" si="0"/>
        <v>-2.0068027210884298E-2</v>
      </c>
    </row>
    <row r="63" spans="2:6" x14ac:dyDescent="0.25">
      <c r="B63" s="120">
        <v>43862</v>
      </c>
      <c r="C63" s="122">
        <v>38297.29</v>
      </c>
      <c r="D63" s="123">
        <f t="shared" si="0"/>
        <v>-5.957740851778659E-2</v>
      </c>
      <c r="E63" s="122">
        <v>1315</v>
      </c>
      <c r="F63" s="123">
        <f t="shared" si="0"/>
        <v>1.4308303444020121E-2</v>
      </c>
    </row>
    <row r="64" spans="2:6" x14ac:dyDescent="0.25">
      <c r="B64" s="120">
        <v>43891</v>
      </c>
      <c r="C64" s="122">
        <v>29468.49</v>
      </c>
      <c r="D64" s="123">
        <f t="shared" si="0"/>
        <v>-0.23053328316442234</v>
      </c>
      <c r="E64" s="122">
        <v>935</v>
      </c>
      <c r="F64" s="123">
        <f t="shared" si="0"/>
        <v>-0.28897338403041828</v>
      </c>
    </row>
    <row r="65" spans="2:6" x14ac:dyDescent="0.25">
      <c r="B65" s="120">
        <v>43922</v>
      </c>
      <c r="C65" s="122">
        <v>33717.620000000003</v>
      </c>
      <c r="D65" s="123">
        <f t="shared" si="0"/>
        <v>0.14419232203618182</v>
      </c>
      <c r="E65" s="122">
        <v>1136.55</v>
      </c>
      <c r="F65" s="123">
        <f t="shared" si="0"/>
        <v>0.21556149732620322</v>
      </c>
    </row>
    <row r="66" spans="2:6" x14ac:dyDescent="0.25">
      <c r="B66" s="120">
        <v>43952</v>
      </c>
      <c r="C66" s="122">
        <v>32424.1</v>
      </c>
      <c r="D66" s="123">
        <f t="shared" si="0"/>
        <v>-3.8363324576289881E-2</v>
      </c>
      <c r="E66" s="122">
        <v>999.95</v>
      </c>
      <c r="F66" s="123">
        <f t="shared" si="0"/>
        <v>-0.1201882891205841</v>
      </c>
    </row>
    <row r="67" spans="2:6" x14ac:dyDescent="0.25">
      <c r="B67" s="120">
        <v>43983</v>
      </c>
      <c r="C67" s="122">
        <v>34915.800000000003</v>
      </c>
      <c r="D67" s="123">
        <f t="shared" si="0"/>
        <v>7.6847159982852409E-2</v>
      </c>
      <c r="E67" s="122">
        <v>1155.05</v>
      </c>
      <c r="F67" s="123">
        <f t="shared" si="0"/>
        <v>0.15510775538776933</v>
      </c>
    </row>
    <row r="68" spans="2:6" x14ac:dyDescent="0.25">
      <c r="B68" s="120">
        <v>44013</v>
      </c>
      <c r="C68" s="122">
        <v>37606.89</v>
      </c>
      <c r="D68" s="123">
        <f t="shared" si="0"/>
        <v>7.7073703022700224E-2</v>
      </c>
      <c r="E68" s="122">
        <v>1284.6500000000001</v>
      </c>
      <c r="F68" s="123">
        <f t="shared" si="0"/>
        <v>0.11220293493788169</v>
      </c>
    </row>
    <row r="69" spans="2:6" x14ac:dyDescent="0.25">
      <c r="B69" s="120">
        <v>44044</v>
      </c>
      <c r="C69" s="122">
        <v>38628.29</v>
      </c>
      <c r="D69" s="123">
        <f t="shared" si="0"/>
        <v>2.7159916706752441E-2</v>
      </c>
      <c r="E69" s="122">
        <v>1413.3</v>
      </c>
      <c r="F69" s="123">
        <f t="shared" si="0"/>
        <v>0.10014400809559021</v>
      </c>
    </row>
    <row r="70" spans="2:6" x14ac:dyDescent="0.25">
      <c r="B70" s="120">
        <v>44075</v>
      </c>
      <c r="C70" s="122">
        <v>38067.93</v>
      </c>
      <c r="D70" s="123">
        <f t="shared" si="0"/>
        <v>-1.4506466633651183E-2</v>
      </c>
      <c r="E70" s="122">
        <v>1270.05</v>
      </c>
      <c r="F70" s="123">
        <f t="shared" si="0"/>
        <v>-0.10135852260666522</v>
      </c>
    </row>
    <row r="71" spans="2:6" x14ac:dyDescent="0.25">
      <c r="B71" s="120">
        <v>44105</v>
      </c>
      <c r="C71" s="122">
        <v>39614.07</v>
      </c>
      <c r="D71" s="123">
        <f t="shared" si="0"/>
        <v>4.061528956263194E-2</v>
      </c>
      <c r="E71" s="122">
        <v>1235</v>
      </c>
      <c r="F71" s="123">
        <f t="shared" si="0"/>
        <v>-2.7597338687453177E-2</v>
      </c>
    </row>
    <row r="72" spans="2:6" x14ac:dyDescent="0.25">
      <c r="B72" s="120">
        <v>44136</v>
      </c>
      <c r="C72" s="122">
        <v>44149.72</v>
      </c>
      <c r="D72" s="123">
        <f t="shared" si="0"/>
        <v>0.11449593540880798</v>
      </c>
      <c r="E72" s="122">
        <v>1296.05</v>
      </c>
      <c r="F72" s="123">
        <f t="shared" si="0"/>
        <v>4.9433198380566701E-2</v>
      </c>
    </row>
    <row r="73" spans="2:6" x14ac:dyDescent="0.25">
      <c r="B73" s="120">
        <v>44166</v>
      </c>
      <c r="C73" s="122">
        <v>47751.33</v>
      </c>
      <c r="D73" s="123">
        <f t="shared" si="0"/>
        <v>8.15771878054945E-2</v>
      </c>
      <c r="E73" s="122">
        <v>1446.05</v>
      </c>
      <c r="F73" s="123">
        <f t="shared" si="0"/>
        <v>0.1157362756066509</v>
      </c>
    </row>
    <row r="74" spans="2:6" x14ac:dyDescent="0.25">
      <c r="B74" s="120">
        <v>44197</v>
      </c>
      <c r="C74" s="122">
        <v>46285.77</v>
      </c>
      <c r="D74" s="123">
        <f t="shared" si="0"/>
        <v>-3.0691501158187751E-2</v>
      </c>
      <c r="E74" s="122">
        <v>1356</v>
      </c>
      <c r="F74" s="123">
        <f t="shared" si="0"/>
        <v>-6.2273088759033146E-2</v>
      </c>
    </row>
    <row r="75" spans="2:6" x14ac:dyDescent="0.25">
      <c r="B75" s="120">
        <v>44228</v>
      </c>
      <c r="C75" s="122">
        <v>49099.99</v>
      </c>
      <c r="D75" s="123">
        <f t="shared" si="0"/>
        <v>6.0800976196355938E-2</v>
      </c>
      <c r="E75" s="122">
        <v>1401.05</v>
      </c>
      <c r="F75" s="123">
        <f t="shared" si="0"/>
        <v>3.3222713864306641E-2</v>
      </c>
    </row>
    <row r="76" spans="2:6" x14ac:dyDescent="0.25">
      <c r="B76" s="120">
        <v>44256</v>
      </c>
      <c r="C76" s="122">
        <v>49509.15</v>
      </c>
      <c r="D76" s="123">
        <f t="shared" ref="D76:F130" si="1">C76/C75-1</f>
        <v>8.3331992531974208E-3</v>
      </c>
      <c r="E76" s="122">
        <v>1774</v>
      </c>
      <c r="F76" s="123">
        <f t="shared" si="1"/>
        <v>0.26619321223368186</v>
      </c>
    </row>
    <row r="77" spans="2:6" x14ac:dyDescent="0.25">
      <c r="B77" s="120">
        <v>44287</v>
      </c>
      <c r="C77" s="122">
        <v>48782.36</v>
      </c>
      <c r="D77" s="123">
        <f t="shared" si="1"/>
        <v>-1.4679912703005393E-2</v>
      </c>
      <c r="E77" s="122">
        <v>1707</v>
      </c>
      <c r="F77" s="123">
        <f t="shared" si="1"/>
        <v>-3.7767756482525394E-2</v>
      </c>
    </row>
    <row r="78" spans="2:6" x14ac:dyDescent="0.25">
      <c r="B78" s="120">
        <v>44317</v>
      </c>
      <c r="C78" s="122">
        <v>51937.440000000002</v>
      </c>
      <c r="D78" s="123">
        <f t="shared" si="1"/>
        <v>6.4676657709877183E-2</v>
      </c>
      <c r="E78" s="122">
        <v>2502.85</v>
      </c>
      <c r="F78" s="123">
        <f t="shared" si="1"/>
        <v>0.46622729935559448</v>
      </c>
    </row>
    <row r="79" spans="2:6" x14ac:dyDescent="0.25">
      <c r="B79" s="120">
        <v>44348</v>
      </c>
      <c r="C79" s="122">
        <v>52482.71</v>
      </c>
      <c r="D79" s="123">
        <f t="shared" si="1"/>
        <v>1.0498592152404784E-2</v>
      </c>
      <c r="E79" s="122">
        <v>2483.9</v>
      </c>
      <c r="F79" s="123">
        <f t="shared" si="1"/>
        <v>-7.5713686397506086E-3</v>
      </c>
    </row>
    <row r="80" spans="2:6" x14ac:dyDescent="0.25">
      <c r="B80" s="120">
        <v>44378</v>
      </c>
      <c r="C80" s="122">
        <v>52586.84</v>
      </c>
      <c r="D80" s="123">
        <f t="shared" si="1"/>
        <v>1.9840819957657185E-3</v>
      </c>
      <c r="E80" s="122">
        <v>3387.95</v>
      </c>
      <c r="F80" s="123">
        <f t="shared" si="1"/>
        <v>0.3639639276943516</v>
      </c>
    </row>
    <row r="81" spans="2:6" x14ac:dyDescent="0.25">
      <c r="B81" s="120">
        <v>44409</v>
      </c>
      <c r="C81" s="122">
        <v>57552.39</v>
      </c>
      <c r="D81" s="123">
        <f t="shared" si="1"/>
        <v>9.4425715635318763E-2</v>
      </c>
      <c r="E81" s="122">
        <v>3297.5</v>
      </c>
      <c r="F81" s="123">
        <f t="shared" si="1"/>
        <v>-2.66975604716716E-2</v>
      </c>
    </row>
    <row r="82" spans="2:6" x14ac:dyDescent="0.25">
      <c r="B82" s="120">
        <v>44440</v>
      </c>
      <c r="C82" s="122">
        <v>59126.36</v>
      </c>
      <c r="D82" s="123">
        <f t="shared" si="1"/>
        <v>2.7348473277999386E-2</v>
      </c>
      <c r="E82" s="122">
        <v>3017.3</v>
      </c>
      <c r="F82" s="123">
        <f t="shared" si="1"/>
        <v>-8.4973464746019634E-2</v>
      </c>
    </row>
    <row r="83" spans="2:6" x14ac:dyDescent="0.25">
      <c r="B83" s="120">
        <v>44470</v>
      </c>
      <c r="C83" s="122">
        <v>59306.93</v>
      </c>
      <c r="D83" s="123">
        <f t="shared" si="1"/>
        <v>3.0539678072520893E-3</v>
      </c>
      <c r="E83" s="122">
        <v>3243.75</v>
      </c>
      <c r="F83" s="123">
        <f t="shared" si="1"/>
        <v>7.5050541875186338E-2</v>
      </c>
    </row>
    <row r="84" spans="2:6" x14ac:dyDescent="0.25">
      <c r="B84" s="120">
        <v>44501</v>
      </c>
      <c r="C84" s="122">
        <v>57064.87</v>
      </c>
      <c r="D84" s="123">
        <f t="shared" si="1"/>
        <v>-3.7804351026094252E-2</v>
      </c>
      <c r="E84" s="122">
        <v>3066</v>
      </c>
      <c r="F84" s="123">
        <f t="shared" si="1"/>
        <v>-5.4797687861271704E-2</v>
      </c>
    </row>
    <row r="85" spans="2:6" x14ac:dyDescent="0.25">
      <c r="B85" s="120">
        <v>44531</v>
      </c>
      <c r="C85" s="122">
        <v>58253.82</v>
      </c>
      <c r="D85" s="123">
        <f t="shared" si="1"/>
        <v>2.0835060169242414E-2</v>
      </c>
      <c r="E85" s="122">
        <v>2983.75</v>
      </c>
      <c r="F85" s="123">
        <f t="shared" si="1"/>
        <v>-2.6826484018264818E-2</v>
      </c>
    </row>
    <row r="86" spans="2:6" x14ac:dyDescent="0.25">
      <c r="B86" s="120">
        <v>44562</v>
      </c>
      <c r="C86" s="122">
        <v>58014.17</v>
      </c>
      <c r="D86" s="123">
        <f t="shared" si="1"/>
        <v>-4.113893303477778E-3</v>
      </c>
      <c r="E86" s="122">
        <v>3923.7</v>
      </c>
      <c r="F86" s="123">
        <f t="shared" si="1"/>
        <v>0.31502304147465421</v>
      </c>
    </row>
    <row r="87" spans="2:6" x14ac:dyDescent="0.25">
      <c r="B87" s="120">
        <v>44593</v>
      </c>
      <c r="C87" s="122">
        <v>56247.28</v>
      </c>
      <c r="D87" s="123">
        <f t="shared" si="1"/>
        <v>-3.0456179929834404E-2</v>
      </c>
      <c r="E87" s="122">
        <v>3422.2</v>
      </c>
      <c r="F87" s="123">
        <f t="shared" si="1"/>
        <v>-0.12781303361622953</v>
      </c>
    </row>
    <row r="88" spans="2:6" x14ac:dyDescent="0.25">
      <c r="B88" s="120">
        <v>44621</v>
      </c>
      <c r="C88" s="122">
        <v>58568.51</v>
      </c>
      <c r="D88" s="123">
        <f t="shared" si="1"/>
        <v>4.1268306663006626E-2</v>
      </c>
      <c r="E88" s="122">
        <v>3656.05</v>
      </c>
      <c r="F88" s="123">
        <f t="shared" si="1"/>
        <v>6.8333235930103653E-2</v>
      </c>
    </row>
    <row r="89" spans="2:6" x14ac:dyDescent="0.25">
      <c r="B89" s="120">
        <v>44652</v>
      </c>
      <c r="C89" s="122">
        <v>57060.87</v>
      </c>
      <c r="D89" s="123">
        <f t="shared" si="1"/>
        <v>-2.5741477800954815E-2</v>
      </c>
      <c r="E89" s="122">
        <v>3526.8</v>
      </c>
      <c r="F89" s="123">
        <f t="shared" si="1"/>
        <v>-3.5352361154798229E-2</v>
      </c>
    </row>
    <row r="90" spans="2:6" x14ac:dyDescent="0.25">
      <c r="B90" s="120">
        <v>44682</v>
      </c>
      <c r="C90" s="122">
        <v>55566.41</v>
      </c>
      <c r="D90" s="123">
        <f t="shared" si="1"/>
        <v>-2.6190627657797672E-2</v>
      </c>
      <c r="E90" s="122">
        <v>2942.5</v>
      </c>
      <c r="F90" s="123">
        <f t="shared" si="1"/>
        <v>-0.16567426562322785</v>
      </c>
    </row>
    <row r="91" spans="2:6" x14ac:dyDescent="0.25">
      <c r="B91" s="120">
        <v>44713</v>
      </c>
      <c r="C91" s="122">
        <v>53018.94</v>
      </c>
      <c r="D91" s="123">
        <f t="shared" si="1"/>
        <v>-4.5845502705681329E-2</v>
      </c>
      <c r="E91" s="122">
        <v>2742.8</v>
      </c>
      <c r="F91" s="123">
        <f t="shared" si="1"/>
        <v>-6.7867459643160544E-2</v>
      </c>
    </row>
    <row r="92" spans="2:6" x14ac:dyDescent="0.25">
      <c r="B92" s="120">
        <v>44743</v>
      </c>
      <c r="C92" s="122">
        <v>57570.25</v>
      </c>
      <c r="D92" s="123">
        <f t="shared" si="1"/>
        <v>8.5843096825398479E-2</v>
      </c>
      <c r="E92" s="122">
        <v>2858.65</v>
      </c>
      <c r="F92" s="123">
        <f t="shared" si="1"/>
        <v>4.2237859122064902E-2</v>
      </c>
    </row>
    <row r="93" spans="2:6" x14ac:dyDescent="0.25">
      <c r="B93" s="120">
        <v>44774</v>
      </c>
      <c r="C93" s="122">
        <v>59537.07</v>
      </c>
      <c r="D93" s="123">
        <f t="shared" si="1"/>
        <v>3.4163825934401926E-2</v>
      </c>
      <c r="E93" s="122">
        <v>3036.3</v>
      </c>
      <c r="F93" s="123">
        <f t="shared" si="1"/>
        <v>6.2144718660906317E-2</v>
      </c>
    </row>
    <row r="94" spans="2:6" x14ac:dyDescent="0.25">
      <c r="B94" s="120">
        <v>44805</v>
      </c>
      <c r="C94" s="122">
        <v>57426.92</v>
      </c>
      <c r="D94" s="123">
        <f t="shared" si="1"/>
        <v>-3.5442624233943731E-2</v>
      </c>
      <c r="E94" s="122">
        <v>3181.3</v>
      </c>
      <c r="F94" s="123">
        <f t="shared" si="1"/>
        <v>4.7755491881566359E-2</v>
      </c>
    </row>
    <row r="95" spans="2:6" x14ac:dyDescent="0.25">
      <c r="B95" s="120">
        <v>44835</v>
      </c>
      <c r="C95" s="122">
        <v>60746.59</v>
      </c>
      <c r="D95" s="123">
        <f t="shared" si="1"/>
        <v>5.7806861311733293E-2</v>
      </c>
      <c r="E95" s="122">
        <v>3033.45</v>
      </c>
      <c r="F95" s="123">
        <f t="shared" si="1"/>
        <v>-4.6474711595888563E-2</v>
      </c>
    </row>
    <row r="96" spans="2:6" x14ac:dyDescent="0.25">
      <c r="B96" s="120">
        <v>44866</v>
      </c>
      <c r="C96" s="122">
        <v>63099.65</v>
      </c>
      <c r="D96" s="123">
        <f t="shared" si="1"/>
        <v>3.8735672241026364E-2</v>
      </c>
      <c r="E96" s="122">
        <v>2921.05</v>
      </c>
      <c r="F96" s="123">
        <f t="shared" si="1"/>
        <v>-3.7053519919563405E-2</v>
      </c>
    </row>
    <row r="97" spans="2:6" x14ac:dyDescent="0.25">
      <c r="B97" s="120">
        <v>44896</v>
      </c>
      <c r="C97" s="122">
        <v>60840.74</v>
      </c>
      <c r="D97" s="123">
        <f t="shared" si="1"/>
        <v>-3.5799089218403024E-2</v>
      </c>
      <c r="E97" s="122">
        <v>2933</v>
      </c>
      <c r="F97" s="123">
        <f t="shared" si="1"/>
        <v>4.090994676571702E-3</v>
      </c>
    </row>
    <row r="98" spans="2:6" x14ac:dyDescent="0.25">
      <c r="B98" s="120">
        <v>44927</v>
      </c>
      <c r="C98" s="122">
        <v>59549.9</v>
      </c>
      <c r="D98" s="123">
        <f t="shared" si="1"/>
        <v>-2.1216704464804281E-2</v>
      </c>
      <c r="E98" s="122">
        <v>2727.9</v>
      </c>
      <c r="F98" s="123">
        <f t="shared" si="1"/>
        <v>-6.9928400954653913E-2</v>
      </c>
    </row>
    <row r="99" spans="2:6" x14ac:dyDescent="0.25">
      <c r="B99" s="120">
        <v>44958</v>
      </c>
      <c r="C99" s="122">
        <v>58962.12</v>
      </c>
      <c r="D99" s="123">
        <f t="shared" si="1"/>
        <v>-9.8703776160833367E-3</v>
      </c>
      <c r="E99" s="122">
        <v>2673.85</v>
      </c>
      <c r="F99" s="123">
        <f t="shared" si="1"/>
        <v>-1.98137761648155E-2</v>
      </c>
    </row>
    <row r="100" spans="2:6" x14ac:dyDescent="0.25">
      <c r="B100" s="120">
        <v>44986</v>
      </c>
      <c r="C100" s="122">
        <v>58991.519999999997</v>
      </c>
      <c r="D100" s="123">
        <f t="shared" si="1"/>
        <v>4.9862521903887291E-4</v>
      </c>
      <c r="E100" s="122">
        <v>2566.6</v>
      </c>
      <c r="F100" s="123">
        <f t="shared" si="1"/>
        <v>-4.0110701797034243E-2</v>
      </c>
    </row>
    <row r="101" spans="2:6" x14ac:dyDescent="0.25">
      <c r="B101" s="120">
        <v>45017</v>
      </c>
      <c r="C101" s="122">
        <v>61112.44</v>
      </c>
      <c r="D101" s="123">
        <f t="shared" si="1"/>
        <v>3.5952964087041739E-2</v>
      </c>
      <c r="E101" s="122">
        <v>2670.55</v>
      </c>
      <c r="F101" s="123">
        <f t="shared" si="1"/>
        <v>4.0501051975376123E-2</v>
      </c>
    </row>
    <row r="102" spans="2:6" x14ac:dyDescent="0.25">
      <c r="B102" s="120">
        <v>45047</v>
      </c>
      <c r="C102" s="122">
        <v>62622.239999999998</v>
      </c>
      <c r="D102" s="123">
        <f t="shared" si="1"/>
        <v>2.4705280954254061E-2</v>
      </c>
      <c r="E102" s="122">
        <v>2637</v>
      </c>
      <c r="F102" s="123">
        <f t="shared" si="1"/>
        <v>-1.2562955196495196E-2</v>
      </c>
    </row>
    <row r="103" spans="2:6" x14ac:dyDescent="0.25">
      <c r="B103" s="120">
        <v>45078</v>
      </c>
      <c r="C103" s="122">
        <v>64718.559999999998</v>
      </c>
      <c r="D103" s="123">
        <f t="shared" si="1"/>
        <v>3.3475646990589913E-2</v>
      </c>
      <c r="E103" s="122">
        <v>2900</v>
      </c>
      <c r="F103" s="123">
        <f t="shared" si="1"/>
        <v>9.9734546833522897E-2</v>
      </c>
    </row>
    <row r="104" spans="2:6" x14ac:dyDescent="0.25">
      <c r="B104" s="120">
        <v>45108</v>
      </c>
      <c r="C104" s="122">
        <v>66527.67</v>
      </c>
      <c r="D104" s="123">
        <f t="shared" si="1"/>
        <v>2.7953495875062684E-2</v>
      </c>
      <c r="E104" s="122">
        <v>2781.7</v>
      </c>
      <c r="F104" s="123">
        <f t="shared" si="1"/>
        <v>-4.0793103448275914E-2</v>
      </c>
    </row>
    <row r="105" spans="2:6" x14ac:dyDescent="0.25">
      <c r="B105" s="120">
        <v>45139</v>
      </c>
      <c r="C105" s="122">
        <v>64831.41</v>
      </c>
      <c r="D105" s="123">
        <f t="shared" si="1"/>
        <v>-2.5497060095445945E-2</v>
      </c>
      <c r="E105" s="122">
        <v>2883.15</v>
      </c>
      <c r="F105" s="123">
        <f t="shared" si="1"/>
        <v>3.6470503648847963E-2</v>
      </c>
    </row>
    <row r="106" spans="2:6" x14ac:dyDescent="0.25">
      <c r="B106" s="120">
        <v>45170</v>
      </c>
      <c r="C106" s="122">
        <v>65828.41</v>
      </c>
      <c r="D106" s="123">
        <f t="shared" si="1"/>
        <v>1.5378348242001794E-2</v>
      </c>
      <c r="E106" s="122">
        <v>3058.65</v>
      </c>
      <c r="F106" s="123">
        <f t="shared" si="1"/>
        <v>6.087092242859371E-2</v>
      </c>
    </row>
    <row r="107" spans="2:6" x14ac:dyDescent="0.25">
      <c r="B107" s="120">
        <v>45200</v>
      </c>
      <c r="C107" s="122">
        <v>63874.93</v>
      </c>
      <c r="D107" s="123">
        <f t="shared" si="1"/>
        <v>-2.9675333188208586E-2</v>
      </c>
      <c r="E107" s="122">
        <v>2818</v>
      </c>
      <c r="F107" s="123">
        <f t="shared" si="1"/>
        <v>-7.8678501953476254E-2</v>
      </c>
    </row>
    <row r="108" spans="2:6" x14ac:dyDescent="0.25">
      <c r="B108" s="120">
        <v>45231</v>
      </c>
      <c r="C108" s="122">
        <v>66988.44</v>
      </c>
      <c r="D108" s="123">
        <f t="shared" si="1"/>
        <v>4.8743849895412916E-2</v>
      </c>
      <c r="E108" s="122">
        <v>3013.85</v>
      </c>
      <c r="F108" s="123">
        <f t="shared" si="1"/>
        <v>6.9499645138396016E-2</v>
      </c>
    </row>
    <row r="109" spans="2:6" x14ac:dyDescent="0.25">
      <c r="B109" s="120">
        <v>45261</v>
      </c>
      <c r="C109" s="122">
        <v>72240.259999999995</v>
      </c>
      <c r="D109" s="123">
        <f t="shared" si="1"/>
        <v>7.8398899869887906E-2</v>
      </c>
      <c r="E109" s="122">
        <v>3141.4</v>
      </c>
      <c r="F109" s="123">
        <f t="shared" si="1"/>
        <v>4.2321283408265131E-2</v>
      </c>
    </row>
    <row r="110" spans="2:6" x14ac:dyDescent="0.25">
      <c r="B110" s="120">
        <v>45292</v>
      </c>
      <c r="C110" s="122">
        <v>71752.11</v>
      </c>
      <c r="D110" s="123">
        <f t="shared" si="1"/>
        <v>-6.7573123352545617E-3</v>
      </c>
      <c r="E110" s="122">
        <v>3362.65</v>
      </c>
      <c r="F110" s="123">
        <f t="shared" si="1"/>
        <v>7.0430381358630001E-2</v>
      </c>
    </row>
    <row r="111" spans="2:6" x14ac:dyDescent="0.25">
      <c r="B111" s="120">
        <v>45323</v>
      </c>
      <c r="C111" s="122">
        <v>72500.3</v>
      </c>
      <c r="D111" s="123">
        <f t="shared" si="1"/>
        <v>1.0427428545306983E-2</v>
      </c>
      <c r="E111" s="122">
        <v>3054.95</v>
      </c>
      <c r="F111" s="123">
        <f t="shared" si="1"/>
        <v>-9.1505211663420294E-2</v>
      </c>
    </row>
    <row r="112" spans="2:6" x14ac:dyDescent="0.25">
      <c r="B112" s="120">
        <v>45352</v>
      </c>
      <c r="C112" s="122">
        <v>73651.350000000006</v>
      </c>
      <c r="D112" s="123">
        <f t="shared" si="1"/>
        <v>1.5876486028333803E-2</v>
      </c>
      <c r="E112" s="122">
        <v>2793.7</v>
      </c>
      <c r="F112" s="123">
        <f t="shared" si="1"/>
        <v>-8.5516947904221041E-2</v>
      </c>
    </row>
    <row r="113" spans="2:6" x14ac:dyDescent="0.25">
      <c r="B113" s="120">
        <v>45383</v>
      </c>
      <c r="C113" s="122">
        <v>74482.78</v>
      </c>
      <c r="D113" s="123">
        <f t="shared" si="1"/>
        <v>1.1288727226316908E-2</v>
      </c>
      <c r="E113" s="122">
        <v>3054.3</v>
      </c>
      <c r="F113" s="123">
        <f t="shared" si="1"/>
        <v>9.3281311522354082E-2</v>
      </c>
    </row>
    <row r="114" spans="2:6" x14ac:dyDescent="0.25">
      <c r="B114" s="120">
        <v>45413</v>
      </c>
      <c r="C114" s="122">
        <v>73961.31</v>
      </c>
      <c r="D114" s="123">
        <f t="shared" si="1"/>
        <v>-7.0012155829843881E-3</v>
      </c>
      <c r="E114" s="122">
        <v>2937.05</v>
      </c>
      <c r="F114" s="123">
        <f t="shared" si="1"/>
        <v>-3.8388501456962265E-2</v>
      </c>
    </row>
    <row r="115" spans="2:6" x14ac:dyDescent="0.25">
      <c r="B115" s="120">
        <v>45444</v>
      </c>
      <c r="C115" s="122">
        <v>79032.73</v>
      </c>
      <c r="D115" s="123">
        <f t="shared" si="1"/>
        <v>6.8568552936663751E-2</v>
      </c>
      <c r="E115" s="122">
        <v>4037.85</v>
      </c>
      <c r="F115" s="123">
        <f t="shared" si="1"/>
        <v>0.37479784137144412</v>
      </c>
    </row>
    <row r="116" spans="2:6" x14ac:dyDescent="0.25">
      <c r="B116" s="120">
        <v>45474</v>
      </c>
      <c r="C116" s="122">
        <v>81741.34</v>
      </c>
      <c r="D116" s="123">
        <f t="shared" si="1"/>
        <v>3.427200351044446E-2</v>
      </c>
      <c r="E116" s="122">
        <v>4151.75</v>
      </c>
      <c r="F116" s="123">
        <f t="shared" si="1"/>
        <v>2.8208081033223253E-2</v>
      </c>
    </row>
    <row r="117" spans="2:6" x14ac:dyDescent="0.25">
      <c r="B117" s="120">
        <v>45505</v>
      </c>
      <c r="C117" s="122">
        <v>82365.77</v>
      </c>
      <c r="D117" s="123">
        <f t="shared" si="1"/>
        <v>7.6390966920778514E-3</v>
      </c>
      <c r="E117" s="122">
        <v>4112.95</v>
      </c>
      <c r="F117" s="123">
        <f t="shared" si="1"/>
        <v>-9.345456735111779E-3</v>
      </c>
    </row>
    <row r="118" spans="2:6" x14ac:dyDescent="0.25">
      <c r="B118" s="120">
        <v>45536</v>
      </c>
      <c r="C118" s="122">
        <v>84299.78</v>
      </c>
      <c r="D118" s="123">
        <f t="shared" si="1"/>
        <v>2.3480749345268004E-2</v>
      </c>
      <c r="E118" s="122">
        <v>4229.6000000000004</v>
      </c>
      <c r="F118" s="123">
        <f t="shared" si="1"/>
        <v>2.8361638240192777E-2</v>
      </c>
    </row>
    <row r="119" spans="2:6" x14ac:dyDescent="0.25">
      <c r="B119" s="120">
        <v>45566</v>
      </c>
      <c r="C119" s="122">
        <v>79389.06</v>
      </c>
      <c r="D119" s="123">
        <f t="shared" si="1"/>
        <v>-5.8253058311658723E-2</v>
      </c>
      <c r="E119" s="122">
        <v>4134.8999999999996</v>
      </c>
      <c r="F119" s="123">
        <f t="shared" si="1"/>
        <v>-2.2389824096841426E-2</v>
      </c>
    </row>
    <row r="120" spans="2:6" x14ac:dyDescent="0.25">
      <c r="B120" s="120">
        <v>45597</v>
      </c>
      <c r="C120" s="122">
        <v>79802.789999999994</v>
      </c>
      <c r="D120" s="123">
        <f t="shared" si="1"/>
        <v>5.2114233371700625E-3</v>
      </c>
      <c r="E120" s="122">
        <v>4811.1000000000004</v>
      </c>
      <c r="F120" s="123">
        <f t="shared" si="1"/>
        <v>0.16353478923311338</v>
      </c>
    </row>
    <row r="121" spans="2:6" x14ac:dyDescent="0.25">
      <c r="B121" s="120">
        <v>45627</v>
      </c>
      <c r="C121" s="122">
        <v>78139.009999999995</v>
      </c>
      <c r="D121" s="123">
        <f t="shared" si="1"/>
        <v>-2.0848644514809611E-2</v>
      </c>
      <c r="E121" s="122">
        <v>4410.6000000000004</v>
      </c>
      <c r="F121" s="123">
        <f t="shared" si="1"/>
        <v>-8.3244995946872846E-2</v>
      </c>
    </row>
    <row r="122" spans="2:6" x14ac:dyDescent="0.25">
      <c r="B122" s="120">
        <v>45658</v>
      </c>
      <c r="C122" s="122">
        <v>77500.570000000007</v>
      </c>
      <c r="D122" s="123">
        <f t="shared" si="1"/>
        <v>-8.1705667885987321E-3</v>
      </c>
      <c r="E122" s="122">
        <v>3705</v>
      </c>
      <c r="F122" s="123">
        <f t="shared" si="1"/>
        <v>-0.15997823425384305</v>
      </c>
    </row>
    <row r="123" spans="2:6" x14ac:dyDescent="0.25">
      <c r="B123" s="120">
        <v>45689</v>
      </c>
      <c r="C123" s="122">
        <v>73198.100000000006</v>
      </c>
      <c r="D123" s="123">
        <f t="shared" si="1"/>
        <v>-5.5515333629159169E-2</v>
      </c>
      <c r="E123" s="122">
        <v>2955.25</v>
      </c>
      <c r="F123" s="123">
        <f t="shared" si="1"/>
        <v>-0.202361673414305</v>
      </c>
    </row>
    <row r="124" spans="2:6" x14ac:dyDescent="0.25">
      <c r="B124" s="120">
        <v>45717</v>
      </c>
      <c r="C124" s="122">
        <v>77414.92</v>
      </c>
      <c r="D124" s="123">
        <f t="shared" si="1"/>
        <v>5.760832589916931E-2</v>
      </c>
      <c r="E124" s="122">
        <v>3365.25</v>
      </c>
      <c r="F124" s="123">
        <f t="shared" si="1"/>
        <v>0.13873614753404961</v>
      </c>
    </row>
    <row r="125" spans="2:6" x14ac:dyDescent="0.25">
      <c r="B125" s="120">
        <v>45748</v>
      </c>
      <c r="C125" s="122">
        <v>80242.240000000005</v>
      </c>
      <c r="D125" s="123">
        <f t="shared" si="1"/>
        <v>3.652164208139741E-2</v>
      </c>
      <c r="E125" s="122">
        <v>3575.75</v>
      </c>
      <c r="F125" s="123">
        <f t="shared" si="1"/>
        <v>6.2551073471510232E-2</v>
      </c>
    </row>
    <row r="126" spans="2:6" x14ac:dyDescent="0.25">
      <c r="B126" s="120">
        <v>45778</v>
      </c>
      <c r="C126" s="122">
        <v>81451.009999999995</v>
      </c>
      <c r="D126" s="123">
        <f t="shared" si="1"/>
        <v>1.5064011174164449E-2</v>
      </c>
      <c r="E126" s="122">
        <v>3981</v>
      </c>
      <c r="F126" s="123">
        <f t="shared" si="1"/>
        <v>0.11333286723065084</v>
      </c>
    </row>
    <row r="127" spans="2:6" x14ac:dyDescent="0.25">
      <c r="B127" s="120">
        <v>45809</v>
      </c>
      <c r="C127" s="122">
        <v>83606.460000000006</v>
      </c>
      <c r="D127" s="123">
        <f t="shared" si="1"/>
        <v>2.6463146374735125E-2</v>
      </c>
      <c r="E127" s="122">
        <v>4097</v>
      </c>
      <c r="F127" s="123">
        <f t="shared" si="1"/>
        <v>2.9138407435317815E-2</v>
      </c>
    </row>
    <row r="128" spans="2:6" x14ac:dyDescent="0.25">
      <c r="B128" s="120">
        <v>45839</v>
      </c>
      <c r="C128" s="122">
        <v>81185.58</v>
      </c>
      <c r="D128" s="123">
        <f t="shared" si="1"/>
        <v>-2.89556572542361E-2</v>
      </c>
      <c r="E128" s="122">
        <v>3985.25</v>
      </c>
      <c r="F128" s="123">
        <f t="shared" si="1"/>
        <v>-2.7276055650475972E-2</v>
      </c>
    </row>
    <row r="129" spans="2:6" x14ac:dyDescent="0.25">
      <c r="B129" s="120">
        <v>45870</v>
      </c>
      <c r="C129" s="122">
        <v>79809.649999999994</v>
      </c>
      <c r="D129" s="123">
        <f t="shared" si="1"/>
        <v>-1.6947960462929568E-2</v>
      </c>
      <c r="E129" s="122">
        <v>3723.45</v>
      </c>
      <c r="F129" s="123">
        <f t="shared" si="1"/>
        <v>-6.569224013549968E-2</v>
      </c>
    </row>
    <row r="130" spans="2:6" x14ac:dyDescent="0.25">
      <c r="B130" s="120">
        <v>45901</v>
      </c>
      <c r="C130" s="122">
        <v>80710.759999999995</v>
      </c>
      <c r="D130" s="123">
        <f t="shared" si="1"/>
        <v>1.1290739904259661E-2</v>
      </c>
      <c r="E130" s="122">
        <v>4017.1</v>
      </c>
      <c r="F130" s="123">
        <f t="shared" si="1"/>
        <v>7.8865031086760906E-2</v>
      </c>
    </row>
  </sheetData>
  <mergeCells count="5">
    <mergeCell ref="B8:B9"/>
    <mergeCell ref="C8:C9"/>
    <mergeCell ref="D8:D9"/>
    <mergeCell ref="E8:E9"/>
    <mergeCell ref="F8:F9"/>
  </mergeCells>
  <conditionalFormatting sqref="D11:D130">
    <cfRule type="dataBar" priority="2">
      <dataBar>
        <cfvo type="min"/>
        <cfvo type="max"/>
        <color rgb="FF63C384"/>
      </dataBar>
      <extLst>
        <ext xmlns:x14="http://schemas.microsoft.com/office/spreadsheetml/2009/9/main" uri="{B025F937-C7B1-47D3-B67F-A62EFF666E3E}">
          <x14:id>{F6FC10C4-122F-4684-A5E5-C03BB7D1C6ED}</x14:id>
        </ext>
      </extLst>
    </cfRule>
  </conditionalFormatting>
  <conditionalFormatting sqref="F11:F130">
    <cfRule type="dataBar" priority="1">
      <dataBar>
        <cfvo type="min"/>
        <cfvo type="max"/>
        <color rgb="FF63C384"/>
      </dataBar>
      <extLst>
        <ext xmlns:x14="http://schemas.microsoft.com/office/spreadsheetml/2009/9/main" uri="{B025F937-C7B1-47D3-B67F-A62EFF666E3E}">
          <x14:id>{C7ABA151-771F-4699-8F88-E87A68FDC3EF}</x14:id>
        </ext>
      </extLst>
    </cfRule>
  </conditionalFormatting>
  <hyperlinks>
    <hyperlink ref="I8" r:id="rId1" display="https://www.bseindia.com/indices/IndexArchiveData.html"/>
  </hyperlinks>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F6FC10C4-122F-4684-A5E5-C03BB7D1C6ED}">
            <x14:dataBar minLength="0" maxLength="100" border="1" negativeBarBorderColorSameAsPositive="0">
              <x14:cfvo type="autoMin"/>
              <x14:cfvo type="autoMax"/>
              <x14:borderColor rgb="FF63C384"/>
              <x14:negativeFillColor rgb="FFFF0000"/>
              <x14:negativeBorderColor rgb="FFFF0000"/>
              <x14:axisColor rgb="FF000000"/>
            </x14:dataBar>
          </x14:cfRule>
          <xm:sqref>D11:D130</xm:sqref>
        </x14:conditionalFormatting>
        <x14:conditionalFormatting xmlns:xm="http://schemas.microsoft.com/office/excel/2006/main">
          <x14:cfRule type="dataBar" id="{C7ABA151-771F-4699-8F88-E87A68FDC3EF}">
            <x14:dataBar minLength="0" maxLength="100" border="1" negativeBarBorderColorSameAsPositive="0">
              <x14:cfvo type="autoMin"/>
              <x14:cfvo type="autoMax"/>
              <x14:borderColor rgb="FF63C384"/>
              <x14:negativeFillColor rgb="FFFF0000"/>
              <x14:negativeBorderColor rgb="FFFF0000"/>
              <x14:axisColor rgb="FF000000"/>
            </x14:dataBar>
          </x14:cfRule>
          <xm:sqref>F11:F130</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O17"/>
  <sheetViews>
    <sheetView showGridLines="0" workbookViewId="0">
      <selection activeCell="A17" sqref="A17"/>
    </sheetView>
  </sheetViews>
  <sheetFormatPr defaultRowHeight="15" x14ac:dyDescent="0.25"/>
  <cols>
    <col min="1" max="1" width="1.85546875" customWidth="1"/>
    <col min="2" max="2" width="16.7109375" bestFit="1" customWidth="1"/>
    <col min="3" max="3" width="8.140625" customWidth="1"/>
    <col min="4" max="4" width="18.85546875" bestFit="1" customWidth="1"/>
    <col min="5" max="5" width="10.7109375" bestFit="1" customWidth="1"/>
    <col min="6" max="6" width="10.5703125" bestFit="1" customWidth="1"/>
    <col min="7" max="7" width="13.140625" bestFit="1" customWidth="1"/>
    <col min="8" max="8" width="15.140625" bestFit="1" customWidth="1"/>
    <col min="9" max="9" width="14.140625" bestFit="1" customWidth="1"/>
    <col min="10" max="10" width="14.28515625" bestFit="1" customWidth="1"/>
    <col min="11" max="11" width="11.28515625" bestFit="1" customWidth="1"/>
    <col min="12" max="12" width="8.7109375" customWidth="1"/>
    <col min="13" max="13" width="14.28515625" bestFit="1" customWidth="1"/>
    <col min="14" max="14" width="13.85546875" bestFit="1" customWidth="1"/>
    <col min="15" max="15" width="4" customWidth="1"/>
  </cols>
  <sheetData>
    <row r="5" spans="2:15" x14ac:dyDescent="0.25">
      <c r="E5" s="168">
        <v>100</v>
      </c>
    </row>
    <row r="6" spans="2:15" x14ac:dyDescent="0.25">
      <c r="B6" s="235" t="s">
        <v>279</v>
      </c>
    </row>
    <row r="7" spans="2:15" ht="15.75" thickBot="1" x14ac:dyDescent="0.3">
      <c r="B7" s="165" t="s">
        <v>152</v>
      </c>
      <c r="C7" s="165" t="s">
        <v>153</v>
      </c>
      <c r="D7" s="165" t="s">
        <v>269</v>
      </c>
      <c r="E7" s="165" t="s">
        <v>270</v>
      </c>
      <c r="F7" s="165" t="s">
        <v>172</v>
      </c>
      <c r="G7" s="165" t="s">
        <v>271</v>
      </c>
      <c r="H7" s="165" t="s">
        <v>272</v>
      </c>
      <c r="I7" s="165" t="s">
        <v>273</v>
      </c>
      <c r="J7" s="165" t="s">
        <v>274</v>
      </c>
      <c r="K7" s="165" t="s">
        <v>154</v>
      </c>
      <c r="L7" s="165" t="s">
        <v>275</v>
      </c>
      <c r="M7" s="165" t="s">
        <v>276</v>
      </c>
      <c r="N7" s="165" t="s">
        <v>277</v>
      </c>
      <c r="O7" s="165" t="s">
        <v>155</v>
      </c>
    </row>
    <row r="8" spans="2:15" x14ac:dyDescent="0.25">
      <c r="B8" s="92" t="s">
        <v>156</v>
      </c>
      <c r="C8" s="92">
        <v>13428</v>
      </c>
      <c r="D8">
        <v>202</v>
      </c>
      <c r="E8">
        <v>3248934</v>
      </c>
      <c r="F8">
        <v>513510.99999999994</v>
      </c>
      <c r="G8">
        <v>240925</v>
      </c>
      <c r="H8">
        <v>4499316</v>
      </c>
      <c r="I8">
        <v>106684.99999999999</v>
      </c>
      <c r="J8">
        <v>577204</v>
      </c>
      <c r="K8">
        <v>700</v>
      </c>
      <c r="L8">
        <v>5199086</v>
      </c>
      <c r="M8">
        <v>2463663</v>
      </c>
      <c r="N8">
        <v>130880</v>
      </c>
      <c r="O8" s="92">
        <v>19.309999999999999</v>
      </c>
    </row>
    <row r="9" spans="2:15" x14ac:dyDescent="0.25">
      <c r="B9" t="s">
        <v>157</v>
      </c>
      <c r="C9">
        <v>248.73</v>
      </c>
      <c r="D9">
        <v>3307</v>
      </c>
      <c r="E9">
        <v>23343</v>
      </c>
      <c r="F9">
        <v>108674</v>
      </c>
      <c r="G9">
        <v>18332</v>
      </c>
      <c r="H9">
        <v>735424</v>
      </c>
      <c r="I9">
        <v>6200</v>
      </c>
      <c r="J9">
        <v>28044</v>
      </c>
      <c r="K9">
        <v>2455</v>
      </c>
      <c r="L9">
        <v>751752</v>
      </c>
      <c r="M9">
        <v>837083</v>
      </c>
      <c r="N9">
        <v>5170</v>
      </c>
      <c r="O9">
        <v>71.27</v>
      </c>
    </row>
    <row r="10" spans="2:15" x14ac:dyDescent="0.25">
      <c r="B10" t="s">
        <v>158</v>
      </c>
      <c r="C10">
        <v>132296.75</v>
      </c>
      <c r="D10">
        <v>2</v>
      </c>
      <c r="E10">
        <v>0</v>
      </c>
      <c r="F10">
        <v>233</v>
      </c>
      <c r="G10">
        <v>15300</v>
      </c>
      <c r="H10">
        <v>21114</v>
      </c>
      <c r="I10">
        <v>110.00000000000001</v>
      </c>
      <c r="J10">
        <v>20605</v>
      </c>
      <c r="K10">
        <v>2177</v>
      </c>
      <c r="L10">
        <v>264991</v>
      </c>
      <c r="M10">
        <v>265224</v>
      </c>
      <c r="N10">
        <v>3297</v>
      </c>
      <c r="O10">
        <v>30.26</v>
      </c>
    </row>
    <row r="11" spans="2:15" x14ac:dyDescent="0.25">
      <c r="B11" t="s">
        <v>159</v>
      </c>
      <c r="C11">
        <v>2178.91</v>
      </c>
      <c r="D11">
        <v>109.00000000000001</v>
      </c>
      <c r="E11">
        <v>0</v>
      </c>
      <c r="F11">
        <v>303</v>
      </c>
      <c r="G11">
        <v>6859.9999999999991</v>
      </c>
      <c r="H11">
        <v>11903</v>
      </c>
      <c r="I11">
        <v>2</v>
      </c>
      <c r="J11">
        <v>11430</v>
      </c>
      <c r="K11">
        <v>2011</v>
      </c>
      <c r="L11">
        <v>243123</v>
      </c>
      <c r="M11">
        <v>243426.00000000003</v>
      </c>
      <c r="N11">
        <v>3504</v>
      </c>
      <c r="O11">
        <v>28.36</v>
      </c>
    </row>
    <row r="12" spans="2:15" x14ac:dyDescent="0.25">
      <c r="B12" t="s">
        <v>160</v>
      </c>
      <c r="C12">
        <v>5018</v>
      </c>
      <c r="D12">
        <v>44</v>
      </c>
      <c r="E12">
        <v>0</v>
      </c>
      <c r="F12">
        <v>24650</v>
      </c>
      <c r="G12">
        <v>7154.0000000000009</v>
      </c>
      <c r="H12">
        <v>7822</v>
      </c>
      <c r="I12">
        <v>9</v>
      </c>
      <c r="J12">
        <v>9749</v>
      </c>
      <c r="K12">
        <v>2077</v>
      </c>
      <c r="L12">
        <v>182567</v>
      </c>
      <c r="M12">
        <v>207217</v>
      </c>
      <c r="N12">
        <v>2367</v>
      </c>
      <c r="O12">
        <v>32.28</v>
      </c>
    </row>
    <row r="13" spans="2:15" x14ac:dyDescent="0.25">
      <c r="B13" t="s">
        <v>161</v>
      </c>
      <c r="C13">
        <v>102.38</v>
      </c>
      <c r="D13">
        <v>1800</v>
      </c>
      <c r="E13">
        <v>2238401</v>
      </c>
      <c r="F13">
        <v>26370</v>
      </c>
      <c r="G13">
        <v>23303</v>
      </c>
      <c r="H13">
        <v>167616</v>
      </c>
      <c r="I13">
        <v>342</v>
      </c>
      <c r="J13">
        <v>162117</v>
      </c>
      <c r="K13">
        <v>1375</v>
      </c>
      <c r="L13">
        <v>2387865</v>
      </c>
      <c r="M13">
        <v>175834</v>
      </c>
      <c r="N13">
        <v>11342</v>
      </c>
      <c r="O13">
        <v>5.2</v>
      </c>
    </row>
    <row r="15" spans="2:15" x14ac:dyDescent="0.25">
      <c r="B15" s="85" t="s">
        <v>162</v>
      </c>
      <c r="C15" s="85">
        <v>3810</v>
      </c>
      <c r="D15" s="96">
        <v>31.9</v>
      </c>
      <c r="E15" s="85">
        <v>0</v>
      </c>
      <c r="F15" s="85">
        <v>152</v>
      </c>
      <c r="G15" s="85">
        <v>25800</v>
      </c>
      <c r="H15" s="85">
        <v>2277</v>
      </c>
      <c r="I15" s="85">
        <v>1</v>
      </c>
      <c r="J15" s="85">
        <v>27297.000000000004</v>
      </c>
      <c r="K15" s="85">
        <v>490.00000000000006</v>
      </c>
      <c r="L15" s="85">
        <v>128277</v>
      </c>
      <c r="M15" s="85">
        <v>128429</v>
      </c>
      <c r="N15" s="85">
        <v>1458</v>
      </c>
      <c r="O15" s="85">
        <v>519</v>
      </c>
    </row>
    <row r="17" spans="2:6" x14ac:dyDescent="0.25">
      <c r="B17" s="237" t="s">
        <v>282</v>
      </c>
      <c r="C17" s="238" t="s">
        <v>283</v>
      </c>
      <c r="D17" s="240"/>
      <c r="E17" s="240"/>
      <c r="F17" s="241"/>
    </row>
  </sheetData>
  <hyperlinks>
    <hyperlink ref="C17" r:id="rId1" display="https://www.screener.in/market/IN05/IN0501/IN050101/IN050101003/"/>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R38"/>
  <sheetViews>
    <sheetView showGridLines="0" topLeftCell="A19" workbookViewId="0">
      <selection activeCell="G31" sqref="G31"/>
    </sheetView>
  </sheetViews>
  <sheetFormatPr defaultRowHeight="15" x14ac:dyDescent="0.25"/>
  <cols>
    <col min="1" max="1" width="1.85546875" customWidth="1"/>
    <col min="2" max="2" width="14.85546875" bestFit="1" customWidth="1"/>
    <col min="4" max="4" width="3" customWidth="1"/>
    <col min="6" max="6" width="12.140625" bestFit="1" customWidth="1"/>
    <col min="7" max="7" width="18.140625" bestFit="1" customWidth="1"/>
    <col min="8" max="8" width="21.42578125" bestFit="1" customWidth="1"/>
    <col min="9" max="10" width="11.5703125" bestFit="1" customWidth="1"/>
    <col min="11" max="11" width="2.140625" customWidth="1"/>
    <col min="12" max="12" width="12.5703125" bestFit="1" customWidth="1"/>
    <col min="15" max="15" width="2.42578125" customWidth="1"/>
    <col min="17" max="17" width="12.85546875" bestFit="1" customWidth="1"/>
  </cols>
  <sheetData>
    <row r="6" spans="2:18" x14ac:dyDescent="0.25">
      <c r="B6" s="409" t="s">
        <v>163</v>
      </c>
      <c r="C6" s="409"/>
      <c r="D6" s="409"/>
      <c r="E6" s="409"/>
      <c r="F6" s="409"/>
      <c r="G6" s="409"/>
      <c r="H6" s="409"/>
      <c r="I6" s="409"/>
      <c r="J6" s="409"/>
      <c r="K6" s="409"/>
      <c r="L6" s="409"/>
      <c r="M6" s="409"/>
      <c r="N6" s="409"/>
      <c r="O6" s="409"/>
      <c r="P6" s="409"/>
      <c r="Q6" s="409"/>
      <c r="R6" s="409"/>
    </row>
    <row r="7" spans="2:18" ht="15.75" thickBot="1" x14ac:dyDescent="0.3">
      <c r="B7" s="235" t="s">
        <v>279</v>
      </c>
    </row>
    <row r="8" spans="2:18" ht="15.75" thickBot="1" x14ac:dyDescent="0.3">
      <c r="B8" s="414" t="s">
        <v>164</v>
      </c>
      <c r="C8" s="415"/>
      <c r="D8" s="5"/>
      <c r="E8" s="414" t="s">
        <v>165</v>
      </c>
      <c r="F8" s="416"/>
      <c r="G8" s="416"/>
      <c r="H8" s="416"/>
      <c r="I8" s="416"/>
      <c r="J8" s="415"/>
      <c r="K8" s="5"/>
      <c r="L8" s="414" t="s">
        <v>166</v>
      </c>
      <c r="M8" s="416"/>
      <c r="N8" s="415"/>
      <c r="O8" s="5"/>
      <c r="P8" s="414" t="s">
        <v>167</v>
      </c>
      <c r="Q8" s="416"/>
      <c r="R8" s="415"/>
    </row>
    <row r="9" spans="2:18" x14ac:dyDescent="0.25">
      <c r="B9" s="242"/>
      <c r="C9" s="243"/>
      <c r="D9" s="244"/>
      <c r="E9" s="247" t="s">
        <v>168</v>
      </c>
      <c r="F9" s="248" t="s">
        <v>169</v>
      </c>
      <c r="G9" s="249" t="s">
        <v>170</v>
      </c>
      <c r="H9" s="249" t="s">
        <v>171</v>
      </c>
      <c r="I9" s="249" t="s">
        <v>172</v>
      </c>
      <c r="J9" s="249" t="s">
        <v>173</v>
      </c>
      <c r="K9" s="236"/>
      <c r="L9" s="247" t="s">
        <v>174</v>
      </c>
      <c r="M9" s="248" t="s">
        <v>133</v>
      </c>
      <c r="N9" s="249" t="s">
        <v>175</v>
      </c>
      <c r="O9" s="236"/>
      <c r="P9" s="249" t="s">
        <v>176</v>
      </c>
      <c r="Q9" s="249" t="s">
        <v>177</v>
      </c>
      <c r="R9" s="247" t="s">
        <v>155</v>
      </c>
    </row>
    <row r="10" spans="2:18" x14ac:dyDescent="0.25">
      <c r="B10" s="250" t="s">
        <v>178</v>
      </c>
      <c r="C10" s="245"/>
      <c r="D10" s="246"/>
      <c r="E10" s="251" t="s">
        <v>179</v>
      </c>
      <c r="F10" s="252" t="s">
        <v>181</v>
      </c>
      <c r="G10" s="252" t="s">
        <v>181</v>
      </c>
      <c r="H10" s="252" t="s">
        <v>181</v>
      </c>
      <c r="I10" s="252" t="s">
        <v>181</v>
      </c>
      <c r="J10" s="252" t="s">
        <v>181</v>
      </c>
      <c r="K10" s="253"/>
      <c r="L10" s="252" t="s">
        <v>181</v>
      </c>
      <c r="M10" s="252" t="s">
        <v>181</v>
      </c>
      <c r="N10" s="252" t="s">
        <v>181</v>
      </c>
      <c r="O10" s="253"/>
      <c r="P10" s="254" t="s">
        <v>180</v>
      </c>
      <c r="Q10" s="254" t="s">
        <v>180</v>
      </c>
      <c r="R10" s="251" t="s">
        <v>180</v>
      </c>
    </row>
    <row r="11" spans="2:18" x14ac:dyDescent="0.25">
      <c r="B11" t="str">
        <f>'Comps Data'!B8</f>
        <v>TVS Holdings</v>
      </c>
      <c r="E11" s="90">
        <f>'Comps Data'!C8</f>
        <v>13428</v>
      </c>
      <c r="F11" s="90">
        <f>'Comps Data'!D8</f>
        <v>202</v>
      </c>
      <c r="G11" s="16">
        <f>F11*E11</f>
        <v>2712456</v>
      </c>
      <c r="H11" s="90">
        <f>'Comps Data'!E8</f>
        <v>3248934</v>
      </c>
      <c r="I11" s="90">
        <f>'Comps Data'!F8</f>
        <v>513510.99999999994</v>
      </c>
      <c r="J11" s="16">
        <f>G11+H11-I11</f>
        <v>5447879</v>
      </c>
      <c r="L11" s="90">
        <f>'Comps Data'!H8</f>
        <v>4499316</v>
      </c>
      <c r="M11" s="90">
        <f>'Comps Data'!J8+'Comps Data'!I8</f>
        <v>683889</v>
      </c>
      <c r="N11" s="90">
        <f>'Comps Data'!G8</f>
        <v>240925</v>
      </c>
      <c r="P11" s="93">
        <f>J11/L11</f>
        <v>1.2108238229988737</v>
      </c>
      <c r="Q11" s="93">
        <f>J11/M11</f>
        <v>7.9660281127492913</v>
      </c>
      <c r="R11" s="93">
        <f>G11/N11</f>
        <v>11.258507834388295</v>
      </c>
    </row>
    <row r="12" spans="2:18" x14ac:dyDescent="0.25">
      <c r="B12" t="str">
        <f>'Comps Data'!B9</f>
        <v>Religare Enterp.</v>
      </c>
      <c r="E12" s="90">
        <f>'Comps Data'!C9</f>
        <v>248.73</v>
      </c>
      <c r="F12" s="90">
        <f>'Comps Data'!D9</f>
        <v>3307</v>
      </c>
      <c r="G12" s="16">
        <f t="shared" ref="G12:G16" si="0">F12*E12</f>
        <v>822550.11</v>
      </c>
      <c r="H12" s="90">
        <f>'Comps Data'!E9</f>
        <v>23343</v>
      </c>
      <c r="I12" s="90">
        <f>'Comps Data'!F9</f>
        <v>108674</v>
      </c>
      <c r="J12" s="16">
        <f t="shared" ref="J12:J16" si="1">G12+H12-I12</f>
        <v>737219.11</v>
      </c>
      <c r="L12" s="90">
        <f>'Comps Data'!H9</f>
        <v>735424</v>
      </c>
      <c r="M12" s="90">
        <f>'Comps Data'!J9+'Comps Data'!I9</f>
        <v>34244</v>
      </c>
      <c r="N12" s="90">
        <f>'Comps Data'!G9</f>
        <v>18332</v>
      </c>
      <c r="P12" s="93">
        <f t="shared" ref="P12:P16" si="2">J12/L12</f>
        <v>1.0024409184361673</v>
      </c>
      <c r="Q12" s="93">
        <f t="shared" ref="Q12:Q16" si="3">J12/M12</f>
        <v>21.528416948954561</v>
      </c>
      <c r="R12" s="93">
        <f t="shared" ref="R12:R16" si="4">G12/N12</f>
        <v>44.869632882391443</v>
      </c>
    </row>
    <row r="13" spans="2:18" x14ac:dyDescent="0.25">
      <c r="B13" t="str">
        <f>'Comps Data'!B10</f>
        <v>Elcid Investment</v>
      </c>
      <c r="E13" s="90">
        <f>'Comps Data'!C10</f>
        <v>132296.75</v>
      </c>
      <c r="F13" s="90">
        <f>'Comps Data'!D10</f>
        <v>2</v>
      </c>
      <c r="G13" s="16">
        <f t="shared" si="0"/>
        <v>264593.5</v>
      </c>
      <c r="H13" s="90">
        <f>'Comps Data'!E10</f>
        <v>0</v>
      </c>
      <c r="I13" s="90">
        <f>'Comps Data'!F10</f>
        <v>233</v>
      </c>
      <c r="J13" s="16">
        <f t="shared" si="1"/>
        <v>264360.5</v>
      </c>
      <c r="L13" s="90">
        <f>'Comps Data'!H10</f>
        <v>21114</v>
      </c>
      <c r="M13" s="90">
        <f>'Comps Data'!J10+'Comps Data'!I10</f>
        <v>20715</v>
      </c>
      <c r="N13" s="90">
        <f>'Comps Data'!G10</f>
        <v>15300</v>
      </c>
      <c r="P13" s="93">
        <f t="shared" si="2"/>
        <v>12.520626124846073</v>
      </c>
      <c r="Q13" s="93">
        <f t="shared" si="3"/>
        <v>12.761790972725079</v>
      </c>
      <c r="R13" s="93">
        <f t="shared" si="4"/>
        <v>17.293692810457518</v>
      </c>
    </row>
    <row r="14" spans="2:18" x14ac:dyDescent="0.25">
      <c r="B14" t="str">
        <f>'Comps Data'!B11</f>
        <v>Summit Securitie</v>
      </c>
      <c r="E14" s="90">
        <f>'Comps Data'!C11</f>
        <v>2178.91</v>
      </c>
      <c r="F14" s="90">
        <f>'Comps Data'!D11</f>
        <v>109.00000000000001</v>
      </c>
      <c r="G14" s="16">
        <f t="shared" si="0"/>
        <v>237501.19</v>
      </c>
      <c r="H14" s="90">
        <f>'Comps Data'!E11</f>
        <v>0</v>
      </c>
      <c r="I14" s="90">
        <f>'Comps Data'!F11</f>
        <v>303</v>
      </c>
      <c r="J14" s="16">
        <f t="shared" si="1"/>
        <v>237198.19</v>
      </c>
      <c r="L14" s="90">
        <f>'Comps Data'!H11</f>
        <v>11903</v>
      </c>
      <c r="M14" s="90">
        <f>'Comps Data'!J11+'Comps Data'!I11</f>
        <v>11432</v>
      </c>
      <c r="N14" s="90">
        <f>'Comps Data'!G11</f>
        <v>6859.9999999999991</v>
      </c>
      <c r="P14" s="93">
        <f t="shared" si="2"/>
        <v>19.927597244392171</v>
      </c>
      <c r="Q14" s="93">
        <f t="shared" si="3"/>
        <v>20.748617039888035</v>
      </c>
      <c r="R14" s="93">
        <f t="shared" si="4"/>
        <v>34.621164723032074</v>
      </c>
    </row>
    <row r="15" spans="2:18" x14ac:dyDescent="0.25">
      <c r="B15" t="str">
        <f>'Comps Data'!B12</f>
        <v>Kalyani Invest.</v>
      </c>
      <c r="E15" s="90">
        <f>'Comps Data'!C12</f>
        <v>5018</v>
      </c>
      <c r="F15" s="90">
        <f>'Comps Data'!D12</f>
        <v>44</v>
      </c>
      <c r="G15" s="16">
        <f t="shared" si="0"/>
        <v>220792</v>
      </c>
      <c r="H15" s="90">
        <f>'Comps Data'!E12</f>
        <v>0</v>
      </c>
      <c r="I15" s="90">
        <f>'Comps Data'!F12</f>
        <v>24650</v>
      </c>
      <c r="J15" s="16">
        <f t="shared" si="1"/>
        <v>196142</v>
      </c>
      <c r="L15" s="90">
        <f>'Comps Data'!H12</f>
        <v>7822</v>
      </c>
      <c r="M15" s="90">
        <f>'Comps Data'!J12+'Comps Data'!I12</f>
        <v>9758</v>
      </c>
      <c r="N15" s="90">
        <f>'Comps Data'!G12</f>
        <v>7154.0000000000009</v>
      </c>
      <c r="P15" s="93">
        <f t="shared" si="2"/>
        <v>25.075683968294555</v>
      </c>
      <c r="Q15" s="93">
        <f t="shared" si="3"/>
        <v>20.100635376101661</v>
      </c>
      <c r="R15" s="93">
        <f t="shared" si="4"/>
        <v>30.862734134749786</v>
      </c>
    </row>
    <row r="16" spans="2:18" x14ac:dyDescent="0.25">
      <c r="B16" t="str">
        <f>'Comps Data'!B13</f>
        <v>PNB Gilts</v>
      </c>
      <c r="E16" s="90">
        <f>'Comps Data'!C13</f>
        <v>102.38</v>
      </c>
      <c r="F16" s="90">
        <f>'Comps Data'!D13</f>
        <v>1800</v>
      </c>
      <c r="G16" s="16">
        <f t="shared" si="0"/>
        <v>184284</v>
      </c>
      <c r="H16" s="90">
        <f>'Comps Data'!E13</f>
        <v>2238401</v>
      </c>
      <c r="I16" s="90">
        <f>'Comps Data'!F13</f>
        <v>26370</v>
      </c>
      <c r="J16" s="16">
        <f t="shared" si="1"/>
        <v>2396315</v>
      </c>
      <c r="L16" s="90">
        <f>'Comps Data'!H13</f>
        <v>167616</v>
      </c>
      <c r="M16" s="90">
        <f>'Comps Data'!J13+'Comps Data'!I13</f>
        <v>162459</v>
      </c>
      <c r="N16" s="90">
        <f>'Comps Data'!G13</f>
        <v>23303</v>
      </c>
      <c r="P16" s="93">
        <f t="shared" si="2"/>
        <v>14.296457378770523</v>
      </c>
      <c r="Q16" s="93">
        <f t="shared" si="3"/>
        <v>14.750275454114577</v>
      </c>
      <c r="R16" s="93">
        <f t="shared" si="4"/>
        <v>7.9081663305153844</v>
      </c>
    </row>
    <row r="19" spans="2:18" x14ac:dyDescent="0.25">
      <c r="B19" s="113" t="s">
        <v>182</v>
      </c>
      <c r="C19" s="114"/>
      <c r="D19" s="114"/>
      <c r="E19" s="114"/>
      <c r="F19" s="114"/>
      <c r="G19" s="114"/>
      <c r="H19" s="114"/>
      <c r="I19" s="114"/>
      <c r="J19" s="114"/>
      <c r="K19" s="114"/>
      <c r="L19" s="114"/>
      <c r="M19" s="114"/>
      <c r="N19" s="114"/>
      <c r="O19" s="114"/>
      <c r="P19" s="115">
        <f>MAX(P11:P16)</f>
        <v>25.075683968294555</v>
      </c>
      <c r="Q19" s="115">
        <f>MAX(Q11:Q16)</f>
        <v>21.528416948954561</v>
      </c>
      <c r="R19" s="115">
        <f>MAX(R11:R16)</f>
        <v>44.869632882391443</v>
      </c>
    </row>
    <row r="20" spans="2:18" x14ac:dyDescent="0.25">
      <c r="B20" s="113" t="s">
        <v>183</v>
      </c>
      <c r="C20" s="114"/>
      <c r="D20" s="114"/>
      <c r="E20" s="114"/>
      <c r="F20" s="114"/>
      <c r="G20" s="114"/>
      <c r="H20" s="114"/>
      <c r="I20" s="114"/>
      <c r="J20" s="114"/>
      <c r="K20" s="114"/>
      <c r="L20" s="114"/>
      <c r="M20" s="114"/>
      <c r="N20" s="114"/>
      <c r="O20" s="114"/>
      <c r="P20" s="115">
        <f>_xlfn.QUARTILE.EXC(P11:P16,3)</f>
        <v>21.214618925367766</v>
      </c>
      <c r="Q20" s="115">
        <f>_xlfn.QUARTILE.EXC(Q11:Q16,3)</f>
        <v>20.943567017154667</v>
      </c>
      <c r="R20" s="115">
        <f>_xlfn.QUARTILE.EXC(R11:R16,3)</f>
        <v>37.183281762871914</v>
      </c>
    </row>
    <row r="21" spans="2:18" x14ac:dyDescent="0.25">
      <c r="B21" s="221" t="s">
        <v>184</v>
      </c>
      <c r="C21" s="221"/>
      <c r="D21" s="221"/>
      <c r="E21" s="221"/>
      <c r="F21" s="221"/>
      <c r="G21" s="221"/>
      <c r="H21" s="221"/>
      <c r="I21" s="221"/>
      <c r="J21" s="221"/>
      <c r="K21" s="221"/>
      <c r="L21" s="221"/>
      <c r="M21" s="221"/>
      <c r="N21" s="221"/>
      <c r="O21" s="221"/>
      <c r="P21" s="222">
        <f>AVERAGE(P11:P16)</f>
        <v>12.338938242956395</v>
      </c>
      <c r="Q21" s="222">
        <f>AVERAGE(Q11:Q16)</f>
        <v>16.309293984088868</v>
      </c>
      <c r="R21" s="222">
        <f>AVERAGE(R11:R16)</f>
        <v>24.46898311925575</v>
      </c>
    </row>
    <row r="22" spans="2:18" x14ac:dyDescent="0.25">
      <c r="B22" s="221" t="s">
        <v>185</v>
      </c>
      <c r="C22" s="221"/>
      <c r="D22" s="221"/>
      <c r="E22" s="221"/>
      <c r="F22" s="221"/>
      <c r="G22" s="221"/>
      <c r="H22" s="221"/>
      <c r="I22" s="221"/>
      <c r="J22" s="221"/>
      <c r="K22" s="221"/>
      <c r="L22" s="221"/>
      <c r="M22" s="221"/>
      <c r="N22" s="221"/>
      <c r="O22" s="221"/>
      <c r="P22" s="222">
        <f>MEDIAN(P11:P16)</f>
        <v>13.408541751808297</v>
      </c>
      <c r="Q22" s="222">
        <f>MEDIAN(Q11:Q16)</f>
        <v>17.425455415108118</v>
      </c>
      <c r="R22" s="222">
        <f>MEDIAN(R11:R16)</f>
        <v>24.07821347260365</v>
      </c>
    </row>
    <row r="23" spans="2:18" x14ac:dyDescent="0.25">
      <c r="B23" s="113" t="s">
        <v>186</v>
      </c>
      <c r="C23" s="114"/>
      <c r="D23" s="114"/>
      <c r="E23" s="114"/>
      <c r="F23" s="114"/>
      <c r="G23" s="114"/>
      <c r="H23" s="114"/>
      <c r="I23" s="114"/>
      <c r="J23" s="114"/>
      <c r="K23" s="114"/>
      <c r="L23" s="114"/>
      <c r="M23" s="114"/>
      <c r="N23" s="114"/>
      <c r="O23" s="114"/>
      <c r="P23" s="115">
        <f>_xlfn.QUARTILE.EXC(P11:P16,1)</f>
        <v>1.158728096858197</v>
      </c>
      <c r="Q23" s="115">
        <f>_xlfn.QUARTILE.EXC(Q11:Q16,1)</f>
        <v>11.562850257731132</v>
      </c>
      <c r="R23" s="115">
        <f>_xlfn.QUARTILE.EXC(R11:R16,1)</f>
        <v>10.420922458420067</v>
      </c>
    </row>
    <row r="24" spans="2:18" x14ac:dyDescent="0.25">
      <c r="B24" s="113" t="s">
        <v>187</v>
      </c>
      <c r="C24" s="114"/>
      <c r="D24" s="114"/>
      <c r="E24" s="114"/>
      <c r="F24" s="114"/>
      <c r="G24" s="114"/>
      <c r="H24" s="114"/>
      <c r="I24" s="114"/>
      <c r="J24" s="114"/>
      <c r="K24" s="114"/>
      <c r="L24" s="114"/>
      <c r="M24" s="114"/>
      <c r="N24" s="114"/>
      <c r="O24" s="114"/>
      <c r="P24" s="115">
        <f>MIN(P11:P16)</f>
        <v>1.0024409184361673</v>
      </c>
      <c r="Q24" s="115">
        <f>MIN(Q11:Q16)</f>
        <v>7.9660281127492913</v>
      </c>
      <c r="R24" s="115">
        <f>MIN(R11:R16)</f>
        <v>7.9081663305153844</v>
      </c>
    </row>
    <row r="26" spans="2:18" x14ac:dyDescent="0.25">
      <c r="B26" s="85" t="str">
        <f>'Comps Data'!B15</f>
        <v>Vardhman Hold.</v>
      </c>
      <c r="C26" s="85"/>
      <c r="D26" s="85"/>
      <c r="E26" s="95">
        <f>'Comps Data'!C15</f>
        <v>3810</v>
      </c>
      <c r="F26" s="95">
        <f>'Comps Data'!D15</f>
        <v>31.9</v>
      </c>
      <c r="G26" s="96">
        <f t="shared" ref="G26" si="5">F26*E26</f>
        <v>121539</v>
      </c>
      <c r="H26" s="97">
        <f>'Comps Data'!E15</f>
        <v>0</v>
      </c>
      <c r="I26" s="97">
        <f>'Comps Data'!F15</f>
        <v>152</v>
      </c>
      <c r="J26" s="96">
        <f t="shared" ref="J26" si="6">G26+H26-I26</f>
        <v>121387</v>
      </c>
      <c r="K26" s="96"/>
      <c r="L26" s="95">
        <f>'Comps Data'!H15</f>
        <v>2277</v>
      </c>
      <c r="M26" s="97">
        <f>'Comps Data'!I15+'Comps Data'!J15</f>
        <v>27298.000000000004</v>
      </c>
      <c r="N26" s="95">
        <f>'Comps Data'!G15</f>
        <v>25800</v>
      </c>
      <c r="O26" s="85"/>
      <c r="P26" s="98">
        <f t="shared" ref="P26" si="7">J26/L26</f>
        <v>53.310057092665787</v>
      </c>
      <c r="Q26" s="98">
        <f t="shared" ref="Q26" si="8">J26/M26</f>
        <v>4.4467360246171879</v>
      </c>
      <c r="R26" s="98">
        <f t="shared" ref="R26" si="9">G26/N26</f>
        <v>4.7108139534883717</v>
      </c>
    </row>
    <row r="29" spans="2:18" x14ac:dyDescent="0.25">
      <c r="B29" s="223" t="s">
        <v>188</v>
      </c>
      <c r="C29" s="223"/>
      <c r="D29" s="223"/>
      <c r="E29" s="223" t="s">
        <v>189</v>
      </c>
      <c r="F29" s="223" t="s">
        <v>193</v>
      </c>
      <c r="G29" s="223" t="s">
        <v>194</v>
      </c>
      <c r="H29" s="223" t="s">
        <v>195</v>
      </c>
      <c r="I29" s="223" t="s">
        <v>196</v>
      </c>
      <c r="J29" s="223" t="s">
        <v>190</v>
      </c>
      <c r="L29" s="223" t="s">
        <v>191</v>
      </c>
    </row>
    <row r="30" spans="2:18" x14ac:dyDescent="0.25">
      <c r="B30" s="107" t="s">
        <v>192</v>
      </c>
      <c r="C30" s="107"/>
      <c r="D30" s="107"/>
      <c r="E30" s="108">
        <f>P22</f>
        <v>13.408541751808297</v>
      </c>
      <c r="F30" s="109">
        <f>E30*L26</f>
        <v>30531.249568867494</v>
      </c>
      <c r="G30" s="109">
        <f>$H$26-$I$26</f>
        <v>-152</v>
      </c>
      <c r="H30" s="109">
        <f>F30-G30</f>
        <v>30683.249568867494</v>
      </c>
      <c r="I30" s="110">
        <f>$F$26</f>
        <v>31.9</v>
      </c>
      <c r="J30" s="109">
        <f>H30/I30</f>
        <v>961.85735325603434</v>
      </c>
      <c r="L30" s="234" t="str">
        <f>IF(J30&gt;$E$26,"Undervalued","Overvalued")</f>
        <v>Overvalued</v>
      </c>
    </row>
    <row r="31" spans="2:18" x14ac:dyDescent="0.25">
      <c r="B31" s="99" t="s">
        <v>177</v>
      </c>
      <c r="C31" s="99"/>
      <c r="D31" s="99"/>
      <c r="E31" s="94">
        <f>Q22</f>
        <v>17.425455415108118</v>
      </c>
      <c r="F31" s="100">
        <f>E31*M26</f>
        <v>475680.08192162146</v>
      </c>
      <c r="G31" s="100">
        <f t="shared" ref="G31:G32" si="10">$H$26-$I$26</f>
        <v>-152</v>
      </c>
      <c r="H31" s="100">
        <f t="shared" ref="H31" si="11">F31-G31</f>
        <v>475832.08192162146</v>
      </c>
      <c r="I31" s="101">
        <f t="shared" ref="I31:I32" si="12">$F$26</f>
        <v>31.9</v>
      </c>
      <c r="J31" s="100">
        <f t="shared" ref="J31:J32" si="13">H31/I31</f>
        <v>14916.366204439544</v>
      </c>
      <c r="L31" s="233" t="str">
        <f t="shared" ref="L31:L32" si="14">IF(J31&gt;$E$26,"Undervalued","Overvalued")</f>
        <v>Undervalued</v>
      </c>
    </row>
    <row r="32" spans="2:18" x14ac:dyDescent="0.25">
      <c r="B32" s="99" t="s">
        <v>155</v>
      </c>
      <c r="C32" s="99"/>
      <c r="D32" s="99"/>
      <c r="E32" s="94">
        <f>R22</f>
        <v>24.07821347260365</v>
      </c>
      <c r="F32" s="100">
        <f>H32+G32</f>
        <v>621065.90759317414</v>
      </c>
      <c r="G32" s="100">
        <f t="shared" si="10"/>
        <v>-152</v>
      </c>
      <c r="H32" s="100">
        <f>E32*N26</f>
        <v>621217.90759317414</v>
      </c>
      <c r="I32" s="101">
        <f t="shared" si="12"/>
        <v>31.9</v>
      </c>
      <c r="J32" s="100">
        <f t="shared" si="13"/>
        <v>19473.915598532105</v>
      </c>
      <c r="L32" s="233" t="str">
        <f t="shared" si="14"/>
        <v>Undervalued</v>
      </c>
    </row>
    <row r="33" spans="2:12" x14ac:dyDescent="0.25">
      <c r="B33" s="102"/>
      <c r="C33" s="102"/>
      <c r="D33" s="102"/>
      <c r="E33" s="103"/>
      <c r="F33" s="104"/>
      <c r="G33" s="104"/>
      <c r="H33" s="104"/>
      <c r="I33" s="105"/>
      <c r="J33" s="104"/>
      <c r="K33" s="102"/>
      <c r="L33" s="106"/>
    </row>
    <row r="35" spans="2:12" x14ac:dyDescent="0.25">
      <c r="B35" s="223" t="s">
        <v>188</v>
      </c>
      <c r="C35" s="223"/>
      <c r="D35" s="223"/>
      <c r="E35" s="223" t="s">
        <v>189</v>
      </c>
      <c r="F35" s="223" t="s">
        <v>193</v>
      </c>
      <c r="G35" s="223" t="s">
        <v>194</v>
      </c>
      <c r="H35" s="223" t="s">
        <v>195</v>
      </c>
      <c r="I35" s="223" t="s">
        <v>196</v>
      </c>
      <c r="J35" s="223" t="s">
        <v>190</v>
      </c>
      <c r="L35" s="223" t="s">
        <v>191</v>
      </c>
    </row>
    <row r="36" spans="2:12" x14ac:dyDescent="0.25">
      <c r="B36" s="111" t="s">
        <v>192</v>
      </c>
      <c r="C36" s="111"/>
      <c r="D36" s="111"/>
      <c r="E36" s="112">
        <f>P21</f>
        <v>12.338938242956395</v>
      </c>
      <c r="F36" s="109">
        <f>E36*L26</f>
        <v>28095.762379211712</v>
      </c>
      <c r="G36" s="109">
        <f>$H$26-$I$26</f>
        <v>-152</v>
      </c>
      <c r="H36" s="109">
        <f>F36-G36</f>
        <v>28247.762379211712</v>
      </c>
      <c r="I36" s="111">
        <f>$F$26</f>
        <v>31.9</v>
      </c>
      <c r="J36" s="109">
        <f>H36/I36</f>
        <v>885.5097924517778</v>
      </c>
      <c r="L36" s="234" t="str">
        <f>IF(J36&gt;$E$26,"Undervalued","Overvalued")</f>
        <v>Overvalued</v>
      </c>
    </row>
    <row r="37" spans="2:12" x14ac:dyDescent="0.25">
      <c r="B37" s="99" t="s">
        <v>177</v>
      </c>
      <c r="C37" s="99"/>
      <c r="D37" s="99"/>
      <c r="E37" s="94">
        <f>Q21</f>
        <v>16.309293984088868</v>
      </c>
      <c r="F37" s="100">
        <f>E37*M26</f>
        <v>445211.10717765795</v>
      </c>
      <c r="G37" s="100">
        <f t="shared" ref="G37:G38" si="15">$H$26-$I$26</f>
        <v>-152</v>
      </c>
      <c r="H37" s="100">
        <f t="shared" ref="H37" si="16">F37-G37</f>
        <v>445363.10717765795</v>
      </c>
      <c r="I37" s="99">
        <f t="shared" ref="I37:I38" si="17">$F$26</f>
        <v>31.9</v>
      </c>
      <c r="J37" s="100">
        <f t="shared" ref="J37:J38" si="18">H37/I37</f>
        <v>13961.225930334105</v>
      </c>
      <c r="L37" s="233" t="str">
        <f t="shared" ref="L37:L38" si="19">IF(J37&gt;$E$26,"Undervalued","Overvalued")</f>
        <v>Undervalued</v>
      </c>
    </row>
    <row r="38" spans="2:12" x14ac:dyDescent="0.25">
      <c r="B38" s="99" t="s">
        <v>155</v>
      </c>
      <c r="C38" s="99"/>
      <c r="D38" s="99"/>
      <c r="E38" s="94">
        <f>R21</f>
        <v>24.46898311925575</v>
      </c>
      <c r="F38" s="100">
        <f>H38+G38</f>
        <v>631147.76447679836</v>
      </c>
      <c r="G38" s="100">
        <f t="shared" si="15"/>
        <v>-152</v>
      </c>
      <c r="H38" s="100">
        <f>E38*N26</f>
        <v>631299.76447679836</v>
      </c>
      <c r="I38" s="99">
        <f t="shared" si="17"/>
        <v>31.9</v>
      </c>
      <c r="J38" s="100">
        <f t="shared" si="18"/>
        <v>19789.961268865154</v>
      </c>
      <c r="L38" s="233" t="str">
        <f t="shared" si="19"/>
        <v>Undervalued</v>
      </c>
    </row>
  </sheetData>
  <mergeCells count="5">
    <mergeCell ref="B6:R6"/>
    <mergeCell ref="B8:C8"/>
    <mergeCell ref="E8:J8"/>
    <mergeCell ref="L8:N8"/>
    <mergeCell ref="P8:R8"/>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XFD43"/>
  <sheetViews>
    <sheetView showGridLines="0" tabSelected="1" topLeftCell="A26" workbookViewId="0">
      <selection activeCell="E46" sqref="E46"/>
    </sheetView>
  </sheetViews>
  <sheetFormatPr defaultRowHeight="15" x14ac:dyDescent="0.25"/>
  <cols>
    <col min="1" max="1" width="1.85546875" customWidth="1"/>
    <col min="2" max="2" width="31.5703125" bestFit="1" customWidth="1"/>
    <col min="3" max="3" width="10.28515625" bestFit="1" customWidth="1"/>
    <col min="4" max="4" width="8.85546875" bestFit="1" customWidth="1"/>
    <col min="5" max="5" width="27.5703125" bestFit="1" customWidth="1"/>
    <col min="6" max="6" width="12.28515625" bestFit="1" customWidth="1"/>
    <col min="7" max="7" width="10.7109375" bestFit="1" customWidth="1"/>
    <col min="8" max="17" width="11.140625" bestFit="1" customWidth="1"/>
    <col min="18" max="18" width="13.42578125" bestFit="1" customWidth="1"/>
  </cols>
  <sheetData>
    <row r="6" spans="2:18" x14ac:dyDescent="0.25">
      <c r="B6" s="235" t="s">
        <v>279</v>
      </c>
    </row>
    <row r="7" spans="2:18" x14ac:dyDescent="0.25">
      <c r="B7" s="11" t="s">
        <v>0</v>
      </c>
      <c r="C7" s="13">
        <v>2021</v>
      </c>
      <c r="D7" s="13">
        <f>C7+1</f>
        <v>2022</v>
      </c>
      <c r="E7" s="13">
        <f t="shared" ref="E7:Q7" si="0">D7+1</f>
        <v>2023</v>
      </c>
      <c r="F7" s="13">
        <f t="shared" si="0"/>
        <v>2024</v>
      </c>
      <c r="G7" s="13">
        <f t="shared" si="0"/>
        <v>2025</v>
      </c>
      <c r="H7" s="14">
        <f t="shared" si="0"/>
        <v>2026</v>
      </c>
      <c r="I7" s="14">
        <f t="shared" si="0"/>
        <v>2027</v>
      </c>
      <c r="J7" s="14">
        <f t="shared" si="0"/>
        <v>2028</v>
      </c>
      <c r="K7" s="14">
        <f t="shared" si="0"/>
        <v>2029</v>
      </c>
      <c r="L7" s="14">
        <f t="shared" si="0"/>
        <v>2030</v>
      </c>
      <c r="M7" s="14">
        <f t="shared" si="0"/>
        <v>2031</v>
      </c>
      <c r="N7" s="14">
        <f t="shared" si="0"/>
        <v>2032</v>
      </c>
      <c r="O7" s="14">
        <f t="shared" si="0"/>
        <v>2033</v>
      </c>
      <c r="P7" s="14">
        <f t="shared" si="0"/>
        <v>2034</v>
      </c>
      <c r="Q7" s="14">
        <f t="shared" si="0"/>
        <v>2035</v>
      </c>
      <c r="R7" s="192"/>
    </row>
    <row r="8" spans="2:18" x14ac:dyDescent="0.25">
      <c r="B8" s="148"/>
      <c r="C8" s="149" t="s">
        <v>243</v>
      </c>
      <c r="D8" s="149" t="s">
        <v>243</v>
      </c>
      <c r="E8" s="149" t="s">
        <v>243</v>
      </c>
      <c r="F8" s="149" t="s">
        <v>243</v>
      </c>
      <c r="G8" s="149" t="s">
        <v>243</v>
      </c>
      <c r="H8" s="149" t="s">
        <v>244</v>
      </c>
      <c r="I8" s="149" t="s">
        <v>244</v>
      </c>
      <c r="J8" s="149" t="s">
        <v>244</v>
      </c>
      <c r="K8" s="149" t="s">
        <v>244</v>
      </c>
      <c r="L8" s="149" t="s">
        <v>244</v>
      </c>
      <c r="M8" s="149" t="s">
        <v>244</v>
      </c>
      <c r="N8" s="149" t="s">
        <v>244</v>
      </c>
      <c r="O8" s="149" t="s">
        <v>244</v>
      </c>
      <c r="P8" s="149" t="s">
        <v>244</v>
      </c>
      <c r="Q8" s="149" t="s">
        <v>244</v>
      </c>
      <c r="R8" s="192"/>
    </row>
    <row r="9" spans="2:18" x14ac:dyDescent="0.25">
      <c r="B9" s="185"/>
      <c r="C9" s="185"/>
      <c r="D9" s="185"/>
      <c r="E9" s="185"/>
      <c r="F9" s="185"/>
      <c r="G9" s="185" t="s">
        <v>245</v>
      </c>
      <c r="H9" s="185"/>
      <c r="I9" s="185"/>
      <c r="J9" s="185"/>
      <c r="K9" s="185"/>
      <c r="L9" s="185"/>
      <c r="M9" s="185"/>
      <c r="N9" s="185"/>
      <c r="O9" s="185"/>
      <c r="P9" s="185"/>
      <c r="Q9" s="185"/>
      <c r="R9" s="186" t="s">
        <v>246</v>
      </c>
    </row>
    <row r="10" spans="2:18" x14ac:dyDescent="0.25">
      <c r="B10" s="187" t="s">
        <v>247</v>
      </c>
      <c r="C10" s="187"/>
      <c r="D10" s="187"/>
      <c r="E10" s="187"/>
      <c r="F10" s="187"/>
      <c r="G10" s="188">
        <f>Assumptions!C11</f>
        <v>45922</v>
      </c>
      <c r="H10" s="189">
        <f>DATE(YEAR(Assumptions!$C$12)+DCF!H11,MONTH(Assumptions!$C$12),DAY(Assumptions!$C$12))</f>
        <v>46112</v>
      </c>
      <c r="I10" s="189">
        <f>DATE(YEAR(Assumptions!$C$12)+DCF!I11,MONTH(Assumptions!$C$12),DAY(Assumptions!$C$12))</f>
        <v>46477</v>
      </c>
      <c r="J10" s="189">
        <f>DATE(YEAR(Assumptions!$C$12)+DCF!J11,MONTH(Assumptions!$C$12),DAY(Assumptions!$C$12))</f>
        <v>46843</v>
      </c>
      <c r="K10" s="189">
        <f>DATE(YEAR(Assumptions!$C$12)+DCF!K11,MONTH(Assumptions!$C$12),DAY(Assumptions!$C$12))</f>
        <v>47208</v>
      </c>
      <c r="L10" s="189">
        <f>DATE(YEAR(Assumptions!$C$12)+DCF!L11,MONTH(Assumptions!$C$12),DAY(Assumptions!$C$12))</f>
        <v>47573</v>
      </c>
      <c r="M10" s="189">
        <f>DATE(YEAR(Assumptions!$C$12)+DCF!M11,MONTH(Assumptions!$C$12),DAY(Assumptions!$C$12))</f>
        <v>47938</v>
      </c>
      <c r="N10" s="189">
        <f>DATE(YEAR(Assumptions!$C$12)+DCF!N11,MONTH(Assumptions!$C$12),DAY(Assumptions!$C$12))</f>
        <v>48304</v>
      </c>
      <c r="O10" s="189">
        <f>DATE(YEAR(Assumptions!$C$12)+DCF!O11,MONTH(Assumptions!$C$12),DAY(Assumptions!$C$12))</f>
        <v>48669</v>
      </c>
      <c r="P10" s="189">
        <f>DATE(YEAR(Assumptions!$C$12)+DCF!P11,MONTH(Assumptions!$C$12),DAY(Assumptions!$C$12))</f>
        <v>49034</v>
      </c>
      <c r="Q10" s="189">
        <f>DATE(YEAR(Assumptions!$C$12)+DCF!Q11,MONTH(Assumptions!$C$12),DAY(Assumptions!$C$12))</f>
        <v>49399</v>
      </c>
      <c r="R10" s="189">
        <f>Q10</f>
        <v>49399</v>
      </c>
    </row>
    <row r="11" spans="2:18" x14ac:dyDescent="0.25">
      <c r="B11" s="187" t="s">
        <v>248</v>
      </c>
      <c r="C11" s="187"/>
      <c r="D11" s="187"/>
      <c r="E11" s="187"/>
      <c r="F11" s="187"/>
      <c r="G11" s="187"/>
      <c r="H11" s="187">
        <v>0</v>
      </c>
      <c r="I11" s="187">
        <v>1</v>
      </c>
      <c r="J11" s="187">
        <v>2</v>
      </c>
      <c r="K11" s="187">
        <v>3</v>
      </c>
      <c r="L11" s="187">
        <v>4</v>
      </c>
      <c r="M11" s="187">
        <v>5</v>
      </c>
      <c r="N11" s="187">
        <v>6</v>
      </c>
      <c r="O11" s="187">
        <v>7</v>
      </c>
      <c r="P11" s="187">
        <v>8</v>
      </c>
      <c r="Q11" s="187">
        <v>9</v>
      </c>
      <c r="R11" s="187"/>
    </row>
    <row r="12" spans="2:18" x14ac:dyDescent="0.25">
      <c r="B12" s="190" t="s">
        <v>249</v>
      </c>
      <c r="C12" s="190">
        <v>0</v>
      </c>
      <c r="D12" s="190">
        <v>0</v>
      </c>
      <c r="E12" s="190">
        <v>0</v>
      </c>
      <c r="F12" s="190">
        <v>0</v>
      </c>
      <c r="G12" s="190">
        <v>0</v>
      </c>
      <c r="H12" s="191">
        <f>YEARFRAC(G10,H10)</f>
        <v>0.52500000000000002</v>
      </c>
      <c r="I12" s="190">
        <f t="shared" ref="I12:Q12" si="1">YEARFRAC(H10,I10)</f>
        <v>1</v>
      </c>
      <c r="J12" s="190">
        <f t="shared" si="1"/>
        <v>1</v>
      </c>
      <c r="K12" s="190">
        <f t="shared" si="1"/>
        <v>1</v>
      </c>
      <c r="L12" s="190">
        <f t="shared" si="1"/>
        <v>1</v>
      </c>
      <c r="M12" s="190">
        <f t="shared" si="1"/>
        <v>1</v>
      </c>
      <c r="N12" s="190">
        <f t="shared" si="1"/>
        <v>1</v>
      </c>
      <c r="O12" s="190">
        <f t="shared" si="1"/>
        <v>1</v>
      </c>
      <c r="P12" s="190">
        <f t="shared" si="1"/>
        <v>1</v>
      </c>
      <c r="Q12" s="190">
        <f t="shared" si="1"/>
        <v>1</v>
      </c>
      <c r="R12" s="190">
        <v>1</v>
      </c>
    </row>
    <row r="13" spans="2:18" x14ac:dyDescent="0.25">
      <c r="B13" s="1" t="s">
        <v>250</v>
      </c>
      <c r="C13" s="15">
        <f>'Income Statement'!C24</f>
        <v>1750.6</v>
      </c>
      <c r="D13" s="15">
        <f>'Income Statement'!D24</f>
        <v>3000.74</v>
      </c>
      <c r="E13" s="15">
        <f>'Income Statement'!E24</f>
        <v>150.78999999999994</v>
      </c>
      <c r="F13" s="15">
        <f>'Income Statement'!F24</f>
        <v>1055.48</v>
      </c>
      <c r="G13" s="15">
        <f>'Income Statement'!G24</f>
        <v>1658.6499999999999</v>
      </c>
      <c r="H13" s="15">
        <f>'Income Statement'!H24</f>
        <v>2346.2000777338885</v>
      </c>
      <c r="I13" s="15">
        <f>'Income Statement'!I24</f>
        <v>3243.4062644181463</v>
      </c>
      <c r="J13" s="15">
        <f>'Income Statement'!J24</f>
        <v>4235.5074649570388</v>
      </c>
      <c r="K13" s="15">
        <f>'Income Statement'!K24</f>
        <v>5271.3975755993515</v>
      </c>
      <c r="L13" s="15">
        <f>'Income Statement'!L24</f>
        <v>6303.2993888091178</v>
      </c>
      <c r="M13" s="15">
        <f>'Income Statement'!M24</f>
        <v>7290.3686109424443</v>
      </c>
      <c r="N13" s="15">
        <f>'Income Statement'!N24</f>
        <v>8203.1823538332646</v>
      </c>
      <c r="O13" s="15">
        <f>'Income Statement'!O24</f>
        <v>9025.3170489622735</v>
      </c>
      <c r="P13" s="15">
        <f>'Income Statement'!P24</f>
        <v>9748.9247830389613</v>
      </c>
      <c r="Q13" s="15">
        <f>'Income Statement'!Q24</f>
        <v>10373.757693559826</v>
      </c>
      <c r="R13" s="16"/>
    </row>
    <row r="14" spans="2:18" x14ac:dyDescent="0.25">
      <c r="B14" t="s">
        <v>251</v>
      </c>
      <c r="C14" s="16">
        <f>C13*Cost_BuildUp!C19</f>
        <v>48.659353237602865</v>
      </c>
      <c r="D14" s="16">
        <f>D13*Cost_BuildUp!D19</f>
        <v>198.49229031112287</v>
      </c>
      <c r="E14" s="16">
        <f>E13*Cost_BuildUp!E19</f>
        <v>-2.354222878255031</v>
      </c>
      <c r="F14" s="16">
        <f>F13*Cost_BuildUp!F19</f>
        <v>50.859042608069807</v>
      </c>
      <c r="G14" s="16">
        <f>G13*Cost_BuildUp!G19</f>
        <v>90.962257673718966</v>
      </c>
      <c r="H14" s="16">
        <f>H13*Cost_BuildUp!H19</f>
        <v>140.39928846929493</v>
      </c>
      <c r="I14" s="16">
        <f>I13*Cost_BuildUp!I19</f>
        <v>194.08912993515418</v>
      </c>
      <c r="J14" s="16">
        <f>J13*Cost_BuildUp!J19</f>
        <v>274.63513458167324</v>
      </c>
      <c r="K14" s="16">
        <f>K13*Cost_BuildUp!K19</f>
        <v>341.80343077802087</v>
      </c>
      <c r="L14" s="16">
        <f>L13*Cost_BuildUp!L19</f>
        <v>440.22961816427454</v>
      </c>
      <c r="M14" s="16">
        <f>M13*Cost_BuildUp!M19</f>
        <v>509.16765838063156</v>
      </c>
      <c r="N14" s="16">
        <f>N13*Cost_BuildUp!N19</f>
        <v>613.93552300822773</v>
      </c>
      <c r="O14" s="16">
        <f>O13*Cost_BuildUp!O19</f>
        <v>675.46502122807146</v>
      </c>
      <c r="P14" s="16">
        <f>P13*Cost_BuildUp!P19</f>
        <v>778.36527322894176</v>
      </c>
      <c r="Q14" s="16">
        <f>Q13*Cost_BuildUp!Q19</f>
        <v>828.25264542060643</v>
      </c>
    </row>
    <row r="15" spans="2:18" x14ac:dyDescent="0.25">
      <c r="B15" s="4" t="s">
        <v>252</v>
      </c>
      <c r="C15" s="74">
        <f>C13-C14</f>
        <v>1701.9406467623971</v>
      </c>
      <c r="D15" s="74">
        <f t="shared" ref="D15:Q15" si="2">D13-D14</f>
        <v>2802.247709688877</v>
      </c>
      <c r="E15" s="74">
        <f t="shared" si="2"/>
        <v>153.14422287825496</v>
      </c>
      <c r="F15" s="74">
        <f t="shared" si="2"/>
        <v>1004.6209573919302</v>
      </c>
      <c r="G15" s="74">
        <f t="shared" si="2"/>
        <v>1567.6877423262808</v>
      </c>
      <c r="H15" s="74">
        <f t="shared" si="2"/>
        <v>2205.8007892645937</v>
      </c>
      <c r="I15" s="74">
        <f t="shared" si="2"/>
        <v>3049.3171344829921</v>
      </c>
      <c r="J15" s="74">
        <f t="shared" si="2"/>
        <v>3960.8723303753654</v>
      </c>
      <c r="K15" s="74">
        <f t="shared" si="2"/>
        <v>4929.5941448213307</v>
      </c>
      <c r="L15" s="74">
        <f t="shared" si="2"/>
        <v>5863.0697706448436</v>
      </c>
      <c r="M15" s="74">
        <f t="shared" si="2"/>
        <v>6781.2009525618123</v>
      </c>
      <c r="N15" s="74">
        <f t="shared" si="2"/>
        <v>7589.2468308250373</v>
      </c>
      <c r="O15" s="74">
        <f t="shared" si="2"/>
        <v>8349.8520277342013</v>
      </c>
      <c r="P15" s="74">
        <f t="shared" si="2"/>
        <v>8970.5595098100202</v>
      </c>
      <c r="Q15" s="74">
        <f t="shared" si="2"/>
        <v>9545.5050481392191</v>
      </c>
      <c r="R15" s="92"/>
    </row>
    <row r="16" spans="2:18" x14ac:dyDescent="0.25">
      <c r="B16" t="s">
        <v>253</v>
      </c>
      <c r="C16" s="16">
        <f>'Income Statement'!C22</f>
        <v>0.88</v>
      </c>
      <c r="D16" s="16">
        <f>'Income Statement'!D22</f>
        <v>0.77</v>
      </c>
      <c r="E16" s="16">
        <f>'Income Statement'!E22</f>
        <v>0.72</v>
      </c>
      <c r="F16" s="16">
        <f>'Income Statement'!F22</f>
        <v>0.72</v>
      </c>
      <c r="G16" s="16">
        <f>'Income Statement'!G22</f>
        <v>0.72</v>
      </c>
      <c r="H16" s="16">
        <f>'Income Statement'!H22</f>
        <v>1.2064297509540971</v>
      </c>
      <c r="I16" s="16">
        <f>'Income Statement'!I22</f>
        <v>1.2018634186958705</v>
      </c>
      <c r="J16" s="16">
        <f>'Income Statement'!J22</f>
        <v>1.1973143699887798</v>
      </c>
      <c r="K16" s="16">
        <f>'Income Statement'!K22</f>
        <v>1.6654841281051882</v>
      </c>
      <c r="L16" s="16">
        <f>'Income Statement'!L22</f>
        <v>1.6566820504921609</v>
      </c>
      <c r="M16" s="16">
        <f>'Income Statement'!M22</f>
        <v>1.6479264918275873</v>
      </c>
      <c r="N16" s="16">
        <f>'Income Statement'!N22</f>
        <v>2.1044636559438969</v>
      </c>
      <c r="O16" s="16">
        <f>'Income Statement'!O22</f>
        <v>2.0901848776248309</v>
      </c>
      <c r="P16" s="16">
        <f>'Income Statement'!P22</f>
        <v>2.0760029807651854</v>
      </c>
      <c r="Q16" s="16">
        <f>'Income Statement'!Q22</f>
        <v>2.5177577804380111</v>
      </c>
    </row>
    <row r="17" spans="2:16384" x14ac:dyDescent="0.25">
      <c r="B17" t="s">
        <v>254</v>
      </c>
      <c r="C17" s="16">
        <f>FSA!C11</f>
        <v>0</v>
      </c>
      <c r="D17" s="16">
        <f>FSA!D11</f>
        <v>-3.8635761256955448E-14</v>
      </c>
      <c r="E17" s="16">
        <f>FSA!E11</f>
        <v>2.9531932455029164E-14</v>
      </c>
      <c r="F17" s="16">
        <f>FSA!F11</f>
        <v>-2.7311486405778851E-14</v>
      </c>
      <c r="G17" s="16">
        <f>FSA!G11</f>
        <v>2.9531932455029164E-14</v>
      </c>
      <c r="H17" s="16">
        <f>FSA!H11</f>
        <v>-1.7294499166098375E-15</v>
      </c>
      <c r="I17" s="16">
        <f>FSA!I11</f>
        <v>7.5432608076519966E-15</v>
      </c>
      <c r="J17" s="16">
        <f>FSA!J11</f>
        <v>2.0186070562484832E-15</v>
      </c>
      <c r="K17" s="16">
        <f>FSA!K11</f>
        <v>9.3877930385828489E-15</v>
      </c>
      <c r="L17" s="16">
        <f>FSA!L11</f>
        <v>4.3265780102007144E-15</v>
      </c>
      <c r="M17" s="16">
        <f>FSA!M11</f>
        <v>5.8481550268118645E-15</v>
      </c>
      <c r="N17" s="16">
        <f>FSA!N11</f>
        <v>5.4222596993757814E-15</v>
      </c>
      <c r="O17" s="16">
        <f>FSA!O11</f>
        <v>6.2774274259615153E-15</v>
      </c>
      <c r="P17" s="16">
        <f>FSA!P11</f>
        <v>5.4959480657904055E-15</v>
      </c>
      <c r="Q17" s="16">
        <f>FSA!Q11</f>
        <v>5.7897522922573155E-15</v>
      </c>
    </row>
    <row r="18" spans="2:16384" x14ac:dyDescent="0.25">
      <c r="B18" t="s">
        <v>255</v>
      </c>
      <c r="C18" s="16">
        <v>0</v>
      </c>
      <c r="D18" s="16">
        <f>'Net Working Capital'!D43</f>
        <v>-16847.63</v>
      </c>
      <c r="E18" s="16">
        <f>'Net Working Capital'!E43</f>
        <v>15003.930000000002</v>
      </c>
      <c r="F18" s="16">
        <f>'Net Working Capital'!F43</f>
        <v>-1982.2000000000016</v>
      </c>
      <c r="G18" s="16">
        <f>'Net Working Capital'!G43</f>
        <v>-3596.6099999999997</v>
      </c>
      <c r="H18" s="16">
        <f>'Net Working Capital'!H43</f>
        <v>-338.82040927262358</v>
      </c>
      <c r="I18" s="16">
        <f>'Net Working Capital'!I43</f>
        <v>-1235.94978892169</v>
      </c>
      <c r="J18" s="16">
        <f>'Net Working Capital'!J43</f>
        <v>-1353.6776656247691</v>
      </c>
      <c r="K18" s="16">
        <f>'Net Working Capital'!K43</f>
        <v>-1417.8163665233792</v>
      </c>
      <c r="L18" s="16">
        <f>'Net Working Capital'!L43</f>
        <v>-1430.5215779360969</v>
      </c>
      <c r="M18" s="16">
        <f>'Net Working Capital'!M43</f>
        <v>-1400.9287733455483</v>
      </c>
      <c r="N18" s="16">
        <f>'Net Working Capital'!N43</f>
        <v>-1341.4787663520729</v>
      </c>
      <c r="O18" s="16">
        <f>'Net Working Capital'!O43</f>
        <v>-1264.8282011521196</v>
      </c>
      <c r="P18" s="16">
        <f>'Net Working Capital'!P43</f>
        <v>-1181.9030020192511</v>
      </c>
      <c r="Q18" s="16">
        <f>'Net Working Capital'!Q43</f>
        <v>-1101.0550058367976</v>
      </c>
    </row>
    <row r="19" spans="2:16384" ht="5.0999999999999996" customHeight="1" x14ac:dyDescent="0.25">
      <c r="C19" s="21"/>
      <c r="D19" s="21"/>
      <c r="E19" s="21"/>
      <c r="F19" s="21"/>
      <c r="G19" s="21"/>
      <c r="H19" s="21"/>
      <c r="I19" s="21"/>
      <c r="J19" s="21"/>
      <c r="K19" s="21"/>
      <c r="L19" s="21"/>
      <c r="M19" s="21"/>
      <c r="N19" s="21"/>
      <c r="O19" s="21"/>
      <c r="P19" s="21"/>
      <c r="Q19" s="21"/>
    </row>
    <row r="20" spans="2:16384" x14ac:dyDescent="0.25">
      <c r="B20" s="176" t="s">
        <v>256</v>
      </c>
      <c r="C20" s="177">
        <f>C15+C16+C17+C18</f>
        <v>1702.8206467623972</v>
      </c>
      <c r="D20" s="177">
        <f t="shared" ref="D20:Q20" si="3">D15+D16+D17+D18</f>
        <v>-14044.612290311125</v>
      </c>
      <c r="E20" s="177">
        <f t="shared" si="3"/>
        <v>15157.794222878258</v>
      </c>
      <c r="F20" s="177">
        <f t="shared" si="3"/>
        <v>-976.85904260807138</v>
      </c>
      <c r="G20" s="177">
        <f t="shared" si="3"/>
        <v>-2028.2022576737188</v>
      </c>
      <c r="H20" s="177">
        <f t="shared" si="3"/>
        <v>1868.1868097429242</v>
      </c>
      <c r="I20" s="177">
        <f t="shared" si="3"/>
        <v>1814.5692089799977</v>
      </c>
      <c r="J20" s="177">
        <f t="shared" si="3"/>
        <v>2608.3919791205853</v>
      </c>
      <c r="K20" s="177">
        <f t="shared" si="3"/>
        <v>3513.4432624260567</v>
      </c>
      <c r="L20" s="177">
        <f t="shared" si="3"/>
        <v>4434.2048747592389</v>
      </c>
      <c r="M20" s="177">
        <f t="shared" si="3"/>
        <v>5381.9201057080918</v>
      </c>
      <c r="N20" s="177">
        <f t="shared" si="3"/>
        <v>6249.872528128908</v>
      </c>
      <c r="O20" s="177">
        <f t="shared" si="3"/>
        <v>7087.1140114597065</v>
      </c>
      <c r="P20" s="177">
        <f t="shared" si="3"/>
        <v>7790.7325107715333</v>
      </c>
      <c r="Q20" s="177">
        <f t="shared" si="3"/>
        <v>8446.9678000828608</v>
      </c>
      <c r="R20" s="178">
        <f>F34</f>
        <v>139125.59335460389</v>
      </c>
    </row>
    <row r="21" spans="2:16384" ht="5.0999999999999996" customHeight="1" x14ac:dyDescent="0.25">
      <c r="B21" s="179"/>
      <c r="C21" s="180"/>
      <c r="D21" s="180"/>
      <c r="E21" s="180"/>
      <c r="F21" s="180"/>
      <c r="G21" s="180"/>
      <c r="H21" s="180"/>
      <c r="I21" s="180"/>
      <c r="J21" s="180"/>
      <c r="K21" s="180"/>
      <c r="L21" s="180"/>
      <c r="M21" s="180"/>
      <c r="N21" s="180"/>
      <c r="O21" s="180"/>
      <c r="P21" s="180"/>
      <c r="Q21" s="180"/>
      <c r="R21" s="181"/>
    </row>
    <row r="22" spans="2:16384" x14ac:dyDescent="0.25">
      <c r="B22" s="182" t="s">
        <v>257</v>
      </c>
      <c r="C22" s="183">
        <f>C20*C12</f>
        <v>0</v>
      </c>
      <c r="D22" s="183">
        <f t="shared" ref="D22:Q22" si="4">D20*D12</f>
        <v>0</v>
      </c>
      <c r="E22" s="183">
        <f t="shared" si="4"/>
        <v>0</v>
      </c>
      <c r="F22" s="183">
        <f t="shared" si="4"/>
        <v>0</v>
      </c>
      <c r="G22" s="183">
        <f t="shared" si="4"/>
        <v>0</v>
      </c>
      <c r="H22" s="183">
        <f t="shared" si="4"/>
        <v>980.7980751150352</v>
      </c>
      <c r="I22" s="183">
        <f t="shared" si="4"/>
        <v>1814.5692089799977</v>
      </c>
      <c r="J22" s="183">
        <f t="shared" si="4"/>
        <v>2608.3919791205853</v>
      </c>
      <c r="K22" s="183">
        <f t="shared" si="4"/>
        <v>3513.4432624260567</v>
      </c>
      <c r="L22" s="183">
        <f t="shared" si="4"/>
        <v>4434.2048747592389</v>
      </c>
      <c r="M22" s="183">
        <f t="shared" si="4"/>
        <v>5381.9201057080918</v>
      </c>
      <c r="N22" s="183">
        <f t="shared" si="4"/>
        <v>6249.872528128908</v>
      </c>
      <c r="O22" s="183">
        <f t="shared" si="4"/>
        <v>7087.1140114597065</v>
      </c>
      <c r="P22" s="183">
        <f t="shared" si="4"/>
        <v>7790.7325107715333</v>
      </c>
      <c r="Q22" s="183">
        <f t="shared" si="4"/>
        <v>8446.9678000828608</v>
      </c>
      <c r="R22" s="184">
        <f>R20*R12</f>
        <v>139125.59335460389</v>
      </c>
    </row>
    <row r="23" spans="2:16384" x14ac:dyDescent="0.25">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c r="DV23" s="21"/>
      <c r="DW23" s="21"/>
      <c r="DX23" s="21"/>
      <c r="DY23" s="21"/>
      <c r="DZ23" s="21"/>
      <c r="EA23" s="21"/>
      <c r="EB23" s="21"/>
      <c r="EC23" s="21"/>
      <c r="ED23" s="21"/>
      <c r="EE23" s="21"/>
      <c r="EF23" s="21"/>
      <c r="EG23" s="21"/>
      <c r="EH23" s="21"/>
      <c r="EI23" s="21"/>
      <c r="EJ23" s="21"/>
      <c r="EK23" s="21"/>
      <c r="EL23" s="21"/>
      <c r="EM23" s="21"/>
      <c r="EN23" s="21"/>
      <c r="EO23" s="21"/>
      <c r="EP23" s="21"/>
      <c r="EQ23" s="21"/>
      <c r="ER23" s="21"/>
      <c r="ES23" s="21"/>
      <c r="ET23" s="21"/>
      <c r="EU23" s="21"/>
      <c r="EV23" s="21"/>
      <c r="EW23" s="21"/>
      <c r="EX23" s="21"/>
      <c r="EY23" s="21"/>
      <c r="EZ23" s="21"/>
      <c r="FA23" s="21"/>
      <c r="FB23" s="21"/>
      <c r="FC23" s="21"/>
      <c r="FD23" s="21"/>
      <c r="FE23" s="21"/>
      <c r="FF23" s="21"/>
      <c r="FG23" s="21"/>
      <c r="FH23" s="21"/>
      <c r="FI23" s="21"/>
      <c r="FJ23" s="21"/>
      <c r="FK23" s="21"/>
      <c r="FL23" s="21"/>
      <c r="FM23" s="21"/>
      <c r="FN23" s="21"/>
      <c r="FO23" s="21"/>
      <c r="FP23" s="21"/>
      <c r="FQ23" s="21"/>
      <c r="FR23" s="21"/>
      <c r="FS23" s="21"/>
      <c r="FT23" s="21"/>
      <c r="FU23" s="21"/>
      <c r="FV23" s="21"/>
      <c r="FW23" s="21"/>
      <c r="FX23" s="21"/>
      <c r="FY23" s="21"/>
      <c r="FZ23" s="21"/>
      <c r="GA23" s="21"/>
      <c r="GB23" s="21"/>
      <c r="GC23" s="21"/>
      <c r="GD23" s="21"/>
      <c r="GE23" s="21"/>
      <c r="GF23" s="21"/>
      <c r="GG23" s="21"/>
      <c r="GH23" s="21"/>
      <c r="GI23" s="21"/>
      <c r="GJ23" s="21"/>
      <c r="GK23" s="21"/>
      <c r="GL23" s="21"/>
      <c r="GM23" s="21"/>
      <c r="GN23" s="21"/>
      <c r="GO23" s="21"/>
      <c r="GP23" s="21"/>
      <c r="GQ23" s="21"/>
      <c r="GR23" s="21"/>
      <c r="GS23" s="21"/>
      <c r="GT23" s="21"/>
      <c r="GU23" s="21"/>
      <c r="GV23" s="21"/>
      <c r="GW23" s="21"/>
      <c r="GX23" s="21"/>
      <c r="GY23" s="21"/>
      <c r="GZ23" s="21"/>
      <c r="HA23" s="21"/>
      <c r="HB23" s="21"/>
      <c r="HC23" s="21"/>
      <c r="HD23" s="21"/>
      <c r="HE23" s="21"/>
      <c r="HF23" s="21"/>
      <c r="HG23" s="21"/>
      <c r="HH23" s="21"/>
      <c r="HI23" s="21"/>
      <c r="HJ23" s="21"/>
      <c r="HK23" s="21"/>
      <c r="HL23" s="21"/>
      <c r="HM23" s="21"/>
      <c r="HN23" s="21"/>
      <c r="HO23" s="21"/>
      <c r="HP23" s="21"/>
      <c r="HQ23" s="21"/>
      <c r="HR23" s="21"/>
      <c r="HS23" s="21"/>
      <c r="HT23" s="21"/>
      <c r="HU23" s="21"/>
      <c r="HV23" s="21"/>
      <c r="HW23" s="21"/>
      <c r="HX23" s="21"/>
      <c r="HY23" s="21"/>
      <c r="HZ23" s="21"/>
      <c r="IA23" s="21"/>
      <c r="IB23" s="21"/>
      <c r="IC23" s="21"/>
      <c r="ID23" s="21"/>
      <c r="IE23" s="21"/>
      <c r="IF23" s="21"/>
      <c r="IG23" s="21"/>
      <c r="IH23" s="21"/>
      <c r="II23" s="21"/>
      <c r="IJ23" s="21"/>
      <c r="IK23" s="21"/>
      <c r="IL23" s="21"/>
      <c r="IM23" s="21"/>
      <c r="IN23" s="21"/>
      <c r="IO23" s="21"/>
      <c r="IP23" s="21"/>
      <c r="IQ23" s="21"/>
      <c r="IR23" s="21"/>
      <c r="IS23" s="21"/>
      <c r="IT23" s="21"/>
      <c r="IU23" s="21"/>
      <c r="IV23" s="21"/>
      <c r="IW23" s="21"/>
      <c r="IX23" s="21"/>
      <c r="IY23" s="21"/>
      <c r="IZ23" s="21"/>
      <c r="JA23" s="21"/>
      <c r="JB23" s="21"/>
      <c r="JC23" s="21"/>
      <c r="JD23" s="21"/>
      <c r="JE23" s="21"/>
      <c r="JF23" s="21"/>
      <c r="JG23" s="21"/>
      <c r="JH23" s="21"/>
      <c r="JI23" s="21"/>
      <c r="JJ23" s="21"/>
      <c r="JK23" s="21"/>
      <c r="JL23" s="21"/>
      <c r="JM23" s="21"/>
      <c r="JN23" s="21"/>
      <c r="JO23" s="21"/>
      <c r="JP23" s="21"/>
      <c r="JQ23" s="21"/>
      <c r="JR23" s="21"/>
      <c r="JS23" s="21"/>
      <c r="JT23" s="21"/>
      <c r="JU23" s="21"/>
      <c r="JV23" s="21"/>
      <c r="JW23" s="21"/>
      <c r="JX23" s="21"/>
      <c r="JY23" s="21"/>
      <c r="JZ23" s="21"/>
      <c r="KA23" s="21"/>
      <c r="KB23" s="21"/>
      <c r="KC23" s="21"/>
      <c r="KD23" s="21"/>
      <c r="KE23" s="21"/>
      <c r="KF23" s="21"/>
      <c r="KG23" s="21"/>
      <c r="KH23" s="21"/>
      <c r="KI23" s="21"/>
      <c r="KJ23" s="21"/>
      <c r="KK23" s="21"/>
      <c r="KL23" s="21"/>
      <c r="KM23" s="21"/>
      <c r="KN23" s="21"/>
      <c r="KO23" s="21"/>
      <c r="KP23" s="21"/>
      <c r="KQ23" s="21"/>
      <c r="KR23" s="21"/>
      <c r="KS23" s="21"/>
      <c r="KT23" s="21"/>
      <c r="KU23" s="21"/>
      <c r="KV23" s="21"/>
      <c r="KW23" s="21"/>
      <c r="KX23" s="21"/>
      <c r="KY23" s="21"/>
      <c r="KZ23" s="21"/>
      <c r="LA23" s="21"/>
      <c r="LB23" s="21"/>
      <c r="LC23" s="21"/>
      <c r="LD23" s="21"/>
      <c r="LE23" s="21"/>
      <c r="LF23" s="21"/>
      <c r="LG23" s="21"/>
      <c r="LH23" s="21"/>
      <c r="LI23" s="21"/>
      <c r="LJ23" s="21"/>
      <c r="LK23" s="21"/>
      <c r="LL23" s="21"/>
      <c r="LM23" s="21"/>
      <c r="LN23" s="21"/>
      <c r="LO23" s="21"/>
      <c r="LP23" s="21"/>
      <c r="LQ23" s="21"/>
      <c r="LR23" s="21"/>
      <c r="LS23" s="21"/>
      <c r="LT23" s="21"/>
      <c r="LU23" s="21"/>
      <c r="LV23" s="21"/>
      <c r="LW23" s="21"/>
      <c r="LX23" s="21"/>
      <c r="LY23" s="21"/>
      <c r="LZ23" s="21"/>
      <c r="MA23" s="21"/>
      <c r="MB23" s="21"/>
      <c r="MC23" s="21"/>
      <c r="MD23" s="21"/>
      <c r="ME23" s="21"/>
      <c r="MF23" s="21"/>
      <c r="MG23" s="21"/>
      <c r="MH23" s="21"/>
      <c r="MI23" s="21"/>
      <c r="MJ23" s="21"/>
      <c r="MK23" s="21"/>
      <c r="ML23" s="21"/>
      <c r="MM23" s="21"/>
      <c r="MN23" s="21"/>
      <c r="MO23" s="21"/>
      <c r="MP23" s="21"/>
      <c r="MQ23" s="21"/>
      <c r="MR23" s="21"/>
      <c r="MS23" s="21"/>
      <c r="MT23" s="21"/>
      <c r="MU23" s="21"/>
      <c r="MV23" s="21"/>
      <c r="MW23" s="21"/>
      <c r="MX23" s="21"/>
      <c r="MY23" s="21"/>
      <c r="MZ23" s="21"/>
      <c r="NA23" s="21"/>
      <c r="NB23" s="21"/>
      <c r="NC23" s="21"/>
      <c r="ND23" s="21"/>
      <c r="NE23" s="21"/>
      <c r="NF23" s="21"/>
      <c r="NG23" s="21"/>
      <c r="NH23" s="21"/>
      <c r="NI23" s="21"/>
      <c r="NJ23" s="21"/>
      <c r="NK23" s="21"/>
      <c r="NL23" s="21"/>
      <c r="NM23" s="21"/>
      <c r="NN23" s="21"/>
      <c r="NO23" s="21"/>
      <c r="NP23" s="21"/>
      <c r="NQ23" s="21"/>
      <c r="NR23" s="21"/>
      <c r="NS23" s="21"/>
      <c r="NT23" s="21"/>
      <c r="NU23" s="21"/>
      <c r="NV23" s="21"/>
      <c r="NW23" s="21"/>
      <c r="NX23" s="21"/>
      <c r="NY23" s="21"/>
      <c r="NZ23" s="21"/>
      <c r="OA23" s="21"/>
      <c r="OB23" s="21"/>
      <c r="OC23" s="21"/>
      <c r="OD23" s="21"/>
      <c r="OE23" s="21"/>
      <c r="OF23" s="21"/>
      <c r="OG23" s="21"/>
      <c r="OH23" s="21"/>
      <c r="OI23" s="21"/>
      <c r="OJ23" s="21"/>
      <c r="OK23" s="21"/>
      <c r="OL23" s="21"/>
      <c r="OM23" s="21"/>
      <c r="ON23" s="21"/>
      <c r="OO23" s="21"/>
      <c r="OP23" s="21"/>
      <c r="OQ23" s="21"/>
      <c r="OR23" s="21"/>
      <c r="OS23" s="21"/>
      <c r="OT23" s="21"/>
      <c r="OU23" s="21"/>
      <c r="OV23" s="21"/>
      <c r="OW23" s="21"/>
      <c r="OX23" s="21"/>
      <c r="OY23" s="21"/>
      <c r="OZ23" s="21"/>
      <c r="PA23" s="21"/>
      <c r="PB23" s="21"/>
      <c r="PC23" s="21"/>
      <c r="PD23" s="21"/>
      <c r="PE23" s="21"/>
      <c r="PF23" s="21"/>
      <c r="PG23" s="21"/>
      <c r="PH23" s="21"/>
      <c r="PI23" s="21"/>
      <c r="PJ23" s="21"/>
      <c r="PK23" s="21"/>
      <c r="PL23" s="21"/>
      <c r="PM23" s="21"/>
      <c r="PN23" s="21"/>
      <c r="PO23" s="21"/>
      <c r="PP23" s="21"/>
      <c r="PQ23" s="21"/>
      <c r="PR23" s="21"/>
      <c r="PS23" s="21"/>
      <c r="PT23" s="21"/>
      <c r="PU23" s="21"/>
      <c r="PV23" s="21"/>
      <c r="PW23" s="21"/>
      <c r="PX23" s="21"/>
      <c r="PY23" s="21"/>
      <c r="PZ23" s="21"/>
      <c r="QA23" s="21"/>
      <c r="QB23" s="21"/>
      <c r="QC23" s="21"/>
      <c r="QD23" s="21"/>
      <c r="QE23" s="21"/>
      <c r="QF23" s="21"/>
      <c r="QG23" s="21"/>
      <c r="QH23" s="21"/>
      <c r="QI23" s="21"/>
      <c r="QJ23" s="21"/>
      <c r="QK23" s="21"/>
      <c r="QL23" s="21"/>
      <c r="QM23" s="21"/>
      <c r="QN23" s="21"/>
      <c r="QO23" s="21"/>
      <c r="QP23" s="21"/>
      <c r="QQ23" s="21"/>
      <c r="QR23" s="21"/>
      <c r="QS23" s="21"/>
      <c r="QT23" s="21"/>
      <c r="QU23" s="21"/>
      <c r="QV23" s="21"/>
      <c r="QW23" s="21"/>
      <c r="QX23" s="21"/>
      <c r="QY23" s="21"/>
      <c r="QZ23" s="21"/>
      <c r="RA23" s="21"/>
      <c r="RB23" s="21"/>
      <c r="RC23" s="21"/>
      <c r="RD23" s="21"/>
      <c r="RE23" s="21"/>
      <c r="RF23" s="21"/>
      <c r="RG23" s="21"/>
      <c r="RH23" s="21"/>
      <c r="RI23" s="21"/>
      <c r="RJ23" s="21"/>
      <c r="RK23" s="21"/>
      <c r="RL23" s="21"/>
      <c r="RM23" s="21"/>
      <c r="RN23" s="21"/>
      <c r="RO23" s="21"/>
      <c r="RP23" s="21"/>
      <c r="RQ23" s="21"/>
      <c r="RR23" s="21"/>
      <c r="RS23" s="21"/>
      <c r="RT23" s="21"/>
      <c r="RU23" s="21"/>
      <c r="RV23" s="21"/>
      <c r="RW23" s="21"/>
      <c r="RX23" s="21"/>
      <c r="RY23" s="21"/>
      <c r="RZ23" s="21"/>
      <c r="SA23" s="21"/>
      <c r="SB23" s="21"/>
      <c r="SC23" s="21"/>
      <c r="SD23" s="21"/>
      <c r="SE23" s="21"/>
      <c r="SF23" s="21"/>
      <c r="SG23" s="21"/>
      <c r="SH23" s="21"/>
      <c r="SI23" s="21"/>
      <c r="SJ23" s="21"/>
      <c r="SK23" s="21"/>
      <c r="SL23" s="21"/>
      <c r="SM23" s="21"/>
      <c r="SN23" s="21"/>
      <c r="SO23" s="21"/>
      <c r="SP23" s="21"/>
      <c r="SQ23" s="21"/>
      <c r="SR23" s="21"/>
      <c r="SS23" s="21"/>
      <c r="ST23" s="21"/>
      <c r="SU23" s="21"/>
      <c r="SV23" s="21"/>
      <c r="SW23" s="21"/>
      <c r="SX23" s="21"/>
      <c r="SY23" s="21"/>
      <c r="SZ23" s="21"/>
      <c r="TA23" s="21"/>
      <c r="TB23" s="21"/>
      <c r="TC23" s="21"/>
      <c r="TD23" s="21"/>
      <c r="TE23" s="21"/>
      <c r="TF23" s="21"/>
      <c r="TG23" s="21"/>
      <c r="TH23" s="21"/>
      <c r="TI23" s="21"/>
      <c r="TJ23" s="21"/>
      <c r="TK23" s="21"/>
      <c r="TL23" s="21"/>
      <c r="TM23" s="21"/>
      <c r="TN23" s="21"/>
      <c r="TO23" s="21"/>
      <c r="TP23" s="21"/>
      <c r="TQ23" s="21"/>
      <c r="TR23" s="21"/>
      <c r="TS23" s="21"/>
      <c r="TT23" s="21"/>
      <c r="TU23" s="21"/>
      <c r="TV23" s="21"/>
      <c r="TW23" s="21"/>
      <c r="TX23" s="21"/>
      <c r="TY23" s="21"/>
      <c r="TZ23" s="21"/>
      <c r="UA23" s="21"/>
      <c r="UB23" s="21"/>
      <c r="UC23" s="21"/>
      <c r="UD23" s="21"/>
      <c r="UE23" s="21"/>
      <c r="UF23" s="21"/>
      <c r="UG23" s="21"/>
      <c r="UH23" s="21"/>
      <c r="UI23" s="21"/>
      <c r="UJ23" s="21"/>
      <c r="UK23" s="21"/>
      <c r="UL23" s="21"/>
      <c r="UM23" s="21"/>
      <c r="UN23" s="21"/>
      <c r="UO23" s="21"/>
      <c r="UP23" s="21"/>
      <c r="UQ23" s="21"/>
      <c r="UR23" s="21"/>
      <c r="US23" s="21"/>
      <c r="UT23" s="21"/>
      <c r="UU23" s="21"/>
      <c r="UV23" s="21"/>
      <c r="UW23" s="21"/>
      <c r="UX23" s="21"/>
      <c r="UY23" s="21"/>
      <c r="UZ23" s="21"/>
      <c r="VA23" s="21"/>
      <c r="VB23" s="21"/>
      <c r="VC23" s="21"/>
      <c r="VD23" s="21"/>
      <c r="VE23" s="21"/>
      <c r="VF23" s="21"/>
      <c r="VG23" s="21"/>
      <c r="VH23" s="21"/>
      <c r="VI23" s="21"/>
      <c r="VJ23" s="21"/>
      <c r="VK23" s="21"/>
      <c r="VL23" s="21"/>
      <c r="VM23" s="21"/>
      <c r="VN23" s="21"/>
      <c r="VO23" s="21"/>
      <c r="VP23" s="21"/>
      <c r="VQ23" s="21"/>
      <c r="VR23" s="21"/>
      <c r="VS23" s="21"/>
      <c r="VT23" s="21"/>
      <c r="VU23" s="21"/>
      <c r="VV23" s="21"/>
      <c r="VW23" s="21"/>
      <c r="VX23" s="21"/>
      <c r="VY23" s="21"/>
      <c r="VZ23" s="21"/>
      <c r="WA23" s="21"/>
      <c r="WB23" s="21"/>
      <c r="WC23" s="21"/>
      <c r="WD23" s="21"/>
      <c r="WE23" s="21"/>
      <c r="WF23" s="21"/>
      <c r="WG23" s="21"/>
      <c r="WH23" s="21"/>
      <c r="WI23" s="21"/>
      <c r="WJ23" s="21"/>
      <c r="WK23" s="21"/>
      <c r="WL23" s="21"/>
      <c r="WM23" s="21"/>
      <c r="WN23" s="21"/>
      <c r="WO23" s="21"/>
      <c r="WP23" s="21"/>
      <c r="WQ23" s="21"/>
      <c r="WR23" s="21"/>
      <c r="WS23" s="21"/>
      <c r="WT23" s="21"/>
      <c r="WU23" s="21"/>
      <c r="WV23" s="21"/>
      <c r="WW23" s="21"/>
      <c r="WX23" s="21"/>
      <c r="WY23" s="21"/>
      <c r="WZ23" s="21"/>
      <c r="XA23" s="21"/>
      <c r="XB23" s="21"/>
      <c r="XC23" s="21"/>
      <c r="XD23" s="21"/>
      <c r="XE23" s="21"/>
      <c r="XF23" s="21"/>
      <c r="XG23" s="21"/>
      <c r="XH23" s="21"/>
      <c r="XI23" s="21"/>
      <c r="XJ23" s="21"/>
      <c r="XK23" s="21"/>
      <c r="XL23" s="21"/>
      <c r="XM23" s="21"/>
      <c r="XN23" s="21"/>
      <c r="XO23" s="21"/>
      <c r="XP23" s="21"/>
      <c r="XQ23" s="21"/>
      <c r="XR23" s="21"/>
      <c r="XS23" s="21"/>
      <c r="XT23" s="21"/>
      <c r="XU23" s="21"/>
      <c r="XV23" s="21"/>
      <c r="XW23" s="21"/>
      <c r="XX23" s="21"/>
      <c r="XY23" s="21"/>
      <c r="XZ23" s="21"/>
      <c r="YA23" s="21"/>
      <c r="YB23" s="21"/>
      <c r="YC23" s="21"/>
      <c r="YD23" s="21"/>
      <c r="YE23" s="21"/>
      <c r="YF23" s="21"/>
      <c r="YG23" s="21"/>
      <c r="YH23" s="21"/>
      <c r="YI23" s="21"/>
      <c r="YJ23" s="21"/>
      <c r="YK23" s="21"/>
      <c r="YL23" s="21"/>
      <c r="YM23" s="21"/>
      <c r="YN23" s="21"/>
      <c r="YO23" s="21"/>
      <c r="YP23" s="21"/>
      <c r="YQ23" s="21"/>
      <c r="YR23" s="21"/>
      <c r="YS23" s="21"/>
      <c r="YT23" s="21"/>
      <c r="YU23" s="21"/>
      <c r="YV23" s="21"/>
      <c r="YW23" s="21"/>
      <c r="YX23" s="21"/>
      <c r="YY23" s="21"/>
      <c r="YZ23" s="21"/>
      <c r="ZA23" s="21"/>
      <c r="ZB23" s="21"/>
      <c r="ZC23" s="21"/>
      <c r="ZD23" s="21"/>
      <c r="ZE23" s="21"/>
      <c r="ZF23" s="21"/>
      <c r="ZG23" s="21"/>
      <c r="ZH23" s="21"/>
      <c r="ZI23" s="21"/>
      <c r="ZJ23" s="21"/>
      <c r="ZK23" s="21"/>
      <c r="ZL23" s="21"/>
      <c r="ZM23" s="21"/>
      <c r="ZN23" s="21"/>
      <c r="ZO23" s="21"/>
      <c r="ZP23" s="21"/>
      <c r="ZQ23" s="21"/>
      <c r="ZR23" s="21"/>
      <c r="ZS23" s="21"/>
      <c r="ZT23" s="21"/>
      <c r="ZU23" s="21"/>
      <c r="ZV23" s="21"/>
      <c r="ZW23" s="21"/>
      <c r="ZX23" s="21"/>
      <c r="ZY23" s="21"/>
      <c r="ZZ23" s="21"/>
      <c r="AAA23" s="21"/>
      <c r="AAB23" s="21"/>
      <c r="AAC23" s="21"/>
      <c r="AAD23" s="21"/>
      <c r="AAE23" s="21"/>
      <c r="AAF23" s="21"/>
      <c r="AAG23" s="21"/>
      <c r="AAH23" s="21"/>
      <c r="AAI23" s="21"/>
      <c r="AAJ23" s="21"/>
      <c r="AAK23" s="21"/>
      <c r="AAL23" s="21"/>
      <c r="AAM23" s="21"/>
      <c r="AAN23" s="21"/>
      <c r="AAO23" s="21"/>
      <c r="AAP23" s="21"/>
      <c r="AAQ23" s="21"/>
      <c r="AAR23" s="21"/>
      <c r="AAS23" s="21"/>
      <c r="AAT23" s="21"/>
      <c r="AAU23" s="21"/>
      <c r="AAV23" s="21"/>
      <c r="AAW23" s="21"/>
      <c r="AAX23" s="21"/>
      <c r="AAY23" s="21"/>
      <c r="AAZ23" s="21"/>
      <c r="ABA23" s="21"/>
      <c r="ABB23" s="21"/>
      <c r="ABC23" s="21"/>
      <c r="ABD23" s="21"/>
      <c r="ABE23" s="21"/>
      <c r="ABF23" s="21"/>
      <c r="ABG23" s="21"/>
      <c r="ABH23" s="21"/>
      <c r="ABI23" s="21"/>
      <c r="ABJ23" s="21"/>
      <c r="ABK23" s="21"/>
      <c r="ABL23" s="21"/>
      <c r="ABM23" s="21"/>
      <c r="ABN23" s="21"/>
      <c r="ABO23" s="21"/>
      <c r="ABP23" s="21"/>
      <c r="ABQ23" s="21"/>
      <c r="ABR23" s="21"/>
      <c r="ABS23" s="21"/>
      <c r="ABT23" s="21"/>
      <c r="ABU23" s="21"/>
      <c r="ABV23" s="21"/>
      <c r="ABW23" s="21"/>
      <c r="ABX23" s="21"/>
      <c r="ABY23" s="21"/>
      <c r="ABZ23" s="21"/>
      <c r="ACA23" s="21"/>
      <c r="ACB23" s="21"/>
      <c r="ACC23" s="21"/>
      <c r="ACD23" s="21"/>
      <c r="ACE23" s="21"/>
      <c r="ACF23" s="21"/>
      <c r="ACG23" s="21"/>
      <c r="ACH23" s="21"/>
      <c r="ACI23" s="21"/>
      <c r="ACJ23" s="21"/>
      <c r="ACK23" s="21"/>
      <c r="ACL23" s="21"/>
      <c r="ACM23" s="21"/>
      <c r="ACN23" s="21"/>
      <c r="ACO23" s="21"/>
      <c r="ACP23" s="21"/>
      <c r="ACQ23" s="21"/>
      <c r="ACR23" s="21"/>
      <c r="ACS23" s="21"/>
      <c r="ACT23" s="21"/>
      <c r="ACU23" s="21"/>
      <c r="ACV23" s="21"/>
      <c r="ACW23" s="21"/>
      <c r="ACX23" s="21"/>
      <c r="ACY23" s="21"/>
      <c r="ACZ23" s="21"/>
      <c r="ADA23" s="21"/>
      <c r="ADB23" s="21"/>
      <c r="ADC23" s="21"/>
      <c r="ADD23" s="21"/>
      <c r="ADE23" s="21"/>
      <c r="ADF23" s="21"/>
      <c r="ADG23" s="21"/>
      <c r="ADH23" s="21"/>
      <c r="ADI23" s="21"/>
      <c r="ADJ23" s="21"/>
      <c r="ADK23" s="21"/>
      <c r="ADL23" s="21"/>
      <c r="ADM23" s="21"/>
      <c r="ADN23" s="21"/>
      <c r="ADO23" s="21"/>
      <c r="ADP23" s="21"/>
      <c r="ADQ23" s="21"/>
      <c r="ADR23" s="21"/>
      <c r="ADS23" s="21"/>
      <c r="ADT23" s="21"/>
      <c r="ADU23" s="21"/>
      <c r="ADV23" s="21"/>
      <c r="ADW23" s="21"/>
      <c r="ADX23" s="21"/>
      <c r="ADY23" s="21"/>
      <c r="ADZ23" s="21"/>
      <c r="AEA23" s="21"/>
      <c r="AEB23" s="21"/>
      <c r="AEC23" s="21"/>
      <c r="AED23" s="21"/>
      <c r="AEE23" s="21"/>
      <c r="AEF23" s="21"/>
      <c r="AEG23" s="21"/>
      <c r="AEH23" s="21"/>
      <c r="AEI23" s="21"/>
      <c r="AEJ23" s="21"/>
      <c r="AEK23" s="21"/>
      <c r="AEL23" s="21"/>
      <c r="AEM23" s="21"/>
      <c r="AEN23" s="21"/>
      <c r="AEO23" s="21"/>
      <c r="AEP23" s="21"/>
      <c r="AEQ23" s="21"/>
      <c r="AER23" s="21"/>
      <c r="AES23" s="21"/>
      <c r="AET23" s="21"/>
      <c r="AEU23" s="21"/>
      <c r="AEV23" s="21"/>
      <c r="AEW23" s="21"/>
      <c r="AEX23" s="21"/>
      <c r="AEY23" s="21"/>
      <c r="AEZ23" s="21"/>
      <c r="AFA23" s="21"/>
      <c r="AFB23" s="21"/>
      <c r="AFC23" s="21"/>
      <c r="AFD23" s="21"/>
      <c r="AFE23" s="21"/>
      <c r="AFF23" s="21"/>
      <c r="AFG23" s="21"/>
      <c r="AFH23" s="21"/>
      <c r="AFI23" s="21"/>
      <c r="AFJ23" s="21"/>
      <c r="AFK23" s="21"/>
      <c r="AFL23" s="21"/>
      <c r="AFM23" s="21"/>
      <c r="AFN23" s="21"/>
      <c r="AFO23" s="21"/>
      <c r="AFP23" s="21"/>
      <c r="AFQ23" s="21"/>
      <c r="AFR23" s="21"/>
      <c r="AFS23" s="21"/>
      <c r="AFT23" s="21"/>
      <c r="AFU23" s="21"/>
      <c r="AFV23" s="21"/>
      <c r="AFW23" s="21"/>
      <c r="AFX23" s="21"/>
      <c r="AFY23" s="21"/>
      <c r="AFZ23" s="21"/>
      <c r="AGA23" s="21"/>
      <c r="AGB23" s="21"/>
      <c r="AGC23" s="21"/>
      <c r="AGD23" s="21"/>
      <c r="AGE23" s="21"/>
      <c r="AGF23" s="21"/>
      <c r="AGG23" s="21"/>
      <c r="AGH23" s="21"/>
      <c r="AGI23" s="21"/>
      <c r="AGJ23" s="21"/>
      <c r="AGK23" s="21"/>
      <c r="AGL23" s="21"/>
      <c r="AGM23" s="21"/>
      <c r="AGN23" s="21"/>
      <c r="AGO23" s="21"/>
      <c r="AGP23" s="21"/>
      <c r="AGQ23" s="21"/>
      <c r="AGR23" s="21"/>
      <c r="AGS23" s="21"/>
      <c r="AGT23" s="21"/>
      <c r="AGU23" s="21"/>
      <c r="AGV23" s="21"/>
      <c r="AGW23" s="21"/>
      <c r="AGX23" s="21"/>
      <c r="AGY23" s="21"/>
      <c r="AGZ23" s="21"/>
      <c r="AHA23" s="21"/>
      <c r="AHB23" s="21"/>
      <c r="AHC23" s="21"/>
      <c r="AHD23" s="21"/>
      <c r="AHE23" s="21"/>
      <c r="AHF23" s="21"/>
      <c r="AHG23" s="21"/>
      <c r="AHH23" s="21"/>
      <c r="AHI23" s="21"/>
      <c r="AHJ23" s="21"/>
      <c r="AHK23" s="21"/>
      <c r="AHL23" s="21"/>
      <c r="AHM23" s="21"/>
      <c r="AHN23" s="21"/>
      <c r="AHO23" s="21"/>
      <c r="AHP23" s="21"/>
      <c r="AHQ23" s="21"/>
      <c r="AHR23" s="21"/>
      <c r="AHS23" s="21"/>
      <c r="AHT23" s="21"/>
      <c r="AHU23" s="21"/>
      <c r="AHV23" s="21"/>
      <c r="AHW23" s="21"/>
      <c r="AHX23" s="21"/>
      <c r="AHY23" s="21"/>
      <c r="AHZ23" s="21"/>
      <c r="AIA23" s="21"/>
      <c r="AIB23" s="21"/>
      <c r="AIC23" s="21"/>
      <c r="AID23" s="21"/>
      <c r="AIE23" s="21"/>
      <c r="AIF23" s="21"/>
      <c r="AIG23" s="21"/>
      <c r="AIH23" s="21"/>
      <c r="AII23" s="21"/>
      <c r="AIJ23" s="21"/>
      <c r="AIK23" s="21"/>
      <c r="AIL23" s="21"/>
      <c r="AIM23" s="21"/>
      <c r="AIN23" s="21"/>
      <c r="AIO23" s="21"/>
      <c r="AIP23" s="21"/>
      <c r="AIQ23" s="21"/>
      <c r="AIR23" s="21"/>
      <c r="AIS23" s="21"/>
      <c r="AIT23" s="21"/>
      <c r="AIU23" s="21"/>
      <c r="AIV23" s="21"/>
      <c r="AIW23" s="21"/>
      <c r="AIX23" s="21"/>
      <c r="AIY23" s="21"/>
      <c r="AIZ23" s="21"/>
      <c r="AJA23" s="21"/>
      <c r="AJB23" s="21"/>
      <c r="AJC23" s="21"/>
      <c r="AJD23" s="21"/>
      <c r="AJE23" s="21"/>
      <c r="AJF23" s="21"/>
      <c r="AJG23" s="21"/>
      <c r="AJH23" s="21"/>
      <c r="AJI23" s="21"/>
      <c r="AJJ23" s="21"/>
      <c r="AJK23" s="21"/>
      <c r="AJL23" s="21"/>
      <c r="AJM23" s="21"/>
      <c r="AJN23" s="21"/>
      <c r="AJO23" s="21"/>
      <c r="AJP23" s="21"/>
      <c r="AJQ23" s="21"/>
      <c r="AJR23" s="21"/>
      <c r="AJS23" s="21"/>
      <c r="AJT23" s="21"/>
      <c r="AJU23" s="21"/>
      <c r="AJV23" s="21"/>
      <c r="AJW23" s="21"/>
      <c r="AJX23" s="21"/>
      <c r="AJY23" s="21"/>
      <c r="AJZ23" s="21"/>
      <c r="AKA23" s="21"/>
      <c r="AKB23" s="21"/>
      <c r="AKC23" s="21"/>
      <c r="AKD23" s="21"/>
      <c r="AKE23" s="21"/>
      <c r="AKF23" s="21"/>
      <c r="AKG23" s="21"/>
      <c r="AKH23" s="21"/>
      <c r="AKI23" s="21"/>
      <c r="AKJ23" s="21"/>
      <c r="AKK23" s="21"/>
      <c r="AKL23" s="21"/>
      <c r="AKM23" s="21"/>
      <c r="AKN23" s="21"/>
      <c r="AKO23" s="21"/>
      <c r="AKP23" s="21"/>
      <c r="AKQ23" s="21"/>
      <c r="AKR23" s="21"/>
      <c r="AKS23" s="21"/>
      <c r="AKT23" s="21"/>
      <c r="AKU23" s="21"/>
      <c r="AKV23" s="21"/>
      <c r="AKW23" s="21"/>
      <c r="AKX23" s="21"/>
      <c r="AKY23" s="21"/>
      <c r="AKZ23" s="21"/>
      <c r="ALA23" s="21"/>
      <c r="ALB23" s="21"/>
      <c r="ALC23" s="21"/>
      <c r="ALD23" s="21"/>
      <c r="ALE23" s="21"/>
      <c r="ALF23" s="21"/>
      <c r="ALG23" s="21"/>
      <c r="ALH23" s="21"/>
      <c r="ALI23" s="21"/>
      <c r="ALJ23" s="21"/>
      <c r="ALK23" s="21"/>
      <c r="ALL23" s="21"/>
      <c r="ALM23" s="21"/>
      <c r="ALN23" s="21"/>
      <c r="ALO23" s="21"/>
      <c r="ALP23" s="21"/>
      <c r="ALQ23" s="21"/>
      <c r="ALR23" s="21"/>
      <c r="ALS23" s="21"/>
      <c r="ALT23" s="21"/>
      <c r="ALU23" s="21"/>
      <c r="ALV23" s="21"/>
      <c r="ALW23" s="21"/>
      <c r="ALX23" s="21"/>
      <c r="ALY23" s="21"/>
      <c r="ALZ23" s="21"/>
      <c r="AMA23" s="21"/>
      <c r="AMB23" s="21"/>
      <c r="AMC23" s="21"/>
      <c r="AMD23" s="21"/>
      <c r="AME23" s="21"/>
      <c r="AMF23" s="21"/>
      <c r="AMG23" s="21"/>
      <c r="AMH23" s="21"/>
      <c r="AMI23" s="21"/>
      <c r="AMJ23" s="21"/>
      <c r="AMK23" s="21"/>
      <c r="AML23" s="21"/>
      <c r="AMM23" s="21"/>
      <c r="AMN23" s="21"/>
      <c r="AMO23" s="21"/>
      <c r="AMP23" s="21"/>
      <c r="AMQ23" s="21"/>
      <c r="AMR23" s="21"/>
      <c r="AMS23" s="21"/>
      <c r="AMT23" s="21"/>
      <c r="AMU23" s="21"/>
      <c r="AMV23" s="21"/>
      <c r="AMW23" s="21"/>
      <c r="AMX23" s="21"/>
      <c r="AMY23" s="21"/>
      <c r="AMZ23" s="21"/>
      <c r="ANA23" s="21"/>
      <c r="ANB23" s="21"/>
      <c r="ANC23" s="21"/>
      <c r="AND23" s="21"/>
      <c r="ANE23" s="21"/>
      <c r="ANF23" s="21"/>
      <c r="ANG23" s="21"/>
      <c r="ANH23" s="21"/>
      <c r="ANI23" s="21"/>
      <c r="ANJ23" s="21"/>
      <c r="ANK23" s="21"/>
      <c r="ANL23" s="21"/>
      <c r="ANM23" s="21"/>
      <c r="ANN23" s="21"/>
      <c r="ANO23" s="21"/>
      <c r="ANP23" s="21"/>
      <c r="ANQ23" s="21"/>
      <c r="ANR23" s="21"/>
      <c r="ANS23" s="21"/>
      <c r="ANT23" s="21"/>
      <c r="ANU23" s="21"/>
      <c r="ANV23" s="21"/>
      <c r="ANW23" s="21"/>
      <c r="ANX23" s="21"/>
      <c r="ANY23" s="21"/>
      <c r="ANZ23" s="21"/>
      <c r="AOA23" s="21"/>
      <c r="AOB23" s="21"/>
      <c r="AOC23" s="21"/>
      <c r="AOD23" s="21"/>
      <c r="AOE23" s="21"/>
      <c r="AOF23" s="21"/>
      <c r="AOG23" s="21"/>
      <c r="AOH23" s="21"/>
      <c r="AOI23" s="21"/>
      <c r="AOJ23" s="21"/>
      <c r="AOK23" s="21"/>
      <c r="AOL23" s="21"/>
      <c r="AOM23" s="21"/>
      <c r="AON23" s="21"/>
      <c r="AOO23" s="21"/>
      <c r="AOP23" s="21"/>
      <c r="AOQ23" s="21"/>
      <c r="AOR23" s="21"/>
      <c r="AOS23" s="21"/>
      <c r="AOT23" s="21"/>
      <c r="AOU23" s="21"/>
      <c r="AOV23" s="21"/>
      <c r="AOW23" s="21"/>
      <c r="AOX23" s="21"/>
      <c r="AOY23" s="21"/>
      <c r="AOZ23" s="21"/>
      <c r="APA23" s="21"/>
      <c r="APB23" s="21"/>
      <c r="APC23" s="21"/>
      <c r="APD23" s="21"/>
      <c r="APE23" s="21"/>
      <c r="APF23" s="21"/>
      <c r="APG23" s="21"/>
      <c r="APH23" s="21"/>
      <c r="API23" s="21"/>
      <c r="APJ23" s="21"/>
      <c r="APK23" s="21"/>
      <c r="APL23" s="21"/>
      <c r="APM23" s="21"/>
      <c r="APN23" s="21"/>
      <c r="APO23" s="21"/>
      <c r="APP23" s="21"/>
      <c r="APQ23" s="21"/>
      <c r="APR23" s="21"/>
      <c r="APS23" s="21"/>
      <c r="APT23" s="21"/>
      <c r="APU23" s="21"/>
      <c r="APV23" s="21"/>
      <c r="APW23" s="21"/>
      <c r="APX23" s="21"/>
      <c r="APY23" s="21"/>
      <c r="APZ23" s="21"/>
      <c r="AQA23" s="21"/>
      <c r="AQB23" s="21"/>
      <c r="AQC23" s="21"/>
      <c r="AQD23" s="21"/>
      <c r="AQE23" s="21"/>
      <c r="AQF23" s="21"/>
      <c r="AQG23" s="21"/>
      <c r="AQH23" s="21"/>
      <c r="AQI23" s="21"/>
      <c r="AQJ23" s="21"/>
      <c r="AQK23" s="21"/>
      <c r="AQL23" s="21"/>
      <c r="AQM23" s="21"/>
      <c r="AQN23" s="21"/>
      <c r="AQO23" s="21"/>
      <c r="AQP23" s="21"/>
      <c r="AQQ23" s="21"/>
      <c r="AQR23" s="21"/>
      <c r="AQS23" s="21"/>
      <c r="AQT23" s="21"/>
      <c r="AQU23" s="21"/>
      <c r="AQV23" s="21"/>
      <c r="AQW23" s="21"/>
      <c r="AQX23" s="21"/>
      <c r="AQY23" s="21"/>
      <c r="AQZ23" s="21"/>
      <c r="ARA23" s="21"/>
      <c r="ARB23" s="21"/>
      <c r="ARC23" s="21"/>
      <c r="ARD23" s="21"/>
      <c r="ARE23" s="21"/>
      <c r="ARF23" s="21"/>
      <c r="ARG23" s="21"/>
      <c r="ARH23" s="21"/>
      <c r="ARI23" s="21"/>
      <c r="ARJ23" s="21"/>
      <c r="ARK23" s="21"/>
      <c r="ARL23" s="21"/>
      <c r="ARM23" s="21"/>
      <c r="ARN23" s="21"/>
      <c r="ARO23" s="21"/>
      <c r="ARP23" s="21"/>
      <c r="ARQ23" s="21"/>
      <c r="ARR23" s="21"/>
      <c r="ARS23" s="21"/>
      <c r="ART23" s="21"/>
      <c r="ARU23" s="21"/>
      <c r="ARV23" s="21"/>
      <c r="ARW23" s="21"/>
      <c r="ARX23" s="21"/>
      <c r="ARY23" s="21"/>
      <c r="ARZ23" s="21"/>
      <c r="ASA23" s="21"/>
      <c r="ASB23" s="21"/>
      <c r="ASC23" s="21"/>
      <c r="ASD23" s="21"/>
      <c r="ASE23" s="21"/>
      <c r="ASF23" s="21"/>
      <c r="ASG23" s="21"/>
      <c r="ASH23" s="21"/>
      <c r="ASI23" s="21"/>
      <c r="ASJ23" s="21"/>
      <c r="ASK23" s="21"/>
      <c r="ASL23" s="21"/>
      <c r="ASM23" s="21"/>
      <c r="ASN23" s="21"/>
      <c r="ASO23" s="21"/>
      <c r="ASP23" s="21"/>
      <c r="ASQ23" s="21"/>
      <c r="ASR23" s="21"/>
      <c r="ASS23" s="21"/>
      <c r="AST23" s="21"/>
      <c r="ASU23" s="21"/>
      <c r="ASV23" s="21"/>
      <c r="ASW23" s="21"/>
      <c r="ASX23" s="21"/>
      <c r="ASY23" s="21"/>
      <c r="ASZ23" s="21"/>
      <c r="ATA23" s="21"/>
      <c r="ATB23" s="21"/>
      <c r="ATC23" s="21"/>
      <c r="ATD23" s="21"/>
      <c r="ATE23" s="21"/>
      <c r="ATF23" s="21"/>
      <c r="ATG23" s="21"/>
      <c r="ATH23" s="21"/>
      <c r="ATI23" s="21"/>
      <c r="ATJ23" s="21"/>
      <c r="ATK23" s="21"/>
      <c r="ATL23" s="21"/>
      <c r="ATM23" s="21"/>
      <c r="ATN23" s="21"/>
      <c r="ATO23" s="21"/>
      <c r="ATP23" s="21"/>
      <c r="ATQ23" s="21"/>
      <c r="ATR23" s="21"/>
      <c r="ATS23" s="21"/>
      <c r="ATT23" s="21"/>
      <c r="ATU23" s="21"/>
      <c r="ATV23" s="21"/>
      <c r="ATW23" s="21"/>
      <c r="ATX23" s="21"/>
      <c r="ATY23" s="21"/>
      <c r="ATZ23" s="21"/>
      <c r="AUA23" s="21"/>
      <c r="AUB23" s="21"/>
      <c r="AUC23" s="21"/>
      <c r="AUD23" s="21"/>
      <c r="AUE23" s="21"/>
      <c r="AUF23" s="21"/>
      <c r="AUG23" s="21"/>
      <c r="AUH23" s="21"/>
      <c r="AUI23" s="21"/>
      <c r="AUJ23" s="21"/>
      <c r="AUK23" s="21"/>
      <c r="AUL23" s="21"/>
      <c r="AUM23" s="21"/>
      <c r="AUN23" s="21"/>
      <c r="AUO23" s="21"/>
      <c r="AUP23" s="21"/>
      <c r="AUQ23" s="21"/>
      <c r="AUR23" s="21"/>
      <c r="AUS23" s="21"/>
      <c r="AUT23" s="21"/>
      <c r="AUU23" s="21"/>
      <c r="AUV23" s="21"/>
      <c r="AUW23" s="21"/>
      <c r="AUX23" s="21"/>
      <c r="AUY23" s="21"/>
      <c r="AUZ23" s="21"/>
      <c r="AVA23" s="21"/>
      <c r="AVB23" s="21"/>
      <c r="AVC23" s="21"/>
      <c r="AVD23" s="21"/>
      <c r="AVE23" s="21"/>
      <c r="AVF23" s="21"/>
      <c r="AVG23" s="21"/>
      <c r="AVH23" s="21"/>
      <c r="AVI23" s="21"/>
      <c r="AVJ23" s="21"/>
      <c r="AVK23" s="21"/>
      <c r="AVL23" s="21"/>
      <c r="AVM23" s="21"/>
      <c r="AVN23" s="21"/>
      <c r="AVO23" s="21"/>
      <c r="AVP23" s="21"/>
      <c r="AVQ23" s="21"/>
      <c r="AVR23" s="21"/>
      <c r="AVS23" s="21"/>
      <c r="AVT23" s="21"/>
      <c r="AVU23" s="21"/>
      <c r="AVV23" s="21"/>
      <c r="AVW23" s="21"/>
      <c r="AVX23" s="21"/>
      <c r="AVY23" s="21"/>
      <c r="AVZ23" s="21"/>
      <c r="AWA23" s="21"/>
      <c r="AWB23" s="21"/>
      <c r="AWC23" s="21"/>
      <c r="AWD23" s="21"/>
      <c r="AWE23" s="21"/>
      <c r="AWF23" s="21"/>
      <c r="AWG23" s="21"/>
      <c r="AWH23" s="21"/>
      <c r="AWI23" s="21"/>
      <c r="AWJ23" s="21"/>
      <c r="AWK23" s="21"/>
      <c r="AWL23" s="21"/>
      <c r="AWM23" s="21"/>
      <c r="AWN23" s="21"/>
      <c r="AWO23" s="21"/>
      <c r="AWP23" s="21"/>
      <c r="AWQ23" s="21"/>
      <c r="AWR23" s="21"/>
      <c r="AWS23" s="21"/>
      <c r="AWT23" s="21"/>
      <c r="AWU23" s="21"/>
      <c r="AWV23" s="21"/>
      <c r="AWW23" s="21"/>
      <c r="AWX23" s="21"/>
      <c r="AWY23" s="21"/>
      <c r="AWZ23" s="21"/>
      <c r="AXA23" s="21"/>
      <c r="AXB23" s="21"/>
      <c r="AXC23" s="21"/>
      <c r="AXD23" s="21"/>
      <c r="AXE23" s="21"/>
      <c r="AXF23" s="21"/>
      <c r="AXG23" s="21"/>
      <c r="AXH23" s="21"/>
      <c r="AXI23" s="21"/>
      <c r="AXJ23" s="21"/>
      <c r="AXK23" s="21"/>
      <c r="AXL23" s="21"/>
      <c r="AXM23" s="21"/>
      <c r="AXN23" s="21"/>
      <c r="AXO23" s="21"/>
      <c r="AXP23" s="21"/>
      <c r="AXQ23" s="21"/>
      <c r="AXR23" s="21"/>
      <c r="AXS23" s="21"/>
      <c r="AXT23" s="21"/>
      <c r="AXU23" s="21"/>
      <c r="AXV23" s="21"/>
      <c r="AXW23" s="21"/>
      <c r="AXX23" s="21"/>
      <c r="AXY23" s="21"/>
      <c r="AXZ23" s="21"/>
      <c r="AYA23" s="21"/>
      <c r="AYB23" s="21"/>
      <c r="AYC23" s="21"/>
      <c r="AYD23" s="21"/>
      <c r="AYE23" s="21"/>
      <c r="AYF23" s="21"/>
      <c r="AYG23" s="21"/>
      <c r="AYH23" s="21"/>
      <c r="AYI23" s="21"/>
      <c r="AYJ23" s="21"/>
      <c r="AYK23" s="21"/>
      <c r="AYL23" s="21"/>
      <c r="AYM23" s="21"/>
      <c r="AYN23" s="21"/>
      <c r="AYO23" s="21"/>
      <c r="AYP23" s="21"/>
      <c r="AYQ23" s="21"/>
      <c r="AYR23" s="21"/>
      <c r="AYS23" s="21"/>
      <c r="AYT23" s="21"/>
      <c r="AYU23" s="21"/>
      <c r="AYV23" s="21"/>
      <c r="AYW23" s="21"/>
      <c r="AYX23" s="21"/>
      <c r="AYY23" s="21"/>
      <c r="AYZ23" s="21"/>
      <c r="AZA23" s="21"/>
      <c r="AZB23" s="21"/>
      <c r="AZC23" s="21"/>
      <c r="AZD23" s="21"/>
      <c r="AZE23" s="21"/>
      <c r="AZF23" s="21"/>
      <c r="AZG23" s="21"/>
      <c r="AZH23" s="21"/>
      <c r="AZI23" s="21"/>
      <c r="AZJ23" s="21"/>
      <c r="AZK23" s="21"/>
      <c r="AZL23" s="21"/>
      <c r="AZM23" s="21"/>
      <c r="AZN23" s="21"/>
      <c r="AZO23" s="21"/>
      <c r="AZP23" s="21"/>
      <c r="AZQ23" s="21"/>
      <c r="AZR23" s="21"/>
      <c r="AZS23" s="21"/>
      <c r="AZT23" s="21"/>
      <c r="AZU23" s="21"/>
      <c r="AZV23" s="21"/>
      <c r="AZW23" s="21"/>
      <c r="AZX23" s="21"/>
      <c r="AZY23" s="21"/>
      <c r="AZZ23" s="21"/>
      <c r="BAA23" s="21"/>
      <c r="BAB23" s="21"/>
      <c r="BAC23" s="21"/>
      <c r="BAD23" s="21"/>
      <c r="BAE23" s="21"/>
      <c r="BAF23" s="21"/>
      <c r="BAG23" s="21"/>
      <c r="BAH23" s="21"/>
      <c r="BAI23" s="21"/>
      <c r="BAJ23" s="21"/>
      <c r="BAK23" s="21"/>
      <c r="BAL23" s="21"/>
      <c r="BAM23" s="21"/>
      <c r="BAN23" s="21"/>
      <c r="BAO23" s="21"/>
      <c r="BAP23" s="21"/>
      <c r="BAQ23" s="21"/>
      <c r="BAR23" s="21"/>
      <c r="BAS23" s="21"/>
      <c r="BAT23" s="21"/>
      <c r="BAU23" s="21"/>
      <c r="BAV23" s="21"/>
      <c r="BAW23" s="21"/>
      <c r="BAX23" s="21"/>
      <c r="BAY23" s="21"/>
      <c r="BAZ23" s="21"/>
      <c r="BBA23" s="21"/>
      <c r="BBB23" s="21"/>
      <c r="BBC23" s="21"/>
      <c r="BBD23" s="21"/>
      <c r="BBE23" s="21"/>
      <c r="BBF23" s="21"/>
      <c r="BBG23" s="21"/>
      <c r="BBH23" s="21"/>
      <c r="BBI23" s="21"/>
      <c r="BBJ23" s="21"/>
      <c r="BBK23" s="21"/>
      <c r="BBL23" s="21"/>
      <c r="BBM23" s="21"/>
      <c r="BBN23" s="21"/>
      <c r="BBO23" s="21"/>
      <c r="BBP23" s="21"/>
      <c r="BBQ23" s="21"/>
      <c r="BBR23" s="21"/>
      <c r="BBS23" s="21"/>
      <c r="BBT23" s="21"/>
      <c r="BBU23" s="21"/>
      <c r="BBV23" s="21"/>
      <c r="BBW23" s="21"/>
      <c r="BBX23" s="21"/>
      <c r="BBY23" s="21"/>
      <c r="BBZ23" s="21"/>
      <c r="BCA23" s="21"/>
      <c r="BCB23" s="21"/>
      <c r="BCC23" s="21"/>
      <c r="BCD23" s="21"/>
      <c r="BCE23" s="21"/>
      <c r="BCF23" s="21"/>
      <c r="BCG23" s="21"/>
      <c r="BCH23" s="21"/>
      <c r="BCI23" s="21"/>
      <c r="BCJ23" s="21"/>
      <c r="BCK23" s="21"/>
      <c r="BCL23" s="21"/>
      <c r="BCM23" s="21"/>
      <c r="BCN23" s="21"/>
      <c r="BCO23" s="21"/>
      <c r="BCP23" s="21"/>
      <c r="BCQ23" s="21"/>
      <c r="BCR23" s="21"/>
      <c r="BCS23" s="21"/>
      <c r="BCT23" s="21"/>
      <c r="BCU23" s="21"/>
      <c r="BCV23" s="21"/>
      <c r="BCW23" s="21"/>
      <c r="BCX23" s="21"/>
      <c r="BCY23" s="21"/>
      <c r="BCZ23" s="21"/>
      <c r="BDA23" s="21"/>
      <c r="BDB23" s="21"/>
      <c r="BDC23" s="21"/>
      <c r="BDD23" s="21"/>
      <c r="BDE23" s="21"/>
      <c r="BDF23" s="21"/>
      <c r="BDG23" s="21"/>
      <c r="BDH23" s="21"/>
      <c r="BDI23" s="21"/>
      <c r="BDJ23" s="21"/>
      <c r="BDK23" s="21"/>
      <c r="BDL23" s="21"/>
      <c r="BDM23" s="21"/>
      <c r="BDN23" s="21"/>
      <c r="BDO23" s="21"/>
      <c r="BDP23" s="21"/>
      <c r="BDQ23" s="21"/>
      <c r="BDR23" s="21"/>
      <c r="BDS23" s="21"/>
      <c r="BDT23" s="21"/>
      <c r="BDU23" s="21"/>
      <c r="BDV23" s="21"/>
      <c r="BDW23" s="21"/>
      <c r="BDX23" s="21"/>
      <c r="BDY23" s="21"/>
      <c r="BDZ23" s="21"/>
      <c r="BEA23" s="21"/>
      <c r="BEB23" s="21"/>
      <c r="BEC23" s="21"/>
      <c r="BED23" s="21"/>
      <c r="BEE23" s="21"/>
      <c r="BEF23" s="21"/>
      <c r="BEG23" s="21"/>
      <c r="BEH23" s="21"/>
      <c r="BEI23" s="21"/>
      <c r="BEJ23" s="21"/>
      <c r="BEK23" s="21"/>
      <c r="BEL23" s="21"/>
      <c r="BEM23" s="21"/>
      <c r="BEN23" s="21"/>
      <c r="BEO23" s="21"/>
      <c r="BEP23" s="21"/>
      <c r="BEQ23" s="21"/>
      <c r="BER23" s="21"/>
      <c r="BES23" s="21"/>
      <c r="BET23" s="21"/>
      <c r="BEU23" s="21"/>
      <c r="BEV23" s="21"/>
      <c r="BEW23" s="21"/>
      <c r="BEX23" s="21"/>
      <c r="BEY23" s="21"/>
      <c r="BEZ23" s="21"/>
      <c r="BFA23" s="21"/>
      <c r="BFB23" s="21"/>
      <c r="BFC23" s="21"/>
      <c r="BFD23" s="21"/>
      <c r="BFE23" s="21"/>
      <c r="BFF23" s="21"/>
      <c r="BFG23" s="21"/>
      <c r="BFH23" s="21"/>
      <c r="BFI23" s="21"/>
      <c r="BFJ23" s="21"/>
      <c r="BFK23" s="21"/>
      <c r="BFL23" s="21"/>
      <c r="BFM23" s="21"/>
      <c r="BFN23" s="21"/>
      <c r="BFO23" s="21"/>
      <c r="BFP23" s="21"/>
      <c r="BFQ23" s="21"/>
      <c r="BFR23" s="21"/>
      <c r="BFS23" s="21"/>
      <c r="BFT23" s="21"/>
      <c r="BFU23" s="21"/>
      <c r="BFV23" s="21"/>
      <c r="BFW23" s="21"/>
      <c r="BFX23" s="21"/>
      <c r="BFY23" s="21"/>
      <c r="BFZ23" s="21"/>
      <c r="BGA23" s="21"/>
      <c r="BGB23" s="21"/>
      <c r="BGC23" s="21"/>
      <c r="BGD23" s="21"/>
      <c r="BGE23" s="21"/>
      <c r="BGF23" s="21"/>
      <c r="BGG23" s="21"/>
      <c r="BGH23" s="21"/>
      <c r="BGI23" s="21"/>
      <c r="BGJ23" s="21"/>
      <c r="BGK23" s="21"/>
      <c r="BGL23" s="21"/>
      <c r="BGM23" s="21"/>
      <c r="BGN23" s="21"/>
      <c r="BGO23" s="21"/>
      <c r="BGP23" s="21"/>
      <c r="BGQ23" s="21"/>
      <c r="BGR23" s="21"/>
      <c r="BGS23" s="21"/>
      <c r="BGT23" s="21"/>
      <c r="BGU23" s="21"/>
      <c r="BGV23" s="21"/>
      <c r="BGW23" s="21"/>
      <c r="BGX23" s="21"/>
      <c r="BGY23" s="21"/>
      <c r="BGZ23" s="21"/>
      <c r="BHA23" s="21"/>
      <c r="BHB23" s="21"/>
      <c r="BHC23" s="21"/>
      <c r="BHD23" s="21"/>
      <c r="BHE23" s="21"/>
      <c r="BHF23" s="21"/>
      <c r="BHG23" s="21"/>
      <c r="BHH23" s="21"/>
      <c r="BHI23" s="21"/>
      <c r="BHJ23" s="21"/>
      <c r="BHK23" s="21"/>
      <c r="BHL23" s="21"/>
      <c r="BHM23" s="21"/>
      <c r="BHN23" s="21"/>
      <c r="BHO23" s="21"/>
      <c r="BHP23" s="21"/>
      <c r="BHQ23" s="21"/>
      <c r="BHR23" s="21"/>
      <c r="BHS23" s="21"/>
      <c r="BHT23" s="21"/>
      <c r="BHU23" s="21"/>
      <c r="BHV23" s="21"/>
      <c r="BHW23" s="21"/>
      <c r="BHX23" s="21"/>
      <c r="BHY23" s="21"/>
      <c r="BHZ23" s="21"/>
      <c r="BIA23" s="21"/>
      <c r="BIB23" s="21"/>
      <c r="BIC23" s="21"/>
      <c r="BID23" s="21"/>
      <c r="BIE23" s="21"/>
      <c r="BIF23" s="21"/>
      <c r="BIG23" s="21"/>
      <c r="BIH23" s="21"/>
      <c r="BII23" s="21"/>
      <c r="BIJ23" s="21"/>
      <c r="BIK23" s="21"/>
      <c r="BIL23" s="21"/>
      <c r="BIM23" s="21"/>
      <c r="BIN23" s="21"/>
      <c r="BIO23" s="21"/>
      <c r="BIP23" s="21"/>
      <c r="BIQ23" s="21"/>
      <c r="BIR23" s="21"/>
      <c r="BIS23" s="21"/>
      <c r="BIT23" s="21"/>
      <c r="BIU23" s="21"/>
      <c r="BIV23" s="21"/>
      <c r="BIW23" s="21"/>
      <c r="BIX23" s="21"/>
      <c r="BIY23" s="21"/>
      <c r="BIZ23" s="21"/>
      <c r="BJA23" s="21"/>
      <c r="BJB23" s="21"/>
      <c r="BJC23" s="21"/>
      <c r="BJD23" s="21"/>
      <c r="BJE23" s="21"/>
      <c r="BJF23" s="21"/>
      <c r="BJG23" s="21"/>
      <c r="BJH23" s="21"/>
      <c r="BJI23" s="21"/>
      <c r="BJJ23" s="21"/>
      <c r="BJK23" s="21"/>
      <c r="BJL23" s="21"/>
      <c r="BJM23" s="21"/>
      <c r="BJN23" s="21"/>
      <c r="BJO23" s="21"/>
      <c r="BJP23" s="21"/>
      <c r="BJQ23" s="21"/>
      <c r="BJR23" s="21"/>
      <c r="BJS23" s="21"/>
      <c r="BJT23" s="21"/>
      <c r="BJU23" s="21"/>
      <c r="BJV23" s="21"/>
      <c r="BJW23" s="21"/>
      <c r="BJX23" s="21"/>
      <c r="BJY23" s="21"/>
      <c r="BJZ23" s="21"/>
      <c r="BKA23" s="21"/>
      <c r="BKB23" s="21"/>
      <c r="BKC23" s="21"/>
      <c r="BKD23" s="21"/>
      <c r="BKE23" s="21"/>
      <c r="BKF23" s="21"/>
      <c r="BKG23" s="21"/>
      <c r="BKH23" s="21"/>
      <c r="BKI23" s="21"/>
      <c r="BKJ23" s="21"/>
      <c r="BKK23" s="21"/>
      <c r="BKL23" s="21"/>
      <c r="BKM23" s="21"/>
      <c r="BKN23" s="21"/>
      <c r="BKO23" s="21"/>
      <c r="BKP23" s="21"/>
      <c r="BKQ23" s="21"/>
      <c r="BKR23" s="21"/>
      <c r="BKS23" s="21"/>
      <c r="BKT23" s="21"/>
      <c r="BKU23" s="21"/>
      <c r="BKV23" s="21"/>
      <c r="BKW23" s="21"/>
      <c r="BKX23" s="21"/>
      <c r="BKY23" s="21"/>
      <c r="BKZ23" s="21"/>
      <c r="BLA23" s="21"/>
      <c r="BLB23" s="21"/>
      <c r="BLC23" s="21"/>
      <c r="BLD23" s="21"/>
      <c r="BLE23" s="21"/>
      <c r="BLF23" s="21"/>
      <c r="BLG23" s="21"/>
      <c r="BLH23" s="21"/>
      <c r="BLI23" s="21"/>
      <c r="BLJ23" s="21"/>
      <c r="BLK23" s="21"/>
      <c r="BLL23" s="21"/>
      <c r="BLM23" s="21"/>
      <c r="BLN23" s="21"/>
      <c r="BLO23" s="21"/>
      <c r="BLP23" s="21"/>
      <c r="BLQ23" s="21"/>
      <c r="BLR23" s="21"/>
      <c r="BLS23" s="21"/>
      <c r="BLT23" s="21"/>
      <c r="BLU23" s="21"/>
      <c r="BLV23" s="21"/>
      <c r="BLW23" s="21"/>
      <c r="BLX23" s="21"/>
      <c r="BLY23" s="21"/>
      <c r="BLZ23" s="21"/>
      <c r="BMA23" s="21"/>
      <c r="BMB23" s="21"/>
      <c r="BMC23" s="21"/>
      <c r="BMD23" s="21"/>
      <c r="BME23" s="21"/>
      <c r="BMF23" s="21"/>
      <c r="BMG23" s="21"/>
      <c r="BMH23" s="21"/>
      <c r="BMI23" s="21"/>
      <c r="BMJ23" s="21"/>
      <c r="BMK23" s="21"/>
      <c r="BML23" s="21"/>
      <c r="BMM23" s="21"/>
      <c r="BMN23" s="21"/>
      <c r="BMO23" s="21"/>
      <c r="BMP23" s="21"/>
      <c r="BMQ23" s="21"/>
      <c r="BMR23" s="21"/>
      <c r="BMS23" s="21"/>
      <c r="BMT23" s="21"/>
      <c r="BMU23" s="21"/>
      <c r="BMV23" s="21"/>
      <c r="BMW23" s="21"/>
      <c r="BMX23" s="21"/>
      <c r="BMY23" s="21"/>
      <c r="BMZ23" s="21"/>
      <c r="BNA23" s="21"/>
      <c r="BNB23" s="21"/>
      <c r="BNC23" s="21"/>
      <c r="BND23" s="21"/>
      <c r="BNE23" s="21"/>
      <c r="BNF23" s="21"/>
      <c r="BNG23" s="21"/>
      <c r="BNH23" s="21"/>
      <c r="BNI23" s="21"/>
      <c r="BNJ23" s="21"/>
      <c r="BNK23" s="21"/>
      <c r="BNL23" s="21"/>
      <c r="BNM23" s="21"/>
      <c r="BNN23" s="21"/>
      <c r="BNO23" s="21"/>
      <c r="BNP23" s="21"/>
      <c r="BNQ23" s="21"/>
      <c r="BNR23" s="21"/>
      <c r="BNS23" s="21"/>
      <c r="BNT23" s="21"/>
      <c r="BNU23" s="21"/>
      <c r="BNV23" s="21"/>
      <c r="BNW23" s="21"/>
      <c r="BNX23" s="21"/>
      <c r="BNY23" s="21"/>
      <c r="BNZ23" s="21"/>
      <c r="BOA23" s="21"/>
      <c r="BOB23" s="21"/>
      <c r="BOC23" s="21"/>
      <c r="BOD23" s="21"/>
      <c r="BOE23" s="21"/>
      <c r="BOF23" s="21"/>
      <c r="BOG23" s="21"/>
      <c r="BOH23" s="21"/>
      <c r="BOI23" s="21"/>
      <c r="BOJ23" s="21"/>
      <c r="BOK23" s="21"/>
      <c r="BOL23" s="21"/>
      <c r="BOM23" s="21"/>
      <c r="BON23" s="21"/>
      <c r="BOO23" s="21"/>
      <c r="BOP23" s="21"/>
      <c r="BOQ23" s="21"/>
      <c r="BOR23" s="21"/>
      <c r="BOS23" s="21"/>
      <c r="BOT23" s="21"/>
      <c r="BOU23" s="21"/>
      <c r="BOV23" s="21"/>
      <c r="BOW23" s="21"/>
      <c r="BOX23" s="21"/>
      <c r="BOY23" s="21"/>
      <c r="BOZ23" s="21"/>
      <c r="BPA23" s="21"/>
      <c r="BPB23" s="21"/>
      <c r="BPC23" s="21"/>
      <c r="BPD23" s="21"/>
      <c r="BPE23" s="21"/>
      <c r="BPF23" s="21"/>
      <c r="BPG23" s="21"/>
      <c r="BPH23" s="21"/>
      <c r="BPI23" s="21"/>
      <c r="BPJ23" s="21"/>
      <c r="BPK23" s="21"/>
      <c r="BPL23" s="21"/>
      <c r="BPM23" s="21"/>
      <c r="BPN23" s="21"/>
      <c r="BPO23" s="21"/>
      <c r="BPP23" s="21"/>
      <c r="BPQ23" s="21"/>
      <c r="BPR23" s="21"/>
      <c r="BPS23" s="21"/>
      <c r="BPT23" s="21"/>
      <c r="BPU23" s="21"/>
      <c r="BPV23" s="21"/>
      <c r="BPW23" s="21"/>
      <c r="BPX23" s="21"/>
      <c r="BPY23" s="21"/>
      <c r="BPZ23" s="21"/>
      <c r="BQA23" s="21"/>
      <c r="BQB23" s="21"/>
      <c r="BQC23" s="21"/>
      <c r="BQD23" s="21"/>
      <c r="BQE23" s="21"/>
      <c r="BQF23" s="21"/>
      <c r="BQG23" s="21"/>
      <c r="BQH23" s="21"/>
      <c r="BQI23" s="21"/>
      <c r="BQJ23" s="21"/>
      <c r="BQK23" s="21"/>
      <c r="BQL23" s="21"/>
      <c r="BQM23" s="21"/>
      <c r="BQN23" s="21"/>
      <c r="BQO23" s="21"/>
      <c r="BQP23" s="21"/>
      <c r="BQQ23" s="21"/>
      <c r="BQR23" s="21"/>
      <c r="BQS23" s="21"/>
      <c r="BQT23" s="21"/>
      <c r="BQU23" s="21"/>
      <c r="BQV23" s="21"/>
      <c r="BQW23" s="21"/>
      <c r="BQX23" s="21"/>
      <c r="BQY23" s="21"/>
      <c r="BQZ23" s="21"/>
      <c r="BRA23" s="21"/>
      <c r="BRB23" s="21"/>
      <c r="BRC23" s="21"/>
      <c r="BRD23" s="21"/>
      <c r="BRE23" s="21"/>
      <c r="BRF23" s="21"/>
      <c r="BRG23" s="21"/>
      <c r="BRH23" s="21"/>
      <c r="BRI23" s="21"/>
      <c r="BRJ23" s="21"/>
      <c r="BRK23" s="21"/>
      <c r="BRL23" s="21"/>
      <c r="BRM23" s="21"/>
      <c r="BRN23" s="21"/>
      <c r="BRO23" s="21"/>
      <c r="BRP23" s="21"/>
      <c r="BRQ23" s="21"/>
      <c r="BRR23" s="21"/>
      <c r="BRS23" s="21"/>
      <c r="BRT23" s="21"/>
      <c r="BRU23" s="21"/>
      <c r="BRV23" s="21"/>
      <c r="BRW23" s="21"/>
      <c r="BRX23" s="21"/>
      <c r="BRY23" s="21"/>
      <c r="BRZ23" s="21"/>
      <c r="BSA23" s="21"/>
      <c r="BSB23" s="21"/>
      <c r="BSC23" s="21"/>
      <c r="BSD23" s="21"/>
      <c r="BSE23" s="21"/>
      <c r="BSF23" s="21"/>
      <c r="BSG23" s="21"/>
      <c r="BSH23" s="21"/>
      <c r="BSI23" s="21"/>
      <c r="BSJ23" s="21"/>
      <c r="BSK23" s="21"/>
      <c r="BSL23" s="21"/>
      <c r="BSM23" s="21"/>
      <c r="BSN23" s="21"/>
      <c r="BSO23" s="21"/>
      <c r="BSP23" s="21"/>
      <c r="BSQ23" s="21"/>
      <c r="BSR23" s="21"/>
      <c r="BSS23" s="21"/>
      <c r="BST23" s="21"/>
      <c r="BSU23" s="21"/>
      <c r="BSV23" s="21"/>
      <c r="BSW23" s="21"/>
      <c r="BSX23" s="21"/>
      <c r="BSY23" s="21"/>
      <c r="BSZ23" s="21"/>
      <c r="BTA23" s="21"/>
      <c r="BTB23" s="21"/>
      <c r="BTC23" s="21"/>
      <c r="BTD23" s="21"/>
      <c r="BTE23" s="21"/>
      <c r="BTF23" s="21"/>
      <c r="BTG23" s="21"/>
      <c r="BTH23" s="21"/>
      <c r="BTI23" s="21"/>
      <c r="BTJ23" s="21"/>
      <c r="BTK23" s="21"/>
      <c r="BTL23" s="21"/>
      <c r="BTM23" s="21"/>
      <c r="BTN23" s="21"/>
      <c r="BTO23" s="21"/>
      <c r="BTP23" s="21"/>
      <c r="BTQ23" s="21"/>
      <c r="BTR23" s="21"/>
      <c r="BTS23" s="21"/>
      <c r="BTT23" s="21"/>
      <c r="BTU23" s="21"/>
      <c r="BTV23" s="21"/>
      <c r="BTW23" s="21"/>
      <c r="BTX23" s="21"/>
      <c r="BTY23" s="21"/>
      <c r="BTZ23" s="21"/>
      <c r="BUA23" s="21"/>
      <c r="BUB23" s="21"/>
      <c r="BUC23" s="21"/>
      <c r="BUD23" s="21"/>
      <c r="BUE23" s="21"/>
      <c r="BUF23" s="21"/>
      <c r="BUG23" s="21"/>
      <c r="BUH23" s="21"/>
      <c r="BUI23" s="21"/>
      <c r="BUJ23" s="21"/>
      <c r="BUK23" s="21"/>
      <c r="BUL23" s="21"/>
      <c r="BUM23" s="21"/>
      <c r="BUN23" s="21"/>
      <c r="BUO23" s="21"/>
      <c r="BUP23" s="21"/>
      <c r="BUQ23" s="21"/>
      <c r="BUR23" s="21"/>
      <c r="BUS23" s="21"/>
      <c r="BUT23" s="21"/>
      <c r="BUU23" s="21"/>
      <c r="BUV23" s="21"/>
      <c r="BUW23" s="21"/>
      <c r="BUX23" s="21"/>
      <c r="BUY23" s="21"/>
      <c r="BUZ23" s="21"/>
      <c r="BVA23" s="21"/>
      <c r="BVB23" s="21"/>
      <c r="BVC23" s="21"/>
      <c r="BVD23" s="21"/>
      <c r="BVE23" s="21"/>
      <c r="BVF23" s="21"/>
      <c r="BVG23" s="21"/>
      <c r="BVH23" s="21"/>
      <c r="BVI23" s="21"/>
      <c r="BVJ23" s="21"/>
      <c r="BVK23" s="21"/>
      <c r="BVL23" s="21"/>
      <c r="BVM23" s="21"/>
      <c r="BVN23" s="21"/>
      <c r="BVO23" s="21"/>
      <c r="BVP23" s="21"/>
      <c r="BVQ23" s="21"/>
      <c r="BVR23" s="21"/>
      <c r="BVS23" s="21"/>
      <c r="BVT23" s="21"/>
      <c r="BVU23" s="21"/>
      <c r="BVV23" s="21"/>
      <c r="BVW23" s="21"/>
      <c r="BVX23" s="21"/>
      <c r="BVY23" s="21"/>
      <c r="BVZ23" s="21"/>
      <c r="BWA23" s="21"/>
      <c r="BWB23" s="21"/>
      <c r="BWC23" s="21"/>
      <c r="BWD23" s="21"/>
      <c r="BWE23" s="21"/>
      <c r="BWF23" s="21"/>
      <c r="BWG23" s="21"/>
      <c r="BWH23" s="21"/>
      <c r="BWI23" s="21"/>
      <c r="BWJ23" s="21"/>
      <c r="BWK23" s="21"/>
      <c r="BWL23" s="21"/>
      <c r="BWM23" s="21"/>
      <c r="BWN23" s="21"/>
      <c r="BWO23" s="21"/>
      <c r="BWP23" s="21"/>
      <c r="BWQ23" s="21"/>
      <c r="BWR23" s="21"/>
      <c r="BWS23" s="21"/>
      <c r="BWT23" s="21"/>
      <c r="BWU23" s="21"/>
      <c r="BWV23" s="21"/>
      <c r="BWW23" s="21"/>
      <c r="BWX23" s="21"/>
      <c r="BWY23" s="21"/>
      <c r="BWZ23" s="21"/>
      <c r="BXA23" s="21"/>
      <c r="BXB23" s="21"/>
      <c r="BXC23" s="21"/>
      <c r="BXD23" s="21"/>
      <c r="BXE23" s="21"/>
      <c r="BXF23" s="21"/>
      <c r="BXG23" s="21"/>
      <c r="BXH23" s="21"/>
      <c r="BXI23" s="21"/>
      <c r="BXJ23" s="21"/>
      <c r="BXK23" s="21"/>
      <c r="BXL23" s="21"/>
      <c r="BXM23" s="21"/>
      <c r="BXN23" s="21"/>
      <c r="BXO23" s="21"/>
      <c r="BXP23" s="21"/>
      <c r="BXQ23" s="21"/>
      <c r="BXR23" s="21"/>
      <c r="BXS23" s="21"/>
      <c r="BXT23" s="21"/>
      <c r="BXU23" s="21"/>
      <c r="BXV23" s="21"/>
      <c r="BXW23" s="21"/>
      <c r="BXX23" s="21"/>
      <c r="BXY23" s="21"/>
      <c r="BXZ23" s="21"/>
      <c r="BYA23" s="21"/>
      <c r="BYB23" s="21"/>
      <c r="BYC23" s="21"/>
      <c r="BYD23" s="21"/>
      <c r="BYE23" s="21"/>
      <c r="BYF23" s="21"/>
      <c r="BYG23" s="21"/>
      <c r="BYH23" s="21"/>
      <c r="BYI23" s="21"/>
      <c r="BYJ23" s="21"/>
      <c r="BYK23" s="21"/>
      <c r="BYL23" s="21"/>
      <c r="BYM23" s="21"/>
      <c r="BYN23" s="21"/>
      <c r="BYO23" s="21"/>
      <c r="BYP23" s="21"/>
      <c r="BYQ23" s="21"/>
      <c r="BYR23" s="21"/>
      <c r="BYS23" s="21"/>
      <c r="BYT23" s="21"/>
      <c r="BYU23" s="21"/>
      <c r="BYV23" s="21"/>
      <c r="BYW23" s="21"/>
      <c r="BYX23" s="21"/>
      <c r="BYY23" s="21"/>
      <c r="BYZ23" s="21"/>
      <c r="BZA23" s="21"/>
      <c r="BZB23" s="21"/>
      <c r="BZC23" s="21"/>
      <c r="BZD23" s="21"/>
      <c r="BZE23" s="21"/>
      <c r="BZF23" s="21"/>
      <c r="BZG23" s="21"/>
      <c r="BZH23" s="21"/>
      <c r="BZI23" s="21"/>
      <c r="BZJ23" s="21"/>
      <c r="BZK23" s="21"/>
      <c r="BZL23" s="21"/>
      <c r="BZM23" s="21"/>
      <c r="BZN23" s="21"/>
      <c r="BZO23" s="21"/>
      <c r="BZP23" s="21"/>
      <c r="BZQ23" s="21"/>
      <c r="BZR23" s="21"/>
      <c r="BZS23" s="21"/>
      <c r="BZT23" s="21"/>
      <c r="BZU23" s="21"/>
      <c r="BZV23" s="21"/>
      <c r="BZW23" s="21"/>
      <c r="BZX23" s="21"/>
      <c r="BZY23" s="21"/>
      <c r="BZZ23" s="21"/>
      <c r="CAA23" s="21"/>
      <c r="CAB23" s="21"/>
      <c r="CAC23" s="21"/>
      <c r="CAD23" s="21"/>
      <c r="CAE23" s="21"/>
      <c r="CAF23" s="21"/>
      <c r="CAG23" s="21"/>
      <c r="CAH23" s="21"/>
      <c r="CAI23" s="21"/>
      <c r="CAJ23" s="21"/>
      <c r="CAK23" s="21"/>
      <c r="CAL23" s="21"/>
      <c r="CAM23" s="21"/>
      <c r="CAN23" s="21"/>
      <c r="CAO23" s="21"/>
      <c r="CAP23" s="21"/>
      <c r="CAQ23" s="21"/>
      <c r="CAR23" s="21"/>
      <c r="CAS23" s="21"/>
      <c r="CAT23" s="21"/>
      <c r="CAU23" s="21"/>
      <c r="CAV23" s="21"/>
      <c r="CAW23" s="21"/>
      <c r="CAX23" s="21"/>
      <c r="CAY23" s="21"/>
      <c r="CAZ23" s="21"/>
      <c r="CBA23" s="21"/>
      <c r="CBB23" s="21"/>
      <c r="CBC23" s="21"/>
      <c r="CBD23" s="21"/>
      <c r="CBE23" s="21"/>
      <c r="CBF23" s="21"/>
      <c r="CBG23" s="21"/>
      <c r="CBH23" s="21"/>
      <c r="CBI23" s="21"/>
      <c r="CBJ23" s="21"/>
      <c r="CBK23" s="21"/>
      <c r="CBL23" s="21"/>
      <c r="CBM23" s="21"/>
      <c r="CBN23" s="21"/>
      <c r="CBO23" s="21"/>
      <c r="CBP23" s="21"/>
      <c r="CBQ23" s="21"/>
      <c r="CBR23" s="21"/>
      <c r="CBS23" s="21"/>
      <c r="CBT23" s="21"/>
      <c r="CBU23" s="21"/>
      <c r="CBV23" s="21"/>
      <c r="CBW23" s="21"/>
      <c r="CBX23" s="21"/>
      <c r="CBY23" s="21"/>
      <c r="CBZ23" s="21"/>
      <c r="CCA23" s="21"/>
      <c r="CCB23" s="21"/>
      <c r="CCC23" s="21"/>
      <c r="CCD23" s="21"/>
      <c r="CCE23" s="21"/>
      <c r="CCF23" s="21"/>
      <c r="CCG23" s="21"/>
      <c r="CCH23" s="21"/>
      <c r="CCI23" s="21"/>
      <c r="CCJ23" s="21"/>
      <c r="CCK23" s="21"/>
      <c r="CCL23" s="21"/>
      <c r="CCM23" s="21"/>
      <c r="CCN23" s="21"/>
      <c r="CCO23" s="21"/>
      <c r="CCP23" s="21"/>
      <c r="CCQ23" s="21"/>
      <c r="CCR23" s="21"/>
      <c r="CCS23" s="21"/>
      <c r="CCT23" s="21"/>
      <c r="CCU23" s="21"/>
      <c r="CCV23" s="21"/>
      <c r="CCW23" s="21"/>
      <c r="CCX23" s="21"/>
      <c r="CCY23" s="21"/>
      <c r="CCZ23" s="21"/>
      <c r="CDA23" s="21"/>
      <c r="CDB23" s="21"/>
      <c r="CDC23" s="21"/>
      <c r="CDD23" s="21"/>
      <c r="CDE23" s="21"/>
      <c r="CDF23" s="21"/>
      <c r="CDG23" s="21"/>
      <c r="CDH23" s="21"/>
      <c r="CDI23" s="21"/>
      <c r="CDJ23" s="21"/>
      <c r="CDK23" s="21"/>
      <c r="CDL23" s="21"/>
      <c r="CDM23" s="21"/>
      <c r="CDN23" s="21"/>
      <c r="CDO23" s="21"/>
      <c r="CDP23" s="21"/>
      <c r="CDQ23" s="21"/>
      <c r="CDR23" s="21"/>
      <c r="CDS23" s="21"/>
      <c r="CDT23" s="21"/>
      <c r="CDU23" s="21"/>
      <c r="CDV23" s="21"/>
      <c r="CDW23" s="21"/>
      <c r="CDX23" s="21"/>
      <c r="CDY23" s="21"/>
      <c r="CDZ23" s="21"/>
      <c r="CEA23" s="21"/>
      <c r="CEB23" s="21"/>
      <c r="CEC23" s="21"/>
      <c r="CED23" s="21"/>
      <c r="CEE23" s="21"/>
      <c r="CEF23" s="21"/>
      <c r="CEG23" s="21"/>
      <c r="CEH23" s="21"/>
      <c r="CEI23" s="21"/>
      <c r="CEJ23" s="21"/>
      <c r="CEK23" s="21"/>
      <c r="CEL23" s="21"/>
      <c r="CEM23" s="21"/>
      <c r="CEN23" s="21"/>
      <c r="CEO23" s="21"/>
      <c r="CEP23" s="21"/>
      <c r="CEQ23" s="21"/>
      <c r="CER23" s="21"/>
      <c r="CES23" s="21"/>
      <c r="CET23" s="21"/>
      <c r="CEU23" s="21"/>
      <c r="CEV23" s="21"/>
      <c r="CEW23" s="21"/>
      <c r="CEX23" s="21"/>
      <c r="CEY23" s="21"/>
      <c r="CEZ23" s="21"/>
      <c r="CFA23" s="21"/>
      <c r="CFB23" s="21"/>
      <c r="CFC23" s="21"/>
      <c r="CFD23" s="21"/>
      <c r="CFE23" s="21"/>
      <c r="CFF23" s="21"/>
      <c r="CFG23" s="21"/>
      <c r="CFH23" s="21"/>
      <c r="CFI23" s="21"/>
      <c r="CFJ23" s="21"/>
      <c r="CFK23" s="21"/>
      <c r="CFL23" s="21"/>
      <c r="CFM23" s="21"/>
      <c r="CFN23" s="21"/>
      <c r="CFO23" s="21"/>
      <c r="CFP23" s="21"/>
      <c r="CFQ23" s="21"/>
      <c r="CFR23" s="21"/>
      <c r="CFS23" s="21"/>
      <c r="CFT23" s="21"/>
      <c r="CFU23" s="21"/>
      <c r="CFV23" s="21"/>
      <c r="CFW23" s="21"/>
      <c r="CFX23" s="21"/>
      <c r="CFY23" s="21"/>
      <c r="CFZ23" s="21"/>
      <c r="CGA23" s="21"/>
      <c r="CGB23" s="21"/>
      <c r="CGC23" s="21"/>
      <c r="CGD23" s="21"/>
      <c r="CGE23" s="21"/>
      <c r="CGF23" s="21"/>
      <c r="CGG23" s="21"/>
      <c r="CGH23" s="21"/>
      <c r="CGI23" s="21"/>
      <c r="CGJ23" s="21"/>
      <c r="CGK23" s="21"/>
      <c r="CGL23" s="21"/>
      <c r="CGM23" s="21"/>
      <c r="CGN23" s="21"/>
      <c r="CGO23" s="21"/>
      <c r="CGP23" s="21"/>
      <c r="CGQ23" s="21"/>
      <c r="CGR23" s="21"/>
      <c r="CGS23" s="21"/>
      <c r="CGT23" s="21"/>
      <c r="CGU23" s="21"/>
      <c r="CGV23" s="21"/>
      <c r="CGW23" s="21"/>
      <c r="CGX23" s="21"/>
      <c r="CGY23" s="21"/>
      <c r="CGZ23" s="21"/>
      <c r="CHA23" s="21"/>
      <c r="CHB23" s="21"/>
      <c r="CHC23" s="21"/>
      <c r="CHD23" s="21"/>
      <c r="CHE23" s="21"/>
      <c r="CHF23" s="21"/>
      <c r="CHG23" s="21"/>
      <c r="CHH23" s="21"/>
      <c r="CHI23" s="21"/>
      <c r="CHJ23" s="21"/>
      <c r="CHK23" s="21"/>
      <c r="CHL23" s="21"/>
      <c r="CHM23" s="21"/>
      <c r="CHN23" s="21"/>
      <c r="CHO23" s="21"/>
      <c r="CHP23" s="21"/>
      <c r="CHQ23" s="21"/>
      <c r="CHR23" s="21"/>
      <c r="CHS23" s="21"/>
      <c r="CHT23" s="21"/>
      <c r="CHU23" s="21"/>
      <c r="CHV23" s="21"/>
      <c r="CHW23" s="21"/>
      <c r="CHX23" s="21"/>
      <c r="CHY23" s="21"/>
      <c r="CHZ23" s="21"/>
      <c r="CIA23" s="21"/>
      <c r="CIB23" s="21"/>
      <c r="CIC23" s="21"/>
      <c r="CID23" s="21"/>
      <c r="CIE23" s="21"/>
      <c r="CIF23" s="21"/>
      <c r="CIG23" s="21"/>
      <c r="CIH23" s="21"/>
      <c r="CII23" s="21"/>
      <c r="CIJ23" s="21"/>
      <c r="CIK23" s="21"/>
      <c r="CIL23" s="21"/>
      <c r="CIM23" s="21"/>
      <c r="CIN23" s="21"/>
      <c r="CIO23" s="21"/>
      <c r="CIP23" s="21"/>
      <c r="CIQ23" s="21"/>
      <c r="CIR23" s="21"/>
      <c r="CIS23" s="21"/>
      <c r="CIT23" s="21"/>
      <c r="CIU23" s="21"/>
      <c r="CIV23" s="21"/>
      <c r="CIW23" s="21"/>
      <c r="CIX23" s="21"/>
      <c r="CIY23" s="21"/>
      <c r="CIZ23" s="21"/>
      <c r="CJA23" s="21"/>
      <c r="CJB23" s="21"/>
      <c r="CJC23" s="21"/>
      <c r="CJD23" s="21"/>
      <c r="CJE23" s="21"/>
      <c r="CJF23" s="21"/>
      <c r="CJG23" s="21"/>
      <c r="CJH23" s="21"/>
      <c r="CJI23" s="21"/>
      <c r="CJJ23" s="21"/>
      <c r="CJK23" s="21"/>
      <c r="CJL23" s="21"/>
      <c r="CJM23" s="21"/>
      <c r="CJN23" s="21"/>
      <c r="CJO23" s="21"/>
      <c r="CJP23" s="21"/>
      <c r="CJQ23" s="21"/>
      <c r="CJR23" s="21"/>
      <c r="CJS23" s="21"/>
      <c r="CJT23" s="21"/>
      <c r="CJU23" s="21"/>
      <c r="CJV23" s="21"/>
      <c r="CJW23" s="21"/>
      <c r="CJX23" s="21"/>
      <c r="CJY23" s="21"/>
      <c r="CJZ23" s="21"/>
      <c r="CKA23" s="21"/>
      <c r="CKB23" s="21"/>
      <c r="CKC23" s="21"/>
      <c r="CKD23" s="21"/>
      <c r="CKE23" s="21"/>
      <c r="CKF23" s="21"/>
      <c r="CKG23" s="21"/>
      <c r="CKH23" s="21"/>
      <c r="CKI23" s="21"/>
      <c r="CKJ23" s="21"/>
      <c r="CKK23" s="21"/>
      <c r="CKL23" s="21"/>
      <c r="CKM23" s="21"/>
      <c r="CKN23" s="21"/>
      <c r="CKO23" s="21"/>
      <c r="CKP23" s="21"/>
      <c r="CKQ23" s="21"/>
      <c r="CKR23" s="21"/>
      <c r="CKS23" s="21"/>
      <c r="CKT23" s="21"/>
      <c r="CKU23" s="21"/>
      <c r="CKV23" s="21"/>
      <c r="CKW23" s="21"/>
      <c r="CKX23" s="21"/>
      <c r="CKY23" s="21"/>
      <c r="CKZ23" s="21"/>
      <c r="CLA23" s="21"/>
      <c r="CLB23" s="21"/>
      <c r="CLC23" s="21"/>
      <c r="CLD23" s="21"/>
      <c r="CLE23" s="21"/>
      <c r="CLF23" s="21"/>
      <c r="CLG23" s="21"/>
      <c r="CLH23" s="21"/>
      <c r="CLI23" s="21"/>
      <c r="CLJ23" s="21"/>
      <c r="CLK23" s="21"/>
      <c r="CLL23" s="21"/>
      <c r="CLM23" s="21"/>
      <c r="CLN23" s="21"/>
      <c r="CLO23" s="21"/>
      <c r="CLP23" s="21"/>
      <c r="CLQ23" s="21"/>
      <c r="CLR23" s="21"/>
      <c r="CLS23" s="21"/>
      <c r="CLT23" s="21"/>
      <c r="CLU23" s="21"/>
      <c r="CLV23" s="21"/>
      <c r="CLW23" s="21"/>
      <c r="CLX23" s="21"/>
      <c r="CLY23" s="21"/>
      <c r="CLZ23" s="21"/>
      <c r="CMA23" s="21"/>
      <c r="CMB23" s="21"/>
      <c r="CMC23" s="21"/>
      <c r="CMD23" s="21"/>
      <c r="CME23" s="21"/>
      <c r="CMF23" s="21"/>
      <c r="CMG23" s="21"/>
      <c r="CMH23" s="21"/>
      <c r="CMI23" s="21"/>
      <c r="CMJ23" s="21"/>
      <c r="CMK23" s="21"/>
      <c r="CML23" s="21"/>
      <c r="CMM23" s="21"/>
      <c r="CMN23" s="21"/>
      <c r="CMO23" s="21"/>
      <c r="CMP23" s="21"/>
      <c r="CMQ23" s="21"/>
      <c r="CMR23" s="21"/>
      <c r="CMS23" s="21"/>
      <c r="CMT23" s="21"/>
      <c r="CMU23" s="21"/>
      <c r="CMV23" s="21"/>
      <c r="CMW23" s="21"/>
      <c r="CMX23" s="21"/>
      <c r="CMY23" s="21"/>
      <c r="CMZ23" s="21"/>
      <c r="CNA23" s="21"/>
      <c r="CNB23" s="21"/>
      <c r="CNC23" s="21"/>
      <c r="CND23" s="21"/>
      <c r="CNE23" s="21"/>
      <c r="CNF23" s="21"/>
      <c r="CNG23" s="21"/>
      <c r="CNH23" s="21"/>
      <c r="CNI23" s="21"/>
      <c r="CNJ23" s="21"/>
      <c r="CNK23" s="21"/>
      <c r="CNL23" s="21"/>
      <c r="CNM23" s="21"/>
      <c r="CNN23" s="21"/>
      <c r="CNO23" s="21"/>
      <c r="CNP23" s="21"/>
      <c r="CNQ23" s="21"/>
      <c r="CNR23" s="21"/>
      <c r="CNS23" s="21"/>
      <c r="CNT23" s="21"/>
      <c r="CNU23" s="21"/>
      <c r="CNV23" s="21"/>
      <c r="CNW23" s="21"/>
      <c r="CNX23" s="21"/>
      <c r="CNY23" s="21"/>
      <c r="CNZ23" s="21"/>
      <c r="COA23" s="21"/>
      <c r="COB23" s="21"/>
      <c r="COC23" s="21"/>
      <c r="COD23" s="21"/>
      <c r="COE23" s="21"/>
      <c r="COF23" s="21"/>
      <c r="COG23" s="21"/>
      <c r="COH23" s="21"/>
      <c r="COI23" s="21"/>
      <c r="COJ23" s="21"/>
      <c r="COK23" s="21"/>
      <c r="COL23" s="21"/>
      <c r="COM23" s="21"/>
      <c r="CON23" s="21"/>
      <c r="COO23" s="21"/>
      <c r="COP23" s="21"/>
      <c r="COQ23" s="21"/>
      <c r="COR23" s="21"/>
      <c r="COS23" s="21"/>
      <c r="COT23" s="21"/>
      <c r="COU23" s="21"/>
      <c r="COV23" s="21"/>
      <c r="COW23" s="21"/>
      <c r="COX23" s="21"/>
      <c r="COY23" s="21"/>
      <c r="COZ23" s="21"/>
      <c r="CPA23" s="21"/>
      <c r="CPB23" s="21"/>
      <c r="CPC23" s="21"/>
      <c r="CPD23" s="21"/>
      <c r="CPE23" s="21"/>
      <c r="CPF23" s="21"/>
      <c r="CPG23" s="21"/>
      <c r="CPH23" s="21"/>
      <c r="CPI23" s="21"/>
      <c r="CPJ23" s="21"/>
      <c r="CPK23" s="21"/>
      <c r="CPL23" s="21"/>
      <c r="CPM23" s="21"/>
      <c r="CPN23" s="21"/>
      <c r="CPO23" s="21"/>
      <c r="CPP23" s="21"/>
      <c r="CPQ23" s="21"/>
      <c r="CPR23" s="21"/>
      <c r="CPS23" s="21"/>
      <c r="CPT23" s="21"/>
      <c r="CPU23" s="21"/>
      <c r="CPV23" s="21"/>
      <c r="CPW23" s="21"/>
      <c r="CPX23" s="21"/>
      <c r="CPY23" s="21"/>
      <c r="CPZ23" s="21"/>
      <c r="CQA23" s="21"/>
      <c r="CQB23" s="21"/>
      <c r="CQC23" s="21"/>
      <c r="CQD23" s="21"/>
      <c r="CQE23" s="21"/>
      <c r="CQF23" s="21"/>
      <c r="CQG23" s="21"/>
      <c r="CQH23" s="21"/>
      <c r="CQI23" s="21"/>
      <c r="CQJ23" s="21"/>
      <c r="CQK23" s="21"/>
      <c r="CQL23" s="21"/>
      <c r="CQM23" s="21"/>
      <c r="CQN23" s="21"/>
      <c r="CQO23" s="21"/>
      <c r="CQP23" s="21"/>
      <c r="CQQ23" s="21"/>
      <c r="CQR23" s="21"/>
      <c r="CQS23" s="21"/>
      <c r="CQT23" s="21"/>
      <c r="CQU23" s="21"/>
      <c r="CQV23" s="21"/>
      <c r="CQW23" s="21"/>
      <c r="CQX23" s="21"/>
      <c r="CQY23" s="21"/>
      <c r="CQZ23" s="21"/>
      <c r="CRA23" s="21"/>
      <c r="CRB23" s="21"/>
      <c r="CRC23" s="21"/>
      <c r="CRD23" s="21"/>
      <c r="CRE23" s="21"/>
      <c r="CRF23" s="21"/>
      <c r="CRG23" s="21"/>
      <c r="CRH23" s="21"/>
      <c r="CRI23" s="21"/>
      <c r="CRJ23" s="21"/>
      <c r="CRK23" s="21"/>
      <c r="CRL23" s="21"/>
      <c r="CRM23" s="21"/>
      <c r="CRN23" s="21"/>
      <c r="CRO23" s="21"/>
      <c r="CRP23" s="21"/>
      <c r="CRQ23" s="21"/>
      <c r="CRR23" s="21"/>
      <c r="CRS23" s="21"/>
      <c r="CRT23" s="21"/>
      <c r="CRU23" s="21"/>
      <c r="CRV23" s="21"/>
      <c r="CRW23" s="21"/>
      <c r="CRX23" s="21"/>
      <c r="CRY23" s="21"/>
      <c r="CRZ23" s="21"/>
      <c r="CSA23" s="21"/>
      <c r="CSB23" s="21"/>
      <c r="CSC23" s="21"/>
      <c r="CSD23" s="21"/>
      <c r="CSE23" s="21"/>
      <c r="CSF23" s="21"/>
      <c r="CSG23" s="21"/>
      <c r="CSH23" s="21"/>
      <c r="CSI23" s="21"/>
      <c r="CSJ23" s="21"/>
      <c r="CSK23" s="21"/>
      <c r="CSL23" s="21"/>
      <c r="CSM23" s="21"/>
      <c r="CSN23" s="21"/>
      <c r="CSO23" s="21"/>
      <c r="CSP23" s="21"/>
      <c r="CSQ23" s="21"/>
      <c r="CSR23" s="21"/>
      <c r="CSS23" s="21"/>
      <c r="CST23" s="21"/>
      <c r="CSU23" s="21"/>
      <c r="CSV23" s="21"/>
      <c r="CSW23" s="21"/>
      <c r="CSX23" s="21"/>
      <c r="CSY23" s="21"/>
      <c r="CSZ23" s="21"/>
      <c r="CTA23" s="21"/>
      <c r="CTB23" s="21"/>
      <c r="CTC23" s="21"/>
      <c r="CTD23" s="21"/>
      <c r="CTE23" s="21"/>
      <c r="CTF23" s="21"/>
      <c r="CTG23" s="21"/>
      <c r="CTH23" s="21"/>
      <c r="CTI23" s="21"/>
      <c r="CTJ23" s="21"/>
      <c r="CTK23" s="21"/>
      <c r="CTL23" s="21"/>
      <c r="CTM23" s="21"/>
      <c r="CTN23" s="21"/>
      <c r="CTO23" s="21"/>
      <c r="CTP23" s="21"/>
      <c r="CTQ23" s="21"/>
      <c r="CTR23" s="21"/>
      <c r="CTS23" s="21"/>
      <c r="CTT23" s="21"/>
      <c r="CTU23" s="21"/>
      <c r="CTV23" s="21"/>
      <c r="CTW23" s="21"/>
      <c r="CTX23" s="21"/>
      <c r="CTY23" s="21"/>
      <c r="CTZ23" s="21"/>
      <c r="CUA23" s="21"/>
      <c r="CUB23" s="21"/>
      <c r="CUC23" s="21"/>
      <c r="CUD23" s="21"/>
      <c r="CUE23" s="21"/>
      <c r="CUF23" s="21"/>
      <c r="CUG23" s="21"/>
      <c r="CUH23" s="21"/>
      <c r="CUI23" s="21"/>
      <c r="CUJ23" s="21"/>
      <c r="CUK23" s="21"/>
      <c r="CUL23" s="21"/>
      <c r="CUM23" s="21"/>
      <c r="CUN23" s="21"/>
      <c r="CUO23" s="21"/>
      <c r="CUP23" s="21"/>
      <c r="CUQ23" s="21"/>
      <c r="CUR23" s="21"/>
      <c r="CUS23" s="21"/>
      <c r="CUT23" s="21"/>
      <c r="CUU23" s="21"/>
      <c r="CUV23" s="21"/>
      <c r="CUW23" s="21"/>
      <c r="CUX23" s="21"/>
      <c r="CUY23" s="21"/>
      <c r="CUZ23" s="21"/>
      <c r="CVA23" s="21"/>
      <c r="CVB23" s="21"/>
      <c r="CVC23" s="21"/>
      <c r="CVD23" s="21"/>
      <c r="CVE23" s="21"/>
      <c r="CVF23" s="21"/>
      <c r="CVG23" s="21"/>
      <c r="CVH23" s="21"/>
      <c r="CVI23" s="21"/>
      <c r="CVJ23" s="21"/>
      <c r="CVK23" s="21"/>
      <c r="CVL23" s="21"/>
      <c r="CVM23" s="21"/>
      <c r="CVN23" s="21"/>
      <c r="CVO23" s="21"/>
      <c r="CVP23" s="21"/>
      <c r="CVQ23" s="21"/>
      <c r="CVR23" s="21"/>
      <c r="CVS23" s="21"/>
      <c r="CVT23" s="21"/>
      <c r="CVU23" s="21"/>
      <c r="CVV23" s="21"/>
      <c r="CVW23" s="21"/>
      <c r="CVX23" s="21"/>
      <c r="CVY23" s="21"/>
      <c r="CVZ23" s="21"/>
      <c r="CWA23" s="21"/>
      <c r="CWB23" s="21"/>
      <c r="CWC23" s="21"/>
      <c r="CWD23" s="21"/>
      <c r="CWE23" s="21"/>
      <c r="CWF23" s="21"/>
      <c r="CWG23" s="21"/>
      <c r="CWH23" s="21"/>
      <c r="CWI23" s="21"/>
      <c r="CWJ23" s="21"/>
      <c r="CWK23" s="21"/>
      <c r="CWL23" s="21"/>
      <c r="CWM23" s="21"/>
      <c r="CWN23" s="21"/>
      <c r="CWO23" s="21"/>
      <c r="CWP23" s="21"/>
      <c r="CWQ23" s="21"/>
      <c r="CWR23" s="21"/>
      <c r="CWS23" s="21"/>
      <c r="CWT23" s="21"/>
      <c r="CWU23" s="21"/>
      <c r="CWV23" s="21"/>
      <c r="CWW23" s="21"/>
      <c r="CWX23" s="21"/>
      <c r="CWY23" s="21"/>
      <c r="CWZ23" s="21"/>
      <c r="CXA23" s="21"/>
      <c r="CXB23" s="21"/>
      <c r="CXC23" s="21"/>
      <c r="CXD23" s="21"/>
      <c r="CXE23" s="21"/>
      <c r="CXF23" s="21"/>
      <c r="CXG23" s="21"/>
      <c r="CXH23" s="21"/>
      <c r="CXI23" s="21"/>
      <c r="CXJ23" s="21"/>
      <c r="CXK23" s="21"/>
      <c r="CXL23" s="21"/>
      <c r="CXM23" s="21"/>
      <c r="CXN23" s="21"/>
      <c r="CXO23" s="21"/>
      <c r="CXP23" s="21"/>
      <c r="CXQ23" s="21"/>
      <c r="CXR23" s="21"/>
      <c r="CXS23" s="21"/>
      <c r="CXT23" s="21"/>
      <c r="CXU23" s="21"/>
      <c r="CXV23" s="21"/>
      <c r="CXW23" s="21"/>
      <c r="CXX23" s="21"/>
      <c r="CXY23" s="21"/>
      <c r="CXZ23" s="21"/>
      <c r="CYA23" s="21"/>
      <c r="CYB23" s="21"/>
      <c r="CYC23" s="21"/>
      <c r="CYD23" s="21"/>
      <c r="CYE23" s="21"/>
      <c r="CYF23" s="21"/>
      <c r="CYG23" s="21"/>
      <c r="CYH23" s="21"/>
      <c r="CYI23" s="21"/>
      <c r="CYJ23" s="21"/>
      <c r="CYK23" s="21"/>
      <c r="CYL23" s="21"/>
      <c r="CYM23" s="21"/>
      <c r="CYN23" s="21"/>
      <c r="CYO23" s="21"/>
      <c r="CYP23" s="21"/>
      <c r="CYQ23" s="21"/>
      <c r="CYR23" s="21"/>
      <c r="CYS23" s="21"/>
      <c r="CYT23" s="21"/>
      <c r="CYU23" s="21"/>
      <c r="CYV23" s="21"/>
      <c r="CYW23" s="21"/>
      <c r="CYX23" s="21"/>
      <c r="CYY23" s="21"/>
      <c r="CYZ23" s="21"/>
      <c r="CZA23" s="21"/>
      <c r="CZB23" s="21"/>
      <c r="CZC23" s="21"/>
      <c r="CZD23" s="21"/>
      <c r="CZE23" s="21"/>
      <c r="CZF23" s="21"/>
      <c r="CZG23" s="21"/>
      <c r="CZH23" s="21"/>
      <c r="CZI23" s="21"/>
      <c r="CZJ23" s="21"/>
      <c r="CZK23" s="21"/>
      <c r="CZL23" s="21"/>
      <c r="CZM23" s="21"/>
      <c r="CZN23" s="21"/>
      <c r="CZO23" s="21"/>
      <c r="CZP23" s="21"/>
      <c r="CZQ23" s="21"/>
      <c r="CZR23" s="21"/>
      <c r="CZS23" s="21"/>
      <c r="CZT23" s="21"/>
      <c r="CZU23" s="21"/>
      <c r="CZV23" s="21"/>
      <c r="CZW23" s="21"/>
      <c r="CZX23" s="21"/>
      <c r="CZY23" s="21"/>
      <c r="CZZ23" s="21"/>
      <c r="DAA23" s="21"/>
      <c r="DAB23" s="21"/>
      <c r="DAC23" s="21"/>
      <c r="DAD23" s="21"/>
      <c r="DAE23" s="21"/>
      <c r="DAF23" s="21"/>
      <c r="DAG23" s="21"/>
      <c r="DAH23" s="21"/>
      <c r="DAI23" s="21"/>
      <c r="DAJ23" s="21"/>
      <c r="DAK23" s="21"/>
      <c r="DAL23" s="21"/>
      <c r="DAM23" s="21"/>
      <c r="DAN23" s="21"/>
      <c r="DAO23" s="21"/>
      <c r="DAP23" s="21"/>
      <c r="DAQ23" s="21"/>
      <c r="DAR23" s="21"/>
      <c r="DAS23" s="21"/>
      <c r="DAT23" s="21"/>
      <c r="DAU23" s="21"/>
      <c r="DAV23" s="21"/>
      <c r="DAW23" s="21"/>
      <c r="DAX23" s="21"/>
      <c r="DAY23" s="21"/>
      <c r="DAZ23" s="21"/>
      <c r="DBA23" s="21"/>
      <c r="DBB23" s="21"/>
      <c r="DBC23" s="21"/>
      <c r="DBD23" s="21"/>
      <c r="DBE23" s="21"/>
      <c r="DBF23" s="21"/>
      <c r="DBG23" s="21"/>
      <c r="DBH23" s="21"/>
      <c r="DBI23" s="21"/>
      <c r="DBJ23" s="21"/>
      <c r="DBK23" s="21"/>
      <c r="DBL23" s="21"/>
      <c r="DBM23" s="21"/>
      <c r="DBN23" s="21"/>
      <c r="DBO23" s="21"/>
      <c r="DBP23" s="21"/>
      <c r="DBQ23" s="21"/>
      <c r="DBR23" s="21"/>
      <c r="DBS23" s="21"/>
      <c r="DBT23" s="21"/>
      <c r="DBU23" s="21"/>
      <c r="DBV23" s="21"/>
      <c r="DBW23" s="21"/>
      <c r="DBX23" s="21"/>
      <c r="DBY23" s="21"/>
      <c r="DBZ23" s="21"/>
      <c r="DCA23" s="21"/>
      <c r="DCB23" s="21"/>
      <c r="DCC23" s="21"/>
      <c r="DCD23" s="21"/>
      <c r="DCE23" s="21"/>
      <c r="DCF23" s="21"/>
      <c r="DCG23" s="21"/>
      <c r="DCH23" s="21"/>
      <c r="DCI23" s="21"/>
      <c r="DCJ23" s="21"/>
      <c r="DCK23" s="21"/>
      <c r="DCL23" s="21"/>
      <c r="DCM23" s="21"/>
      <c r="DCN23" s="21"/>
      <c r="DCO23" s="21"/>
      <c r="DCP23" s="21"/>
      <c r="DCQ23" s="21"/>
      <c r="DCR23" s="21"/>
      <c r="DCS23" s="21"/>
      <c r="DCT23" s="21"/>
      <c r="DCU23" s="21"/>
      <c r="DCV23" s="21"/>
      <c r="DCW23" s="21"/>
      <c r="DCX23" s="21"/>
      <c r="DCY23" s="21"/>
      <c r="DCZ23" s="21"/>
      <c r="DDA23" s="21"/>
      <c r="DDB23" s="21"/>
      <c r="DDC23" s="21"/>
      <c r="DDD23" s="21"/>
      <c r="DDE23" s="21"/>
      <c r="DDF23" s="21"/>
      <c r="DDG23" s="21"/>
      <c r="DDH23" s="21"/>
      <c r="DDI23" s="21"/>
      <c r="DDJ23" s="21"/>
      <c r="DDK23" s="21"/>
      <c r="DDL23" s="21"/>
      <c r="DDM23" s="21"/>
      <c r="DDN23" s="21"/>
      <c r="DDO23" s="21"/>
      <c r="DDP23" s="21"/>
      <c r="DDQ23" s="21"/>
      <c r="DDR23" s="21"/>
      <c r="DDS23" s="21"/>
      <c r="DDT23" s="21"/>
      <c r="DDU23" s="21"/>
      <c r="DDV23" s="21"/>
      <c r="DDW23" s="21"/>
      <c r="DDX23" s="21"/>
      <c r="DDY23" s="21"/>
      <c r="DDZ23" s="21"/>
      <c r="DEA23" s="21"/>
      <c r="DEB23" s="21"/>
      <c r="DEC23" s="21"/>
      <c r="DED23" s="21"/>
      <c r="DEE23" s="21"/>
      <c r="DEF23" s="21"/>
      <c r="DEG23" s="21"/>
      <c r="DEH23" s="21"/>
      <c r="DEI23" s="21"/>
      <c r="DEJ23" s="21"/>
      <c r="DEK23" s="21"/>
      <c r="DEL23" s="21"/>
      <c r="DEM23" s="21"/>
      <c r="DEN23" s="21"/>
      <c r="DEO23" s="21"/>
      <c r="DEP23" s="21"/>
      <c r="DEQ23" s="21"/>
      <c r="DER23" s="21"/>
      <c r="DES23" s="21"/>
      <c r="DET23" s="21"/>
      <c r="DEU23" s="21"/>
      <c r="DEV23" s="21"/>
      <c r="DEW23" s="21"/>
      <c r="DEX23" s="21"/>
      <c r="DEY23" s="21"/>
      <c r="DEZ23" s="21"/>
      <c r="DFA23" s="21"/>
      <c r="DFB23" s="21"/>
      <c r="DFC23" s="21"/>
      <c r="DFD23" s="21"/>
      <c r="DFE23" s="21"/>
      <c r="DFF23" s="21"/>
      <c r="DFG23" s="21"/>
      <c r="DFH23" s="21"/>
      <c r="DFI23" s="21"/>
      <c r="DFJ23" s="21"/>
      <c r="DFK23" s="21"/>
      <c r="DFL23" s="21"/>
      <c r="DFM23" s="21"/>
      <c r="DFN23" s="21"/>
      <c r="DFO23" s="21"/>
      <c r="DFP23" s="21"/>
      <c r="DFQ23" s="21"/>
      <c r="DFR23" s="21"/>
      <c r="DFS23" s="21"/>
      <c r="DFT23" s="21"/>
      <c r="DFU23" s="21"/>
      <c r="DFV23" s="21"/>
      <c r="DFW23" s="21"/>
      <c r="DFX23" s="21"/>
      <c r="DFY23" s="21"/>
      <c r="DFZ23" s="21"/>
      <c r="DGA23" s="21"/>
      <c r="DGB23" s="21"/>
      <c r="DGC23" s="21"/>
      <c r="DGD23" s="21"/>
      <c r="DGE23" s="21"/>
      <c r="DGF23" s="21"/>
      <c r="DGG23" s="21"/>
      <c r="DGH23" s="21"/>
      <c r="DGI23" s="21"/>
      <c r="DGJ23" s="21"/>
      <c r="DGK23" s="21"/>
      <c r="DGL23" s="21"/>
      <c r="DGM23" s="21"/>
      <c r="DGN23" s="21"/>
      <c r="DGO23" s="21"/>
      <c r="DGP23" s="21"/>
      <c r="DGQ23" s="21"/>
      <c r="DGR23" s="21"/>
      <c r="DGS23" s="21"/>
      <c r="DGT23" s="21"/>
      <c r="DGU23" s="21"/>
      <c r="DGV23" s="21"/>
      <c r="DGW23" s="21"/>
      <c r="DGX23" s="21"/>
      <c r="DGY23" s="21"/>
      <c r="DGZ23" s="21"/>
      <c r="DHA23" s="21"/>
      <c r="DHB23" s="21"/>
      <c r="DHC23" s="21"/>
      <c r="DHD23" s="21"/>
      <c r="DHE23" s="21"/>
      <c r="DHF23" s="21"/>
      <c r="DHG23" s="21"/>
      <c r="DHH23" s="21"/>
      <c r="DHI23" s="21"/>
      <c r="DHJ23" s="21"/>
      <c r="DHK23" s="21"/>
      <c r="DHL23" s="21"/>
      <c r="DHM23" s="21"/>
      <c r="DHN23" s="21"/>
      <c r="DHO23" s="21"/>
      <c r="DHP23" s="21"/>
      <c r="DHQ23" s="21"/>
      <c r="DHR23" s="21"/>
      <c r="DHS23" s="21"/>
      <c r="DHT23" s="21"/>
      <c r="DHU23" s="21"/>
      <c r="DHV23" s="21"/>
      <c r="DHW23" s="21"/>
      <c r="DHX23" s="21"/>
      <c r="DHY23" s="21"/>
      <c r="DHZ23" s="21"/>
      <c r="DIA23" s="21"/>
      <c r="DIB23" s="21"/>
      <c r="DIC23" s="21"/>
      <c r="DID23" s="21"/>
      <c r="DIE23" s="21"/>
      <c r="DIF23" s="21"/>
      <c r="DIG23" s="21"/>
      <c r="DIH23" s="21"/>
      <c r="DII23" s="21"/>
      <c r="DIJ23" s="21"/>
      <c r="DIK23" s="21"/>
      <c r="DIL23" s="21"/>
      <c r="DIM23" s="21"/>
      <c r="DIN23" s="21"/>
      <c r="DIO23" s="21"/>
      <c r="DIP23" s="21"/>
      <c r="DIQ23" s="21"/>
      <c r="DIR23" s="21"/>
      <c r="DIS23" s="21"/>
      <c r="DIT23" s="21"/>
      <c r="DIU23" s="21"/>
      <c r="DIV23" s="21"/>
      <c r="DIW23" s="21"/>
      <c r="DIX23" s="21"/>
      <c r="DIY23" s="21"/>
      <c r="DIZ23" s="21"/>
      <c r="DJA23" s="21"/>
      <c r="DJB23" s="21"/>
      <c r="DJC23" s="21"/>
      <c r="DJD23" s="21"/>
      <c r="DJE23" s="21"/>
      <c r="DJF23" s="21"/>
      <c r="DJG23" s="21"/>
      <c r="DJH23" s="21"/>
      <c r="DJI23" s="21"/>
      <c r="DJJ23" s="21"/>
      <c r="DJK23" s="21"/>
      <c r="DJL23" s="21"/>
      <c r="DJM23" s="21"/>
      <c r="DJN23" s="21"/>
      <c r="DJO23" s="21"/>
      <c r="DJP23" s="21"/>
      <c r="DJQ23" s="21"/>
      <c r="DJR23" s="21"/>
      <c r="DJS23" s="21"/>
      <c r="DJT23" s="21"/>
      <c r="DJU23" s="21"/>
      <c r="DJV23" s="21"/>
      <c r="DJW23" s="21"/>
      <c r="DJX23" s="21"/>
      <c r="DJY23" s="21"/>
      <c r="DJZ23" s="21"/>
      <c r="DKA23" s="21"/>
      <c r="DKB23" s="21"/>
      <c r="DKC23" s="21"/>
      <c r="DKD23" s="21"/>
      <c r="DKE23" s="21"/>
      <c r="DKF23" s="21"/>
      <c r="DKG23" s="21"/>
      <c r="DKH23" s="21"/>
      <c r="DKI23" s="21"/>
      <c r="DKJ23" s="21"/>
      <c r="DKK23" s="21"/>
      <c r="DKL23" s="21"/>
      <c r="DKM23" s="21"/>
      <c r="DKN23" s="21"/>
      <c r="DKO23" s="21"/>
      <c r="DKP23" s="21"/>
      <c r="DKQ23" s="21"/>
      <c r="DKR23" s="21"/>
      <c r="DKS23" s="21"/>
      <c r="DKT23" s="21"/>
      <c r="DKU23" s="21"/>
      <c r="DKV23" s="21"/>
      <c r="DKW23" s="21"/>
      <c r="DKX23" s="21"/>
      <c r="DKY23" s="21"/>
      <c r="DKZ23" s="21"/>
      <c r="DLA23" s="21"/>
      <c r="DLB23" s="21"/>
      <c r="DLC23" s="21"/>
      <c r="DLD23" s="21"/>
      <c r="DLE23" s="21"/>
      <c r="DLF23" s="21"/>
      <c r="DLG23" s="21"/>
      <c r="DLH23" s="21"/>
      <c r="DLI23" s="21"/>
      <c r="DLJ23" s="21"/>
      <c r="DLK23" s="21"/>
      <c r="DLL23" s="21"/>
      <c r="DLM23" s="21"/>
      <c r="DLN23" s="21"/>
      <c r="DLO23" s="21"/>
      <c r="DLP23" s="21"/>
      <c r="DLQ23" s="21"/>
      <c r="DLR23" s="21"/>
      <c r="DLS23" s="21"/>
      <c r="DLT23" s="21"/>
      <c r="DLU23" s="21"/>
      <c r="DLV23" s="21"/>
      <c r="DLW23" s="21"/>
      <c r="DLX23" s="21"/>
      <c r="DLY23" s="21"/>
      <c r="DLZ23" s="21"/>
      <c r="DMA23" s="21"/>
      <c r="DMB23" s="21"/>
      <c r="DMC23" s="21"/>
      <c r="DMD23" s="21"/>
      <c r="DME23" s="21"/>
      <c r="DMF23" s="21"/>
      <c r="DMG23" s="21"/>
      <c r="DMH23" s="21"/>
      <c r="DMI23" s="21"/>
      <c r="DMJ23" s="21"/>
      <c r="DMK23" s="21"/>
      <c r="DML23" s="21"/>
      <c r="DMM23" s="21"/>
      <c r="DMN23" s="21"/>
      <c r="DMO23" s="21"/>
      <c r="DMP23" s="21"/>
      <c r="DMQ23" s="21"/>
      <c r="DMR23" s="21"/>
      <c r="DMS23" s="21"/>
      <c r="DMT23" s="21"/>
      <c r="DMU23" s="21"/>
      <c r="DMV23" s="21"/>
      <c r="DMW23" s="21"/>
      <c r="DMX23" s="21"/>
      <c r="DMY23" s="21"/>
      <c r="DMZ23" s="21"/>
      <c r="DNA23" s="21"/>
      <c r="DNB23" s="21"/>
      <c r="DNC23" s="21"/>
      <c r="DND23" s="21"/>
      <c r="DNE23" s="21"/>
      <c r="DNF23" s="21"/>
      <c r="DNG23" s="21"/>
      <c r="DNH23" s="21"/>
      <c r="DNI23" s="21"/>
      <c r="DNJ23" s="21"/>
      <c r="DNK23" s="21"/>
      <c r="DNL23" s="21"/>
      <c r="DNM23" s="21"/>
      <c r="DNN23" s="21"/>
      <c r="DNO23" s="21"/>
      <c r="DNP23" s="21"/>
      <c r="DNQ23" s="21"/>
      <c r="DNR23" s="21"/>
      <c r="DNS23" s="21"/>
      <c r="DNT23" s="21"/>
      <c r="DNU23" s="21"/>
      <c r="DNV23" s="21"/>
      <c r="DNW23" s="21"/>
      <c r="DNX23" s="21"/>
      <c r="DNY23" s="21"/>
      <c r="DNZ23" s="21"/>
      <c r="DOA23" s="21"/>
      <c r="DOB23" s="21"/>
      <c r="DOC23" s="21"/>
      <c r="DOD23" s="21"/>
      <c r="DOE23" s="21"/>
      <c r="DOF23" s="21"/>
      <c r="DOG23" s="21"/>
      <c r="DOH23" s="21"/>
      <c r="DOI23" s="21"/>
      <c r="DOJ23" s="21"/>
      <c r="DOK23" s="21"/>
      <c r="DOL23" s="21"/>
      <c r="DOM23" s="21"/>
      <c r="DON23" s="21"/>
      <c r="DOO23" s="21"/>
      <c r="DOP23" s="21"/>
      <c r="DOQ23" s="21"/>
      <c r="DOR23" s="21"/>
      <c r="DOS23" s="21"/>
      <c r="DOT23" s="21"/>
      <c r="DOU23" s="21"/>
      <c r="DOV23" s="21"/>
      <c r="DOW23" s="21"/>
      <c r="DOX23" s="21"/>
      <c r="DOY23" s="21"/>
      <c r="DOZ23" s="21"/>
      <c r="DPA23" s="21"/>
      <c r="DPB23" s="21"/>
      <c r="DPC23" s="21"/>
      <c r="DPD23" s="21"/>
      <c r="DPE23" s="21"/>
      <c r="DPF23" s="21"/>
      <c r="DPG23" s="21"/>
      <c r="DPH23" s="21"/>
      <c r="DPI23" s="21"/>
      <c r="DPJ23" s="21"/>
      <c r="DPK23" s="21"/>
      <c r="DPL23" s="21"/>
      <c r="DPM23" s="21"/>
      <c r="DPN23" s="21"/>
      <c r="DPO23" s="21"/>
      <c r="DPP23" s="21"/>
      <c r="DPQ23" s="21"/>
      <c r="DPR23" s="21"/>
      <c r="DPS23" s="21"/>
      <c r="DPT23" s="21"/>
      <c r="DPU23" s="21"/>
      <c r="DPV23" s="21"/>
      <c r="DPW23" s="21"/>
      <c r="DPX23" s="21"/>
      <c r="DPY23" s="21"/>
      <c r="DPZ23" s="21"/>
      <c r="DQA23" s="21"/>
      <c r="DQB23" s="21"/>
      <c r="DQC23" s="21"/>
      <c r="DQD23" s="21"/>
      <c r="DQE23" s="21"/>
      <c r="DQF23" s="21"/>
      <c r="DQG23" s="21"/>
      <c r="DQH23" s="21"/>
      <c r="DQI23" s="21"/>
      <c r="DQJ23" s="21"/>
      <c r="DQK23" s="21"/>
      <c r="DQL23" s="21"/>
      <c r="DQM23" s="21"/>
      <c r="DQN23" s="21"/>
      <c r="DQO23" s="21"/>
      <c r="DQP23" s="21"/>
      <c r="DQQ23" s="21"/>
      <c r="DQR23" s="21"/>
      <c r="DQS23" s="21"/>
      <c r="DQT23" s="21"/>
      <c r="DQU23" s="21"/>
      <c r="DQV23" s="21"/>
      <c r="DQW23" s="21"/>
      <c r="DQX23" s="21"/>
      <c r="DQY23" s="21"/>
      <c r="DQZ23" s="21"/>
      <c r="DRA23" s="21"/>
      <c r="DRB23" s="21"/>
      <c r="DRC23" s="21"/>
      <c r="DRD23" s="21"/>
      <c r="DRE23" s="21"/>
      <c r="DRF23" s="21"/>
      <c r="DRG23" s="21"/>
      <c r="DRH23" s="21"/>
      <c r="DRI23" s="21"/>
      <c r="DRJ23" s="21"/>
      <c r="DRK23" s="21"/>
      <c r="DRL23" s="21"/>
      <c r="DRM23" s="21"/>
      <c r="DRN23" s="21"/>
      <c r="DRO23" s="21"/>
      <c r="DRP23" s="21"/>
      <c r="DRQ23" s="21"/>
      <c r="DRR23" s="21"/>
      <c r="DRS23" s="21"/>
      <c r="DRT23" s="21"/>
      <c r="DRU23" s="21"/>
      <c r="DRV23" s="21"/>
      <c r="DRW23" s="21"/>
      <c r="DRX23" s="21"/>
      <c r="DRY23" s="21"/>
      <c r="DRZ23" s="21"/>
      <c r="DSA23" s="21"/>
      <c r="DSB23" s="21"/>
      <c r="DSC23" s="21"/>
      <c r="DSD23" s="21"/>
      <c r="DSE23" s="21"/>
      <c r="DSF23" s="21"/>
      <c r="DSG23" s="21"/>
      <c r="DSH23" s="21"/>
      <c r="DSI23" s="21"/>
      <c r="DSJ23" s="21"/>
      <c r="DSK23" s="21"/>
      <c r="DSL23" s="21"/>
      <c r="DSM23" s="21"/>
      <c r="DSN23" s="21"/>
      <c r="DSO23" s="21"/>
      <c r="DSP23" s="21"/>
      <c r="DSQ23" s="21"/>
      <c r="DSR23" s="21"/>
      <c r="DSS23" s="21"/>
      <c r="DST23" s="21"/>
      <c r="DSU23" s="21"/>
      <c r="DSV23" s="21"/>
      <c r="DSW23" s="21"/>
      <c r="DSX23" s="21"/>
      <c r="DSY23" s="21"/>
      <c r="DSZ23" s="21"/>
      <c r="DTA23" s="21"/>
      <c r="DTB23" s="21"/>
      <c r="DTC23" s="21"/>
      <c r="DTD23" s="21"/>
      <c r="DTE23" s="21"/>
      <c r="DTF23" s="21"/>
      <c r="DTG23" s="21"/>
      <c r="DTH23" s="21"/>
      <c r="DTI23" s="21"/>
      <c r="DTJ23" s="21"/>
      <c r="DTK23" s="21"/>
      <c r="DTL23" s="21"/>
      <c r="DTM23" s="21"/>
      <c r="DTN23" s="21"/>
      <c r="DTO23" s="21"/>
      <c r="DTP23" s="21"/>
      <c r="DTQ23" s="21"/>
      <c r="DTR23" s="21"/>
      <c r="DTS23" s="21"/>
      <c r="DTT23" s="21"/>
      <c r="DTU23" s="21"/>
      <c r="DTV23" s="21"/>
      <c r="DTW23" s="21"/>
      <c r="DTX23" s="21"/>
      <c r="DTY23" s="21"/>
      <c r="DTZ23" s="21"/>
      <c r="DUA23" s="21"/>
      <c r="DUB23" s="21"/>
      <c r="DUC23" s="21"/>
      <c r="DUD23" s="21"/>
      <c r="DUE23" s="21"/>
      <c r="DUF23" s="21"/>
      <c r="DUG23" s="21"/>
      <c r="DUH23" s="21"/>
      <c r="DUI23" s="21"/>
      <c r="DUJ23" s="21"/>
      <c r="DUK23" s="21"/>
      <c r="DUL23" s="21"/>
      <c r="DUM23" s="21"/>
      <c r="DUN23" s="21"/>
      <c r="DUO23" s="21"/>
      <c r="DUP23" s="21"/>
      <c r="DUQ23" s="21"/>
      <c r="DUR23" s="21"/>
      <c r="DUS23" s="21"/>
      <c r="DUT23" s="21"/>
      <c r="DUU23" s="21"/>
      <c r="DUV23" s="21"/>
      <c r="DUW23" s="21"/>
      <c r="DUX23" s="21"/>
      <c r="DUY23" s="21"/>
      <c r="DUZ23" s="21"/>
      <c r="DVA23" s="21"/>
      <c r="DVB23" s="21"/>
      <c r="DVC23" s="21"/>
      <c r="DVD23" s="21"/>
      <c r="DVE23" s="21"/>
      <c r="DVF23" s="21"/>
      <c r="DVG23" s="21"/>
      <c r="DVH23" s="21"/>
      <c r="DVI23" s="21"/>
      <c r="DVJ23" s="21"/>
      <c r="DVK23" s="21"/>
      <c r="DVL23" s="21"/>
      <c r="DVM23" s="21"/>
      <c r="DVN23" s="21"/>
      <c r="DVO23" s="21"/>
      <c r="DVP23" s="21"/>
      <c r="DVQ23" s="21"/>
      <c r="DVR23" s="21"/>
      <c r="DVS23" s="21"/>
      <c r="DVT23" s="21"/>
      <c r="DVU23" s="21"/>
      <c r="DVV23" s="21"/>
      <c r="DVW23" s="21"/>
      <c r="DVX23" s="21"/>
      <c r="DVY23" s="21"/>
      <c r="DVZ23" s="21"/>
      <c r="DWA23" s="21"/>
      <c r="DWB23" s="21"/>
      <c r="DWC23" s="21"/>
      <c r="DWD23" s="21"/>
      <c r="DWE23" s="21"/>
      <c r="DWF23" s="21"/>
      <c r="DWG23" s="21"/>
      <c r="DWH23" s="21"/>
      <c r="DWI23" s="21"/>
      <c r="DWJ23" s="21"/>
      <c r="DWK23" s="21"/>
      <c r="DWL23" s="21"/>
      <c r="DWM23" s="21"/>
      <c r="DWN23" s="21"/>
      <c r="DWO23" s="21"/>
      <c r="DWP23" s="21"/>
      <c r="DWQ23" s="21"/>
      <c r="DWR23" s="21"/>
      <c r="DWS23" s="21"/>
      <c r="DWT23" s="21"/>
      <c r="DWU23" s="21"/>
      <c r="DWV23" s="21"/>
      <c r="DWW23" s="21"/>
      <c r="DWX23" s="21"/>
      <c r="DWY23" s="21"/>
      <c r="DWZ23" s="21"/>
      <c r="DXA23" s="21"/>
      <c r="DXB23" s="21"/>
      <c r="DXC23" s="21"/>
      <c r="DXD23" s="21"/>
      <c r="DXE23" s="21"/>
      <c r="DXF23" s="21"/>
      <c r="DXG23" s="21"/>
      <c r="DXH23" s="21"/>
      <c r="DXI23" s="21"/>
      <c r="DXJ23" s="21"/>
      <c r="DXK23" s="21"/>
      <c r="DXL23" s="21"/>
      <c r="DXM23" s="21"/>
      <c r="DXN23" s="21"/>
      <c r="DXO23" s="21"/>
      <c r="DXP23" s="21"/>
      <c r="DXQ23" s="21"/>
      <c r="DXR23" s="21"/>
      <c r="DXS23" s="21"/>
      <c r="DXT23" s="21"/>
      <c r="DXU23" s="21"/>
      <c r="DXV23" s="21"/>
      <c r="DXW23" s="21"/>
      <c r="DXX23" s="21"/>
      <c r="DXY23" s="21"/>
      <c r="DXZ23" s="21"/>
      <c r="DYA23" s="21"/>
      <c r="DYB23" s="21"/>
      <c r="DYC23" s="21"/>
      <c r="DYD23" s="21"/>
      <c r="DYE23" s="21"/>
      <c r="DYF23" s="21"/>
      <c r="DYG23" s="21"/>
      <c r="DYH23" s="21"/>
      <c r="DYI23" s="21"/>
      <c r="DYJ23" s="21"/>
      <c r="DYK23" s="21"/>
      <c r="DYL23" s="21"/>
      <c r="DYM23" s="21"/>
      <c r="DYN23" s="21"/>
      <c r="DYO23" s="21"/>
      <c r="DYP23" s="21"/>
      <c r="DYQ23" s="21"/>
      <c r="DYR23" s="21"/>
      <c r="DYS23" s="21"/>
      <c r="DYT23" s="21"/>
      <c r="DYU23" s="21"/>
      <c r="DYV23" s="21"/>
      <c r="DYW23" s="21"/>
      <c r="DYX23" s="21"/>
      <c r="DYY23" s="21"/>
      <c r="DYZ23" s="21"/>
      <c r="DZA23" s="21"/>
      <c r="DZB23" s="21"/>
      <c r="DZC23" s="21"/>
      <c r="DZD23" s="21"/>
      <c r="DZE23" s="21"/>
      <c r="DZF23" s="21"/>
      <c r="DZG23" s="21"/>
      <c r="DZH23" s="21"/>
      <c r="DZI23" s="21"/>
      <c r="DZJ23" s="21"/>
      <c r="DZK23" s="21"/>
      <c r="DZL23" s="21"/>
      <c r="DZM23" s="21"/>
      <c r="DZN23" s="21"/>
      <c r="DZO23" s="21"/>
      <c r="DZP23" s="21"/>
      <c r="DZQ23" s="21"/>
      <c r="DZR23" s="21"/>
      <c r="DZS23" s="21"/>
      <c r="DZT23" s="21"/>
      <c r="DZU23" s="21"/>
      <c r="DZV23" s="21"/>
      <c r="DZW23" s="21"/>
      <c r="DZX23" s="21"/>
      <c r="DZY23" s="21"/>
      <c r="DZZ23" s="21"/>
      <c r="EAA23" s="21"/>
      <c r="EAB23" s="21"/>
      <c r="EAC23" s="21"/>
      <c r="EAD23" s="21"/>
      <c r="EAE23" s="21"/>
      <c r="EAF23" s="21"/>
      <c r="EAG23" s="21"/>
      <c r="EAH23" s="21"/>
      <c r="EAI23" s="21"/>
      <c r="EAJ23" s="21"/>
      <c r="EAK23" s="21"/>
      <c r="EAL23" s="21"/>
      <c r="EAM23" s="21"/>
      <c r="EAN23" s="21"/>
      <c r="EAO23" s="21"/>
      <c r="EAP23" s="21"/>
      <c r="EAQ23" s="21"/>
      <c r="EAR23" s="21"/>
      <c r="EAS23" s="21"/>
      <c r="EAT23" s="21"/>
      <c r="EAU23" s="21"/>
      <c r="EAV23" s="21"/>
      <c r="EAW23" s="21"/>
      <c r="EAX23" s="21"/>
      <c r="EAY23" s="21"/>
      <c r="EAZ23" s="21"/>
      <c r="EBA23" s="21"/>
      <c r="EBB23" s="21"/>
      <c r="EBC23" s="21"/>
      <c r="EBD23" s="21"/>
      <c r="EBE23" s="21"/>
      <c r="EBF23" s="21"/>
      <c r="EBG23" s="21"/>
      <c r="EBH23" s="21"/>
      <c r="EBI23" s="21"/>
      <c r="EBJ23" s="21"/>
      <c r="EBK23" s="21"/>
      <c r="EBL23" s="21"/>
      <c r="EBM23" s="21"/>
      <c r="EBN23" s="21"/>
      <c r="EBO23" s="21"/>
      <c r="EBP23" s="21"/>
      <c r="EBQ23" s="21"/>
      <c r="EBR23" s="21"/>
      <c r="EBS23" s="21"/>
      <c r="EBT23" s="21"/>
      <c r="EBU23" s="21"/>
      <c r="EBV23" s="21"/>
      <c r="EBW23" s="21"/>
      <c r="EBX23" s="21"/>
      <c r="EBY23" s="21"/>
      <c r="EBZ23" s="21"/>
      <c r="ECA23" s="21"/>
      <c r="ECB23" s="21"/>
      <c r="ECC23" s="21"/>
      <c r="ECD23" s="21"/>
      <c r="ECE23" s="21"/>
      <c r="ECF23" s="21"/>
      <c r="ECG23" s="21"/>
      <c r="ECH23" s="21"/>
      <c r="ECI23" s="21"/>
      <c r="ECJ23" s="21"/>
      <c r="ECK23" s="21"/>
      <c r="ECL23" s="21"/>
      <c r="ECM23" s="21"/>
      <c r="ECN23" s="21"/>
      <c r="ECO23" s="21"/>
      <c r="ECP23" s="21"/>
      <c r="ECQ23" s="21"/>
      <c r="ECR23" s="21"/>
      <c r="ECS23" s="21"/>
      <c r="ECT23" s="21"/>
      <c r="ECU23" s="21"/>
      <c r="ECV23" s="21"/>
      <c r="ECW23" s="21"/>
      <c r="ECX23" s="21"/>
      <c r="ECY23" s="21"/>
      <c r="ECZ23" s="21"/>
      <c r="EDA23" s="21"/>
      <c r="EDB23" s="21"/>
      <c r="EDC23" s="21"/>
      <c r="EDD23" s="21"/>
      <c r="EDE23" s="21"/>
      <c r="EDF23" s="21"/>
      <c r="EDG23" s="21"/>
      <c r="EDH23" s="21"/>
      <c r="EDI23" s="21"/>
      <c r="EDJ23" s="21"/>
      <c r="EDK23" s="21"/>
      <c r="EDL23" s="21"/>
      <c r="EDM23" s="21"/>
      <c r="EDN23" s="21"/>
      <c r="EDO23" s="21"/>
      <c r="EDP23" s="21"/>
      <c r="EDQ23" s="21"/>
      <c r="EDR23" s="21"/>
      <c r="EDS23" s="21"/>
      <c r="EDT23" s="21"/>
      <c r="EDU23" s="21"/>
      <c r="EDV23" s="21"/>
      <c r="EDW23" s="21"/>
      <c r="EDX23" s="21"/>
      <c r="EDY23" s="21"/>
      <c r="EDZ23" s="21"/>
      <c r="EEA23" s="21"/>
      <c r="EEB23" s="21"/>
      <c r="EEC23" s="21"/>
      <c r="EED23" s="21"/>
      <c r="EEE23" s="21"/>
      <c r="EEF23" s="21"/>
      <c r="EEG23" s="21"/>
      <c r="EEH23" s="21"/>
      <c r="EEI23" s="21"/>
      <c r="EEJ23" s="21"/>
      <c r="EEK23" s="21"/>
      <c r="EEL23" s="21"/>
      <c r="EEM23" s="21"/>
      <c r="EEN23" s="21"/>
      <c r="EEO23" s="21"/>
      <c r="EEP23" s="21"/>
      <c r="EEQ23" s="21"/>
      <c r="EER23" s="21"/>
      <c r="EES23" s="21"/>
      <c r="EET23" s="21"/>
      <c r="EEU23" s="21"/>
      <c r="EEV23" s="21"/>
      <c r="EEW23" s="21"/>
      <c r="EEX23" s="21"/>
      <c r="EEY23" s="21"/>
      <c r="EEZ23" s="21"/>
      <c r="EFA23" s="21"/>
      <c r="EFB23" s="21"/>
      <c r="EFC23" s="21"/>
      <c r="EFD23" s="21"/>
      <c r="EFE23" s="21"/>
      <c r="EFF23" s="21"/>
      <c r="EFG23" s="21"/>
      <c r="EFH23" s="21"/>
      <c r="EFI23" s="21"/>
      <c r="EFJ23" s="21"/>
      <c r="EFK23" s="21"/>
      <c r="EFL23" s="21"/>
      <c r="EFM23" s="21"/>
      <c r="EFN23" s="21"/>
      <c r="EFO23" s="21"/>
      <c r="EFP23" s="21"/>
      <c r="EFQ23" s="21"/>
      <c r="EFR23" s="21"/>
      <c r="EFS23" s="21"/>
      <c r="EFT23" s="21"/>
      <c r="EFU23" s="21"/>
      <c r="EFV23" s="21"/>
      <c r="EFW23" s="21"/>
      <c r="EFX23" s="21"/>
      <c r="EFY23" s="21"/>
      <c r="EFZ23" s="21"/>
      <c r="EGA23" s="21"/>
      <c r="EGB23" s="21"/>
      <c r="EGC23" s="21"/>
      <c r="EGD23" s="21"/>
      <c r="EGE23" s="21"/>
      <c r="EGF23" s="21"/>
      <c r="EGG23" s="21"/>
      <c r="EGH23" s="21"/>
      <c r="EGI23" s="21"/>
      <c r="EGJ23" s="21"/>
      <c r="EGK23" s="21"/>
      <c r="EGL23" s="21"/>
      <c r="EGM23" s="21"/>
      <c r="EGN23" s="21"/>
      <c r="EGO23" s="21"/>
      <c r="EGP23" s="21"/>
      <c r="EGQ23" s="21"/>
      <c r="EGR23" s="21"/>
      <c r="EGS23" s="21"/>
      <c r="EGT23" s="21"/>
      <c r="EGU23" s="21"/>
      <c r="EGV23" s="21"/>
      <c r="EGW23" s="21"/>
      <c r="EGX23" s="21"/>
      <c r="EGY23" s="21"/>
      <c r="EGZ23" s="21"/>
      <c r="EHA23" s="21"/>
      <c r="EHB23" s="21"/>
      <c r="EHC23" s="21"/>
      <c r="EHD23" s="21"/>
      <c r="EHE23" s="21"/>
      <c r="EHF23" s="21"/>
      <c r="EHG23" s="21"/>
      <c r="EHH23" s="21"/>
      <c r="EHI23" s="21"/>
      <c r="EHJ23" s="21"/>
      <c r="EHK23" s="21"/>
      <c r="EHL23" s="21"/>
      <c r="EHM23" s="21"/>
      <c r="EHN23" s="21"/>
      <c r="EHO23" s="21"/>
      <c r="EHP23" s="21"/>
      <c r="EHQ23" s="21"/>
      <c r="EHR23" s="21"/>
      <c r="EHS23" s="21"/>
      <c r="EHT23" s="21"/>
      <c r="EHU23" s="21"/>
      <c r="EHV23" s="21"/>
      <c r="EHW23" s="21"/>
      <c r="EHX23" s="21"/>
      <c r="EHY23" s="21"/>
      <c r="EHZ23" s="21"/>
      <c r="EIA23" s="21"/>
      <c r="EIB23" s="21"/>
      <c r="EIC23" s="21"/>
      <c r="EID23" s="21"/>
      <c r="EIE23" s="21"/>
      <c r="EIF23" s="21"/>
      <c r="EIG23" s="21"/>
      <c r="EIH23" s="21"/>
      <c r="EII23" s="21"/>
      <c r="EIJ23" s="21"/>
      <c r="EIK23" s="21"/>
      <c r="EIL23" s="21"/>
      <c r="EIM23" s="21"/>
      <c r="EIN23" s="21"/>
      <c r="EIO23" s="21"/>
      <c r="EIP23" s="21"/>
      <c r="EIQ23" s="21"/>
      <c r="EIR23" s="21"/>
      <c r="EIS23" s="21"/>
      <c r="EIT23" s="21"/>
      <c r="EIU23" s="21"/>
      <c r="EIV23" s="21"/>
      <c r="EIW23" s="21"/>
      <c r="EIX23" s="21"/>
      <c r="EIY23" s="21"/>
      <c r="EIZ23" s="21"/>
      <c r="EJA23" s="21"/>
      <c r="EJB23" s="21"/>
      <c r="EJC23" s="21"/>
      <c r="EJD23" s="21"/>
      <c r="EJE23" s="21"/>
      <c r="EJF23" s="21"/>
      <c r="EJG23" s="21"/>
      <c r="EJH23" s="21"/>
      <c r="EJI23" s="21"/>
      <c r="EJJ23" s="21"/>
      <c r="EJK23" s="21"/>
      <c r="EJL23" s="21"/>
      <c r="EJM23" s="21"/>
      <c r="EJN23" s="21"/>
      <c r="EJO23" s="21"/>
      <c r="EJP23" s="21"/>
      <c r="EJQ23" s="21"/>
      <c r="EJR23" s="21"/>
      <c r="EJS23" s="21"/>
      <c r="EJT23" s="21"/>
      <c r="EJU23" s="21"/>
      <c r="EJV23" s="21"/>
      <c r="EJW23" s="21"/>
      <c r="EJX23" s="21"/>
      <c r="EJY23" s="21"/>
      <c r="EJZ23" s="21"/>
      <c r="EKA23" s="21"/>
      <c r="EKB23" s="21"/>
      <c r="EKC23" s="21"/>
      <c r="EKD23" s="21"/>
      <c r="EKE23" s="21"/>
      <c r="EKF23" s="21"/>
      <c r="EKG23" s="21"/>
      <c r="EKH23" s="21"/>
      <c r="EKI23" s="21"/>
      <c r="EKJ23" s="21"/>
      <c r="EKK23" s="21"/>
      <c r="EKL23" s="21"/>
      <c r="EKM23" s="21"/>
      <c r="EKN23" s="21"/>
      <c r="EKO23" s="21"/>
      <c r="EKP23" s="21"/>
      <c r="EKQ23" s="21"/>
      <c r="EKR23" s="21"/>
      <c r="EKS23" s="21"/>
      <c r="EKT23" s="21"/>
      <c r="EKU23" s="21"/>
      <c r="EKV23" s="21"/>
      <c r="EKW23" s="21"/>
      <c r="EKX23" s="21"/>
      <c r="EKY23" s="21"/>
      <c r="EKZ23" s="21"/>
      <c r="ELA23" s="21"/>
      <c r="ELB23" s="21"/>
      <c r="ELC23" s="21"/>
      <c r="ELD23" s="21"/>
      <c r="ELE23" s="21"/>
      <c r="ELF23" s="21"/>
      <c r="ELG23" s="21"/>
      <c r="ELH23" s="21"/>
      <c r="ELI23" s="21"/>
      <c r="ELJ23" s="21"/>
      <c r="ELK23" s="21"/>
      <c r="ELL23" s="21"/>
      <c r="ELM23" s="21"/>
      <c r="ELN23" s="21"/>
      <c r="ELO23" s="21"/>
      <c r="ELP23" s="21"/>
      <c r="ELQ23" s="21"/>
      <c r="ELR23" s="21"/>
      <c r="ELS23" s="21"/>
      <c r="ELT23" s="21"/>
      <c r="ELU23" s="21"/>
      <c r="ELV23" s="21"/>
      <c r="ELW23" s="21"/>
      <c r="ELX23" s="21"/>
      <c r="ELY23" s="21"/>
      <c r="ELZ23" s="21"/>
      <c r="EMA23" s="21"/>
      <c r="EMB23" s="21"/>
      <c r="EMC23" s="21"/>
      <c r="EMD23" s="21"/>
      <c r="EME23" s="21"/>
      <c r="EMF23" s="21"/>
      <c r="EMG23" s="21"/>
      <c r="EMH23" s="21"/>
      <c r="EMI23" s="21"/>
      <c r="EMJ23" s="21"/>
      <c r="EMK23" s="21"/>
      <c r="EML23" s="21"/>
      <c r="EMM23" s="21"/>
      <c r="EMN23" s="21"/>
      <c r="EMO23" s="21"/>
      <c r="EMP23" s="21"/>
      <c r="EMQ23" s="21"/>
      <c r="EMR23" s="21"/>
      <c r="EMS23" s="21"/>
      <c r="EMT23" s="21"/>
      <c r="EMU23" s="21"/>
      <c r="EMV23" s="21"/>
      <c r="EMW23" s="21"/>
      <c r="EMX23" s="21"/>
      <c r="EMY23" s="21"/>
      <c r="EMZ23" s="21"/>
      <c r="ENA23" s="21"/>
      <c r="ENB23" s="21"/>
      <c r="ENC23" s="21"/>
      <c r="END23" s="21"/>
      <c r="ENE23" s="21"/>
      <c r="ENF23" s="21"/>
      <c r="ENG23" s="21"/>
      <c r="ENH23" s="21"/>
      <c r="ENI23" s="21"/>
      <c r="ENJ23" s="21"/>
      <c r="ENK23" s="21"/>
      <c r="ENL23" s="21"/>
      <c r="ENM23" s="21"/>
      <c r="ENN23" s="21"/>
      <c r="ENO23" s="21"/>
      <c r="ENP23" s="21"/>
      <c r="ENQ23" s="21"/>
      <c r="ENR23" s="21"/>
      <c r="ENS23" s="21"/>
      <c r="ENT23" s="21"/>
      <c r="ENU23" s="21"/>
      <c r="ENV23" s="21"/>
      <c r="ENW23" s="21"/>
      <c r="ENX23" s="21"/>
      <c r="ENY23" s="21"/>
      <c r="ENZ23" s="21"/>
      <c r="EOA23" s="21"/>
      <c r="EOB23" s="21"/>
      <c r="EOC23" s="21"/>
      <c r="EOD23" s="21"/>
      <c r="EOE23" s="21"/>
      <c r="EOF23" s="21"/>
      <c r="EOG23" s="21"/>
      <c r="EOH23" s="21"/>
      <c r="EOI23" s="21"/>
      <c r="EOJ23" s="21"/>
      <c r="EOK23" s="21"/>
      <c r="EOL23" s="21"/>
      <c r="EOM23" s="21"/>
      <c r="EON23" s="21"/>
      <c r="EOO23" s="21"/>
      <c r="EOP23" s="21"/>
      <c r="EOQ23" s="21"/>
      <c r="EOR23" s="21"/>
      <c r="EOS23" s="21"/>
      <c r="EOT23" s="21"/>
      <c r="EOU23" s="21"/>
      <c r="EOV23" s="21"/>
      <c r="EOW23" s="21"/>
      <c r="EOX23" s="21"/>
      <c r="EOY23" s="21"/>
      <c r="EOZ23" s="21"/>
      <c r="EPA23" s="21"/>
      <c r="EPB23" s="21"/>
      <c r="EPC23" s="21"/>
      <c r="EPD23" s="21"/>
      <c r="EPE23" s="21"/>
      <c r="EPF23" s="21"/>
      <c r="EPG23" s="21"/>
      <c r="EPH23" s="21"/>
      <c r="EPI23" s="21"/>
      <c r="EPJ23" s="21"/>
      <c r="EPK23" s="21"/>
      <c r="EPL23" s="21"/>
      <c r="EPM23" s="21"/>
      <c r="EPN23" s="21"/>
      <c r="EPO23" s="21"/>
      <c r="EPP23" s="21"/>
      <c r="EPQ23" s="21"/>
      <c r="EPR23" s="21"/>
      <c r="EPS23" s="21"/>
      <c r="EPT23" s="21"/>
      <c r="EPU23" s="21"/>
      <c r="EPV23" s="21"/>
      <c r="EPW23" s="21"/>
      <c r="EPX23" s="21"/>
      <c r="EPY23" s="21"/>
      <c r="EPZ23" s="21"/>
      <c r="EQA23" s="21"/>
      <c r="EQB23" s="21"/>
      <c r="EQC23" s="21"/>
      <c r="EQD23" s="21"/>
      <c r="EQE23" s="21"/>
      <c r="EQF23" s="21"/>
      <c r="EQG23" s="21"/>
      <c r="EQH23" s="21"/>
      <c r="EQI23" s="21"/>
      <c r="EQJ23" s="21"/>
      <c r="EQK23" s="21"/>
      <c r="EQL23" s="21"/>
      <c r="EQM23" s="21"/>
      <c r="EQN23" s="21"/>
      <c r="EQO23" s="21"/>
      <c r="EQP23" s="21"/>
      <c r="EQQ23" s="21"/>
      <c r="EQR23" s="21"/>
      <c r="EQS23" s="21"/>
      <c r="EQT23" s="21"/>
      <c r="EQU23" s="21"/>
      <c r="EQV23" s="21"/>
      <c r="EQW23" s="21"/>
      <c r="EQX23" s="21"/>
      <c r="EQY23" s="21"/>
      <c r="EQZ23" s="21"/>
      <c r="ERA23" s="21"/>
      <c r="ERB23" s="21"/>
      <c r="ERC23" s="21"/>
      <c r="ERD23" s="21"/>
      <c r="ERE23" s="21"/>
      <c r="ERF23" s="21"/>
      <c r="ERG23" s="21"/>
      <c r="ERH23" s="21"/>
      <c r="ERI23" s="21"/>
      <c r="ERJ23" s="21"/>
      <c r="ERK23" s="21"/>
      <c r="ERL23" s="21"/>
      <c r="ERM23" s="21"/>
      <c r="ERN23" s="21"/>
      <c r="ERO23" s="21"/>
      <c r="ERP23" s="21"/>
      <c r="ERQ23" s="21"/>
      <c r="ERR23" s="21"/>
      <c r="ERS23" s="21"/>
      <c r="ERT23" s="21"/>
      <c r="ERU23" s="21"/>
      <c r="ERV23" s="21"/>
      <c r="ERW23" s="21"/>
      <c r="ERX23" s="21"/>
      <c r="ERY23" s="21"/>
      <c r="ERZ23" s="21"/>
      <c r="ESA23" s="21"/>
      <c r="ESB23" s="21"/>
      <c r="ESC23" s="21"/>
      <c r="ESD23" s="21"/>
      <c r="ESE23" s="21"/>
      <c r="ESF23" s="21"/>
      <c r="ESG23" s="21"/>
      <c r="ESH23" s="21"/>
      <c r="ESI23" s="21"/>
      <c r="ESJ23" s="21"/>
      <c r="ESK23" s="21"/>
      <c r="ESL23" s="21"/>
      <c r="ESM23" s="21"/>
      <c r="ESN23" s="21"/>
      <c r="ESO23" s="21"/>
      <c r="ESP23" s="21"/>
      <c r="ESQ23" s="21"/>
      <c r="ESR23" s="21"/>
      <c r="ESS23" s="21"/>
      <c r="EST23" s="21"/>
      <c r="ESU23" s="21"/>
      <c r="ESV23" s="21"/>
      <c r="ESW23" s="21"/>
      <c r="ESX23" s="21"/>
      <c r="ESY23" s="21"/>
      <c r="ESZ23" s="21"/>
      <c r="ETA23" s="21"/>
      <c r="ETB23" s="21"/>
      <c r="ETC23" s="21"/>
      <c r="ETD23" s="21"/>
      <c r="ETE23" s="21"/>
      <c r="ETF23" s="21"/>
      <c r="ETG23" s="21"/>
      <c r="ETH23" s="21"/>
      <c r="ETI23" s="21"/>
      <c r="ETJ23" s="21"/>
      <c r="ETK23" s="21"/>
      <c r="ETL23" s="21"/>
      <c r="ETM23" s="21"/>
      <c r="ETN23" s="21"/>
      <c r="ETO23" s="21"/>
      <c r="ETP23" s="21"/>
      <c r="ETQ23" s="21"/>
      <c r="ETR23" s="21"/>
      <c r="ETS23" s="21"/>
      <c r="ETT23" s="21"/>
      <c r="ETU23" s="21"/>
      <c r="ETV23" s="21"/>
      <c r="ETW23" s="21"/>
      <c r="ETX23" s="21"/>
      <c r="ETY23" s="21"/>
      <c r="ETZ23" s="21"/>
      <c r="EUA23" s="21"/>
      <c r="EUB23" s="21"/>
      <c r="EUC23" s="21"/>
      <c r="EUD23" s="21"/>
      <c r="EUE23" s="21"/>
      <c r="EUF23" s="21"/>
      <c r="EUG23" s="21"/>
      <c r="EUH23" s="21"/>
      <c r="EUI23" s="21"/>
      <c r="EUJ23" s="21"/>
      <c r="EUK23" s="21"/>
      <c r="EUL23" s="21"/>
      <c r="EUM23" s="21"/>
      <c r="EUN23" s="21"/>
      <c r="EUO23" s="21"/>
      <c r="EUP23" s="21"/>
      <c r="EUQ23" s="21"/>
      <c r="EUR23" s="21"/>
      <c r="EUS23" s="21"/>
      <c r="EUT23" s="21"/>
      <c r="EUU23" s="21"/>
      <c r="EUV23" s="21"/>
      <c r="EUW23" s="21"/>
      <c r="EUX23" s="21"/>
      <c r="EUY23" s="21"/>
      <c r="EUZ23" s="21"/>
      <c r="EVA23" s="21"/>
      <c r="EVB23" s="21"/>
      <c r="EVC23" s="21"/>
      <c r="EVD23" s="21"/>
      <c r="EVE23" s="21"/>
      <c r="EVF23" s="21"/>
      <c r="EVG23" s="21"/>
      <c r="EVH23" s="21"/>
      <c r="EVI23" s="21"/>
      <c r="EVJ23" s="21"/>
      <c r="EVK23" s="21"/>
      <c r="EVL23" s="21"/>
      <c r="EVM23" s="21"/>
      <c r="EVN23" s="21"/>
      <c r="EVO23" s="21"/>
      <c r="EVP23" s="21"/>
      <c r="EVQ23" s="21"/>
      <c r="EVR23" s="21"/>
      <c r="EVS23" s="21"/>
      <c r="EVT23" s="21"/>
      <c r="EVU23" s="21"/>
      <c r="EVV23" s="21"/>
      <c r="EVW23" s="21"/>
      <c r="EVX23" s="21"/>
      <c r="EVY23" s="21"/>
      <c r="EVZ23" s="21"/>
      <c r="EWA23" s="21"/>
      <c r="EWB23" s="21"/>
      <c r="EWC23" s="21"/>
      <c r="EWD23" s="21"/>
      <c r="EWE23" s="21"/>
      <c r="EWF23" s="21"/>
      <c r="EWG23" s="21"/>
      <c r="EWH23" s="21"/>
      <c r="EWI23" s="21"/>
      <c r="EWJ23" s="21"/>
      <c r="EWK23" s="21"/>
      <c r="EWL23" s="21"/>
      <c r="EWM23" s="21"/>
      <c r="EWN23" s="21"/>
      <c r="EWO23" s="21"/>
      <c r="EWP23" s="21"/>
      <c r="EWQ23" s="21"/>
      <c r="EWR23" s="21"/>
      <c r="EWS23" s="21"/>
      <c r="EWT23" s="21"/>
      <c r="EWU23" s="21"/>
      <c r="EWV23" s="21"/>
      <c r="EWW23" s="21"/>
      <c r="EWX23" s="21"/>
      <c r="EWY23" s="21"/>
      <c r="EWZ23" s="21"/>
      <c r="EXA23" s="21"/>
      <c r="EXB23" s="21"/>
      <c r="EXC23" s="21"/>
      <c r="EXD23" s="21"/>
      <c r="EXE23" s="21"/>
      <c r="EXF23" s="21"/>
      <c r="EXG23" s="21"/>
      <c r="EXH23" s="21"/>
      <c r="EXI23" s="21"/>
      <c r="EXJ23" s="21"/>
      <c r="EXK23" s="21"/>
      <c r="EXL23" s="21"/>
      <c r="EXM23" s="21"/>
      <c r="EXN23" s="21"/>
      <c r="EXO23" s="21"/>
      <c r="EXP23" s="21"/>
      <c r="EXQ23" s="21"/>
      <c r="EXR23" s="21"/>
      <c r="EXS23" s="21"/>
      <c r="EXT23" s="21"/>
      <c r="EXU23" s="21"/>
      <c r="EXV23" s="21"/>
      <c r="EXW23" s="21"/>
      <c r="EXX23" s="21"/>
      <c r="EXY23" s="21"/>
      <c r="EXZ23" s="21"/>
      <c r="EYA23" s="21"/>
      <c r="EYB23" s="21"/>
      <c r="EYC23" s="21"/>
      <c r="EYD23" s="21"/>
      <c r="EYE23" s="21"/>
      <c r="EYF23" s="21"/>
      <c r="EYG23" s="21"/>
      <c r="EYH23" s="21"/>
      <c r="EYI23" s="21"/>
      <c r="EYJ23" s="21"/>
      <c r="EYK23" s="21"/>
      <c r="EYL23" s="21"/>
      <c r="EYM23" s="21"/>
      <c r="EYN23" s="21"/>
      <c r="EYO23" s="21"/>
      <c r="EYP23" s="21"/>
      <c r="EYQ23" s="21"/>
      <c r="EYR23" s="21"/>
      <c r="EYS23" s="21"/>
      <c r="EYT23" s="21"/>
      <c r="EYU23" s="21"/>
      <c r="EYV23" s="21"/>
      <c r="EYW23" s="21"/>
      <c r="EYX23" s="21"/>
      <c r="EYY23" s="21"/>
      <c r="EYZ23" s="21"/>
      <c r="EZA23" s="21"/>
      <c r="EZB23" s="21"/>
      <c r="EZC23" s="21"/>
      <c r="EZD23" s="21"/>
      <c r="EZE23" s="21"/>
      <c r="EZF23" s="21"/>
      <c r="EZG23" s="21"/>
      <c r="EZH23" s="21"/>
      <c r="EZI23" s="21"/>
      <c r="EZJ23" s="21"/>
      <c r="EZK23" s="21"/>
      <c r="EZL23" s="21"/>
      <c r="EZM23" s="21"/>
      <c r="EZN23" s="21"/>
      <c r="EZO23" s="21"/>
      <c r="EZP23" s="21"/>
      <c r="EZQ23" s="21"/>
      <c r="EZR23" s="21"/>
      <c r="EZS23" s="21"/>
      <c r="EZT23" s="21"/>
      <c r="EZU23" s="21"/>
      <c r="EZV23" s="21"/>
      <c r="EZW23" s="21"/>
      <c r="EZX23" s="21"/>
      <c r="EZY23" s="21"/>
      <c r="EZZ23" s="21"/>
      <c r="FAA23" s="21"/>
      <c r="FAB23" s="21"/>
      <c r="FAC23" s="21"/>
      <c r="FAD23" s="21"/>
      <c r="FAE23" s="21"/>
      <c r="FAF23" s="21"/>
      <c r="FAG23" s="21"/>
      <c r="FAH23" s="21"/>
      <c r="FAI23" s="21"/>
      <c r="FAJ23" s="21"/>
      <c r="FAK23" s="21"/>
      <c r="FAL23" s="21"/>
      <c r="FAM23" s="21"/>
      <c r="FAN23" s="21"/>
      <c r="FAO23" s="21"/>
      <c r="FAP23" s="21"/>
      <c r="FAQ23" s="21"/>
      <c r="FAR23" s="21"/>
      <c r="FAS23" s="21"/>
      <c r="FAT23" s="21"/>
      <c r="FAU23" s="21"/>
      <c r="FAV23" s="21"/>
      <c r="FAW23" s="21"/>
      <c r="FAX23" s="21"/>
      <c r="FAY23" s="21"/>
      <c r="FAZ23" s="21"/>
      <c r="FBA23" s="21"/>
      <c r="FBB23" s="21"/>
      <c r="FBC23" s="21"/>
      <c r="FBD23" s="21"/>
      <c r="FBE23" s="21"/>
      <c r="FBF23" s="21"/>
      <c r="FBG23" s="21"/>
      <c r="FBH23" s="21"/>
      <c r="FBI23" s="21"/>
      <c r="FBJ23" s="21"/>
      <c r="FBK23" s="21"/>
      <c r="FBL23" s="21"/>
      <c r="FBM23" s="21"/>
      <c r="FBN23" s="21"/>
      <c r="FBO23" s="21"/>
      <c r="FBP23" s="21"/>
      <c r="FBQ23" s="21"/>
      <c r="FBR23" s="21"/>
      <c r="FBS23" s="21"/>
      <c r="FBT23" s="21"/>
      <c r="FBU23" s="21"/>
      <c r="FBV23" s="21"/>
      <c r="FBW23" s="21"/>
      <c r="FBX23" s="21"/>
      <c r="FBY23" s="21"/>
      <c r="FBZ23" s="21"/>
      <c r="FCA23" s="21"/>
      <c r="FCB23" s="21"/>
      <c r="FCC23" s="21"/>
      <c r="FCD23" s="21"/>
      <c r="FCE23" s="21"/>
      <c r="FCF23" s="21"/>
      <c r="FCG23" s="21"/>
      <c r="FCH23" s="21"/>
      <c r="FCI23" s="21"/>
      <c r="FCJ23" s="21"/>
      <c r="FCK23" s="21"/>
      <c r="FCL23" s="21"/>
      <c r="FCM23" s="21"/>
      <c r="FCN23" s="21"/>
      <c r="FCO23" s="21"/>
      <c r="FCP23" s="21"/>
      <c r="FCQ23" s="21"/>
      <c r="FCR23" s="21"/>
      <c r="FCS23" s="21"/>
      <c r="FCT23" s="21"/>
      <c r="FCU23" s="21"/>
      <c r="FCV23" s="21"/>
      <c r="FCW23" s="21"/>
      <c r="FCX23" s="21"/>
      <c r="FCY23" s="21"/>
      <c r="FCZ23" s="21"/>
      <c r="FDA23" s="21"/>
      <c r="FDB23" s="21"/>
      <c r="FDC23" s="21"/>
      <c r="FDD23" s="21"/>
      <c r="FDE23" s="21"/>
      <c r="FDF23" s="21"/>
      <c r="FDG23" s="21"/>
      <c r="FDH23" s="21"/>
      <c r="FDI23" s="21"/>
      <c r="FDJ23" s="21"/>
      <c r="FDK23" s="21"/>
      <c r="FDL23" s="21"/>
      <c r="FDM23" s="21"/>
      <c r="FDN23" s="21"/>
      <c r="FDO23" s="21"/>
      <c r="FDP23" s="21"/>
      <c r="FDQ23" s="21"/>
      <c r="FDR23" s="21"/>
      <c r="FDS23" s="21"/>
      <c r="FDT23" s="21"/>
      <c r="FDU23" s="21"/>
      <c r="FDV23" s="21"/>
      <c r="FDW23" s="21"/>
      <c r="FDX23" s="21"/>
      <c r="FDY23" s="21"/>
      <c r="FDZ23" s="21"/>
      <c r="FEA23" s="21"/>
      <c r="FEB23" s="21"/>
      <c r="FEC23" s="21"/>
      <c r="FED23" s="21"/>
      <c r="FEE23" s="21"/>
      <c r="FEF23" s="21"/>
      <c r="FEG23" s="21"/>
      <c r="FEH23" s="21"/>
      <c r="FEI23" s="21"/>
      <c r="FEJ23" s="21"/>
      <c r="FEK23" s="21"/>
      <c r="FEL23" s="21"/>
      <c r="FEM23" s="21"/>
      <c r="FEN23" s="21"/>
      <c r="FEO23" s="21"/>
      <c r="FEP23" s="21"/>
      <c r="FEQ23" s="21"/>
      <c r="FER23" s="21"/>
      <c r="FES23" s="21"/>
      <c r="FET23" s="21"/>
      <c r="FEU23" s="21"/>
      <c r="FEV23" s="21"/>
      <c r="FEW23" s="21"/>
      <c r="FEX23" s="21"/>
      <c r="FEY23" s="21"/>
      <c r="FEZ23" s="21"/>
      <c r="FFA23" s="21"/>
      <c r="FFB23" s="21"/>
      <c r="FFC23" s="21"/>
      <c r="FFD23" s="21"/>
      <c r="FFE23" s="21"/>
      <c r="FFF23" s="21"/>
      <c r="FFG23" s="21"/>
      <c r="FFH23" s="21"/>
      <c r="FFI23" s="21"/>
      <c r="FFJ23" s="21"/>
      <c r="FFK23" s="21"/>
      <c r="FFL23" s="21"/>
      <c r="FFM23" s="21"/>
      <c r="FFN23" s="21"/>
      <c r="FFO23" s="21"/>
      <c r="FFP23" s="21"/>
      <c r="FFQ23" s="21"/>
      <c r="FFR23" s="21"/>
      <c r="FFS23" s="21"/>
      <c r="FFT23" s="21"/>
      <c r="FFU23" s="21"/>
      <c r="FFV23" s="21"/>
      <c r="FFW23" s="21"/>
      <c r="FFX23" s="21"/>
      <c r="FFY23" s="21"/>
      <c r="FFZ23" s="21"/>
      <c r="FGA23" s="21"/>
      <c r="FGB23" s="21"/>
      <c r="FGC23" s="21"/>
      <c r="FGD23" s="21"/>
      <c r="FGE23" s="21"/>
      <c r="FGF23" s="21"/>
      <c r="FGG23" s="21"/>
      <c r="FGH23" s="21"/>
      <c r="FGI23" s="21"/>
      <c r="FGJ23" s="21"/>
      <c r="FGK23" s="21"/>
      <c r="FGL23" s="21"/>
      <c r="FGM23" s="21"/>
      <c r="FGN23" s="21"/>
      <c r="FGO23" s="21"/>
      <c r="FGP23" s="21"/>
      <c r="FGQ23" s="21"/>
      <c r="FGR23" s="21"/>
      <c r="FGS23" s="21"/>
      <c r="FGT23" s="21"/>
      <c r="FGU23" s="21"/>
      <c r="FGV23" s="21"/>
      <c r="FGW23" s="21"/>
      <c r="FGX23" s="21"/>
      <c r="FGY23" s="21"/>
      <c r="FGZ23" s="21"/>
      <c r="FHA23" s="21"/>
      <c r="FHB23" s="21"/>
      <c r="FHC23" s="21"/>
      <c r="FHD23" s="21"/>
      <c r="FHE23" s="21"/>
      <c r="FHF23" s="21"/>
      <c r="FHG23" s="21"/>
      <c r="FHH23" s="21"/>
      <c r="FHI23" s="21"/>
      <c r="FHJ23" s="21"/>
      <c r="FHK23" s="21"/>
      <c r="FHL23" s="21"/>
      <c r="FHM23" s="21"/>
      <c r="FHN23" s="21"/>
      <c r="FHO23" s="21"/>
      <c r="FHP23" s="21"/>
      <c r="FHQ23" s="21"/>
      <c r="FHR23" s="21"/>
      <c r="FHS23" s="21"/>
      <c r="FHT23" s="21"/>
      <c r="FHU23" s="21"/>
      <c r="FHV23" s="21"/>
      <c r="FHW23" s="21"/>
      <c r="FHX23" s="21"/>
      <c r="FHY23" s="21"/>
      <c r="FHZ23" s="21"/>
      <c r="FIA23" s="21"/>
      <c r="FIB23" s="21"/>
      <c r="FIC23" s="21"/>
      <c r="FID23" s="21"/>
      <c r="FIE23" s="21"/>
      <c r="FIF23" s="21"/>
      <c r="FIG23" s="21"/>
      <c r="FIH23" s="21"/>
      <c r="FII23" s="21"/>
      <c r="FIJ23" s="21"/>
      <c r="FIK23" s="21"/>
      <c r="FIL23" s="21"/>
      <c r="FIM23" s="21"/>
      <c r="FIN23" s="21"/>
      <c r="FIO23" s="21"/>
      <c r="FIP23" s="21"/>
      <c r="FIQ23" s="21"/>
      <c r="FIR23" s="21"/>
      <c r="FIS23" s="21"/>
      <c r="FIT23" s="21"/>
      <c r="FIU23" s="21"/>
      <c r="FIV23" s="21"/>
      <c r="FIW23" s="21"/>
      <c r="FIX23" s="21"/>
      <c r="FIY23" s="21"/>
      <c r="FIZ23" s="21"/>
      <c r="FJA23" s="21"/>
      <c r="FJB23" s="21"/>
      <c r="FJC23" s="21"/>
      <c r="FJD23" s="21"/>
      <c r="FJE23" s="21"/>
      <c r="FJF23" s="21"/>
      <c r="FJG23" s="21"/>
      <c r="FJH23" s="21"/>
      <c r="FJI23" s="21"/>
      <c r="FJJ23" s="21"/>
      <c r="FJK23" s="21"/>
      <c r="FJL23" s="21"/>
      <c r="FJM23" s="21"/>
      <c r="FJN23" s="21"/>
      <c r="FJO23" s="21"/>
      <c r="FJP23" s="21"/>
      <c r="FJQ23" s="21"/>
      <c r="FJR23" s="21"/>
      <c r="FJS23" s="21"/>
      <c r="FJT23" s="21"/>
      <c r="FJU23" s="21"/>
      <c r="FJV23" s="21"/>
      <c r="FJW23" s="21"/>
      <c r="FJX23" s="21"/>
      <c r="FJY23" s="21"/>
      <c r="FJZ23" s="21"/>
      <c r="FKA23" s="21"/>
      <c r="FKB23" s="21"/>
      <c r="FKC23" s="21"/>
      <c r="FKD23" s="21"/>
      <c r="FKE23" s="21"/>
      <c r="FKF23" s="21"/>
      <c r="FKG23" s="21"/>
      <c r="FKH23" s="21"/>
      <c r="FKI23" s="21"/>
      <c r="FKJ23" s="21"/>
      <c r="FKK23" s="21"/>
      <c r="FKL23" s="21"/>
      <c r="FKM23" s="21"/>
      <c r="FKN23" s="21"/>
      <c r="FKO23" s="21"/>
      <c r="FKP23" s="21"/>
      <c r="FKQ23" s="21"/>
      <c r="FKR23" s="21"/>
      <c r="FKS23" s="21"/>
      <c r="FKT23" s="21"/>
      <c r="FKU23" s="21"/>
      <c r="FKV23" s="21"/>
      <c r="FKW23" s="21"/>
      <c r="FKX23" s="21"/>
      <c r="FKY23" s="21"/>
      <c r="FKZ23" s="21"/>
      <c r="FLA23" s="21"/>
      <c r="FLB23" s="21"/>
      <c r="FLC23" s="21"/>
      <c r="FLD23" s="21"/>
      <c r="FLE23" s="21"/>
      <c r="FLF23" s="21"/>
      <c r="FLG23" s="21"/>
      <c r="FLH23" s="21"/>
      <c r="FLI23" s="21"/>
      <c r="FLJ23" s="21"/>
      <c r="FLK23" s="21"/>
      <c r="FLL23" s="21"/>
      <c r="FLM23" s="21"/>
      <c r="FLN23" s="21"/>
      <c r="FLO23" s="21"/>
      <c r="FLP23" s="21"/>
      <c r="FLQ23" s="21"/>
      <c r="FLR23" s="21"/>
      <c r="FLS23" s="21"/>
      <c r="FLT23" s="21"/>
      <c r="FLU23" s="21"/>
      <c r="FLV23" s="21"/>
      <c r="FLW23" s="21"/>
      <c r="FLX23" s="21"/>
      <c r="FLY23" s="21"/>
      <c r="FLZ23" s="21"/>
      <c r="FMA23" s="21"/>
      <c r="FMB23" s="21"/>
      <c r="FMC23" s="21"/>
      <c r="FMD23" s="21"/>
      <c r="FME23" s="21"/>
      <c r="FMF23" s="21"/>
      <c r="FMG23" s="21"/>
      <c r="FMH23" s="21"/>
      <c r="FMI23" s="21"/>
      <c r="FMJ23" s="21"/>
      <c r="FMK23" s="21"/>
      <c r="FML23" s="21"/>
      <c r="FMM23" s="21"/>
      <c r="FMN23" s="21"/>
      <c r="FMO23" s="21"/>
      <c r="FMP23" s="21"/>
      <c r="FMQ23" s="21"/>
      <c r="FMR23" s="21"/>
      <c r="FMS23" s="21"/>
      <c r="FMT23" s="21"/>
      <c r="FMU23" s="21"/>
      <c r="FMV23" s="21"/>
      <c r="FMW23" s="21"/>
      <c r="FMX23" s="21"/>
      <c r="FMY23" s="21"/>
      <c r="FMZ23" s="21"/>
      <c r="FNA23" s="21"/>
      <c r="FNB23" s="21"/>
      <c r="FNC23" s="21"/>
      <c r="FND23" s="21"/>
      <c r="FNE23" s="21"/>
      <c r="FNF23" s="21"/>
      <c r="FNG23" s="21"/>
      <c r="FNH23" s="21"/>
      <c r="FNI23" s="21"/>
      <c r="FNJ23" s="21"/>
      <c r="FNK23" s="21"/>
      <c r="FNL23" s="21"/>
      <c r="FNM23" s="21"/>
      <c r="FNN23" s="21"/>
      <c r="FNO23" s="21"/>
      <c r="FNP23" s="21"/>
      <c r="FNQ23" s="21"/>
      <c r="FNR23" s="21"/>
      <c r="FNS23" s="21"/>
      <c r="FNT23" s="21"/>
      <c r="FNU23" s="21"/>
      <c r="FNV23" s="21"/>
      <c r="FNW23" s="21"/>
      <c r="FNX23" s="21"/>
      <c r="FNY23" s="21"/>
      <c r="FNZ23" s="21"/>
      <c r="FOA23" s="21"/>
      <c r="FOB23" s="21"/>
      <c r="FOC23" s="21"/>
      <c r="FOD23" s="21"/>
      <c r="FOE23" s="21"/>
      <c r="FOF23" s="21"/>
      <c r="FOG23" s="21"/>
      <c r="FOH23" s="21"/>
      <c r="FOI23" s="21"/>
      <c r="FOJ23" s="21"/>
      <c r="FOK23" s="21"/>
      <c r="FOL23" s="21"/>
      <c r="FOM23" s="21"/>
      <c r="FON23" s="21"/>
      <c r="FOO23" s="21"/>
      <c r="FOP23" s="21"/>
      <c r="FOQ23" s="21"/>
      <c r="FOR23" s="21"/>
      <c r="FOS23" s="21"/>
      <c r="FOT23" s="21"/>
      <c r="FOU23" s="21"/>
      <c r="FOV23" s="21"/>
      <c r="FOW23" s="21"/>
      <c r="FOX23" s="21"/>
      <c r="FOY23" s="21"/>
      <c r="FOZ23" s="21"/>
      <c r="FPA23" s="21"/>
      <c r="FPB23" s="21"/>
      <c r="FPC23" s="21"/>
      <c r="FPD23" s="21"/>
      <c r="FPE23" s="21"/>
      <c r="FPF23" s="21"/>
      <c r="FPG23" s="21"/>
      <c r="FPH23" s="21"/>
      <c r="FPI23" s="21"/>
      <c r="FPJ23" s="21"/>
      <c r="FPK23" s="21"/>
      <c r="FPL23" s="21"/>
      <c r="FPM23" s="21"/>
      <c r="FPN23" s="21"/>
      <c r="FPO23" s="21"/>
      <c r="FPP23" s="21"/>
      <c r="FPQ23" s="21"/>
      <c r="FPR23" s="21"/>
      <c r="FPS23" s="21"/>
      <c r="FPT23" s="21"/>
      <c r="FPU23" s="21"/>
      <c r="FPV23" s="21"/>
      <c r="FPW23" s="21"/>
      <c r="FPX23" s="21"/>
      <c r="FPY23" s="21"/>
      <c r="FPZ23" s="21"/>
      <c r="FQA23" s="21"/>
      <c r="FQB23" s="21"/>
      <c r="FQC23" s="21"/>
      <c r="FQD23" s="21"/>
      <c r="FQE23" s="21"/>
      <c r="FQF23" s="21"/>
      <c r="FQG23" s="21"/>
      <c r="FQH23" s="21"/>
      <c r="FQI23" s="21"/>
      <c r="FQJ23" s="21"/>
      <c r="FQK23" s="21"/>
      <c r="FQL23" s="21"/>
      <c r="FQM23" s="21"/>
      <c r="FQN23" s="21"/>
      <c r="FQO23" s="21"/>
      <c r="FQP23" s="21"/>
      <c r="FQQ23" s="21"/>
      <c r="FQR23" s="21"/>
      <c r="FQS23" s="21"/>
      <c r="FQT23" s="21"/>
      <c r="FQU23" s="21"/>
      <c r="FQV23" s="21"/>
      <c r="FQW23" s="21"/>
      <c r="FQX23" s="21"/>
      <c r="FQY23" s="21"/>
      <c r="FQZ23" s="21"/>
      <c r="FRA23" s="21"/>
      <c r="FRB23" s="21"/>
      <c r="FRC23" s="21"/>
      <c r="FRD23" s="21"/>
      <c r="FRE23" s="21"/>
      <c r="FRF23" s="21"/>
      <c r="FRG23" s="21"/>
      <c r="FRH23" s="21"/>
      <c r="FRI23" s="21"/>
      <c r="FRJ23" s="21"/>
      <c r="FRK23" s="21"/>
      <c r="FRL23" s="21"/>
      <c r="FRM23" s="21"/>
      <c r="FRN23" s="21"/>
      <c r="FRO23" s="21"/>
      <c r="FRP23" s="21"/>
      <c r="FRQ23" s="21"/>
      <c r="FRR23" s="21"/>
      <c r="FRS23" s="21"/>
      <c r="FRT23" s="21"/>
      <c r="FRU23" s="21"/>
      <c r="FRV23" s="21"/>
      <c r="FRW23" s="21"/>
      <c r="FRX23" s="21"/>
      <c r="FRY23" s="21"/>
      <c r="FRZ23" s="21"/>
      <c r="FSA23" s="21"/>
      <c r="FSB23" s="21"/>
      <c r="FSC23" s="21"/>
      <c r="FSD23" s="21"/>
      <c r="FSE23" s="21"/>
      <c r="FSF23" s="21"/>
      <c r="FSG23" s="21"/>
      <c r="FSH23" s="21"/>
      <c r="FSI23" s="21"/>
      <c r="FSJ23" s="21"/>
      <c r="FSK23" s="21"/>
      <c r="FSL23" s="21"/>
      <c r="FSM23" s="21"/>
      <c r="FSN23" s="21"/>
      <c r="FSO23" s="21"/>
      <c r="FSP23" s="21"/>
      <c r="FSQ23" s="21"/>
      <c r="FSR23" s="21"/>
      <c r="FSS23" s="21"/>
      <c r="FST23" s="21"/>
      <c r="FSU23" s="21"/>
      <c r="FSV23" s="21"/>
      <c r="FSW23" s="21"/>
      <c r="FSX23" s="21"/>
      <c r="FSY23" s="21"/>
      <c r="FSZ23" s="21"/>
      <c r="FTA23" s="21"/>
      <c r="FTB23" s="21"/>
      <c r="FTC23" s="21"/>
      <c r="FTD23" s="21"/>
      <c r="FTE23" s="21"/>
      <c r="FTF23" s="21"/>
      <c r="FTG23" s="21"/>
      <c r="FTH23" s="21"/>
      <c r="FTI23" s="21"/>
      <c r="FTJ23" s="21"/>
      <c r="FTK23" s="21"/>
      <c r="FTL23" s="21"/>
      <c r="FTM23" s="21"/>
      <c r="FTN23" s="21"/>
      <c r="FTO23" s="21"/>
      <c r="FTP23" s="21"/>
      <c r="FTQ23" s="21"/>
      <c r="FTR23" s="21"/>
      <c r="FTS23" s="21"/>
      <c r="FTT23" s="21"/>
      <c r="FTU23" s="21"/>
      <c r="FTV23" s="21"/>
      <c r="FTW23" s="21"/>
      <c r="FTX23" s="21"/>
      <c r="FTY23" s="21"/>
      <c r="FTZ23" s="21"/>
      <c r="FUA23" s="21"/>
      <c r="FUB23" s="21"/>
      <c r="FUC23" s="21"/>
      <c r="FUD23" s="21"/>
      <c r="FUE23" s="21"/>
      <c r="FUF23" s="21"/>
      <c r="FUG23" s="21"/>
      <c r="FUH23" s="21"/>
      <c r="FUI23" s="21"/>
      <c r="FUJ23" s="21"/>
      <c r="FUK23" s="21"/>
      <c r="FUL23" s="21"/>
      <c r="FUM23" s="21"/>
      <c r="FUN23" s="21"/>
      <c r="FUO23" s="21"/>
      <c r="FUP23" s="21"/>
      <c r="FUQ23" s="21"/>
      <c r="FUR23" s="21"/>
      <c r="FUS23" s="21"/>
      <c r="FUT23" s="21"/>
      <c r="FUU23" s="21"/>
      <c r="FUV23" s="21"/>
      <c r="FUW23" s="21"/>
      <c r="FUX23" s="21"/>
      <c r="FUY23" s="21"/>
      <c r="FUZ23" s="21"/>
      <c r="FVA23" s="21"/>
      <c r="FVB23" s="21"/>
      <c r="FVC23" s="21"/>
      <c r="FVD23" s="21"/>
      <c r="FVE23" s="21"/>
      <c r="FVF23" s="21"/>
      <c r="FVG23" s="21"/>
      <c r="FVH23" s="21"/>
      <c r="FVI23" s="21"/>
      <c r="FVJ23" s="21"/>
      <c r="FVK23" s="21"/>
      <c r="FVL23" s="21"/>
      <c r="FVM23" s="21"/>
      <c r="FVN23" s="21"/>
      <c r="FVO23" s="21"/>
      <c r="FVP23" s="21"/>
      <c r="FVQ23" s="21"/>
      <c r="FVR23" s="21"/>
      <c r="FVS23" s="21"/>
      <c r="FVT23" s="21"/>
      <c r="FVU23" s="21"/>
      <c r="FVV23" s="21"/>
      <c r="FVW23" s="21"/>
      <c r="FVX23" s="21"/>
      <c r="FVY23" s="21"/>
      <c r="FVZ23" s="21"/>
      <c r="FWA23" s="21"/>
      <c r="FWB23" s="21"/>
      <c r="FWC23" s="21"/>
      <c r="FWD23" s="21"/>
      <c r="FWE23" s="21"/>
      <c r="FWF23" s="21"/>
      <c r="FWG23" s="21"/>
      <c r="FWH23" s="21"/>
      <c r="FWI23" s="21"/>
      <c r="FWJ23" s="21"/>
      <c r="FWK23" s="21"/>
      <c r="FWL23" s="21"/>
      <c r="FWM23" s="21"/>
      <c r="FWN23" s="21"/>
      <c r="FWO23" s="21"/>
      <c r="FWP23" s="21"/>
      <c r="FWQ23" s="21"/>
      <c r="FWR23" s="21"/>
      <c r="FWS23" s="21"/>
      <c r="FWT23" s="21"/>
      <c r="FWU23" s="21"/>
      <c r="FWV23" s="21"/>
      <c r="FWW23" s="21"/>
      <c r="FWX23" s="21"/>
      <c r="FWY23" s="21"/>
      <c r="FWZ23" s="21"/>
      <c r="FXA23" s="21"/>
      <c r="FXB23" s="21"/>
      <c r="FXC23" s="21"/>
      <c r="FXD23" s="21"/>
      <c r="FXE23" s="21"/>
      <c r="FXF23" s="21"/>
      <c r="FXG23" s="21"/>
      <c r="FXH23" s="21"/>
      <c r="FXI23" s="21"/>
      <c r="FXJ23" s="21"/>
      <c r="FXK23" s="21"/>
      <c r="FXL23" s="21"/>
      <c r="FXM23" s="21"/>
      <c r="FXN23" s="21"/>
      <c r="FXO23" s="21"/>
      <c r="FXP23" s="21"/>
      <c r="FXQ23" s="21"/>
      <c r="FXR23" s="21"/>
      <c r="FXS23" s="21"/>
      <c r="FXT23" s="21"/>
      <c r="FXU23" s="21"/>
      <c r="FXV23" s="21"/>
      <c r="FXW23" s="21"/>
      <c r="FXX23" s="21"/>
      <c r="FXY23" s="21"/>
      <c r="FXZ23" s="21"/>
      <c r="FYA23" s="21"/>
      <c r="FYB23" s="21"/>
      <c r="FYC23" s="21"/>
      <c r="FYD23" s="21"/>
      <c r="FYE23" s="21"/>
      <c r="FYF23" s="21"/>
      <c r="FYG23" s="21"/>
      <c r="FYH23" s="21"/>
      <c r="FYI23" s="21"/>
      <c r="FYJ23" s="21"/>
      <c r="FYK23" s="21"/>
      <c r="FYL23" s="21"/>
      <c r="FYM23" s="21"/>
      <c r="FYN23" s="21"/>
      <c r="FYO23" s="21"/>
      <c r="FYP23" s="21"/>
      <c r="FYQ23" s="21"/>
      <c r="FYR23" s="21"/>
      <c r="FYS23" s="21"/>
      <c r="FYT23" s="21"/>
      <c r="FYU23" s="21"/>
      <c r="FYV23" s="21"/>
      <c r="FYW23" s="21"/>
      <c r="FYX23" s="21"/>
      <c r="FYY23" s="21"/>
      <c r="FYZ23" s="21"/>
      <c r="FZA23" s="21"/>
      <c r="FZB23" s="21"/>
      <c r="FZC23" s="21"/>
      <c r="FZD23" s="21"/>
      <c r="FZE23" s="21"/>
      <c r="FZF23" s="21"/>
      <c r="FZG23" s="21"/>
      <c r="FZH23" s="21"/>
      <c r="FZI23" s="21"/>
      <c r="FZJ23" s="21"/>
      <c r="FZK23" s="21"/>
      <c r="FZL23" s="21"/>
      <c r="FZM23" s="21"/>
      <c r="FZN23" s="21"/>
      <c r="FZO23" s="21"/>
      <c r="FZP23" s="21"/>
      <c r="FZQ23" s="21"/>
      <c r="FZR23" s="21"/>
      <c r="FZS23" s="21"/>
      <c r="FZT23" s="21"/>
      <c r="FZU23" s="21"/>
      <c r="FZV23" s="21"/>
      <c r="FZW23" s="21"/>
      <c r="FZX23" s="21"/>
      <c r="FZY23" s="21"/>
      <c r="FZZ23" s="21"/>
      <c r="GAA23" s="21"/>
      <c r="GAB23" s="21"/>
      <c r="GAC23" s="21"/>
      <c r="GAD23" s="21"/>
      <c r="GAE23" s="21"/>
      <c r="GAF23" s="21"/>
      <c r="GAG23" s="21"/>
      <c r="GAH23" s="21"/>
      <c r="GAI23" s="21"/>
      <c r="GAJ23" s="21"/>
      <c r="GAK23" s="21"/>
      <c r="GAL23" s="21"/>
      <c r="GAM23" s="21"/>
      <c r="GAN23" s="21"/>
      <c r="GAO23" s="21"/>
      <c r="GAP23" s="21"/>
      <c r="GAQ23" s="21"/>
      <c r="GAR23" s="21"/>
      <c r="GAS23" s="21"/>
      <c r="GAT23" s="21"/>
      <c r="GAU23" s="21"/>
      <c r="GAV23" s="21"/>
      <c r="GAW23" s="21"/>
      <c r="GAX23" s="21"/>
      <c r="GAY23" s="21"/>
      <c r="GAZ23" s="21"/>
      <c r="GBA23" s="21"/>
      <c r="GBB23" s="21"/>
      <c r="GBC23" s="21"/>
      <c r="GBD23" s="21"/>
      <c r="GBE23" s="21"/>
      <c r="GBF23" s="21"/>
      <c r="GBG23" s="21"/>
      <c r="GBH23" s="21"/>
      <c r="GBI23" s="21"/>
      <c r="GBJ23" s="21"/>
      <c r="GBK23" s="21"/>
      <c r="GBL23" s="21"/>
      <c r="GBM23" s="21"/>
      <c r="GBN23" s="21"/>
      <c r="GBO23" s="21"/>
      <c r="GBP23" s="21"/>
      <c r="GBQ23" s="21"/>
      <c r="GBR23" s="21"/>
      <c r="GBS23" s="21"/>
      <c r="GBT23" s="21"/>
      <c r="GBU23" s="21"/>
      <c r="GBV23" s="21"/>
      <c r="GBW23" s="21"/>
      <c r="GBX23" s="21"/>
      <c r="GBY23" s="21"/>
      <c r="GBZ23" s="21"/>
      <c r="GCA23" s="21"/>
      <c r="GCB23" s="21"/>
      <c r="GCC23" s="21"/>
      <c r="GCD23" s="21"/>
      <c r="GCE23" s="21"/>
      <c r="GCF23" s="21"/>
      <c r="GCG23" s="21"/>
      <c r="GCH23" s="21"/>
      <c r="GCI23" s="21"/>
      <c r="GCJ23" s="21"/>
      <c r="GCK23" s="21"/>
      <c r="GCL23" s="21"/>
      <c r="GCM23" s="21"/>
      <c r="GCN23" s="21"/>
      <c r="GCO23" s="21"/>
      <c r="GCP23" s="21"/>
      <c r="GCQ23" s="21"/>
      <c r="GCR23" s="21"/>
      <c r="GCS23" s="21"/>
      <c r="GCT23" s="21"/>
      <c r="GCU23" s="21"/>
      <c r="GCV23" s="21"/>
      <c r="GCW23" s="21"/>
      <c r="GCX23" s="21"/>
      <c r="GCY23" s="21"/>
      <c r="GCZ23" s="21"/>
      <c r="GDA23" s="21"/>
      <c r="GDB23" s="21"/>
      <c r="GDC23" s="21"/>
      <c r="GDD23" s="21"/>
      <c r="GDE23" s="21"/>
      <c r="GDF23" s="21"/>
      <c r="GDG23" s="21"/>
      <c r="GDH23" s="21"/>
      <c r="GDI23" s="21"/>
      <c r="GDJ23" s="21"/>
      <c r="GDK23" s="21"/>
      <c r="GDL23" s="21"/>
      <c r="GDM23" s="21"/>
      <c r="GDN23" s="21"/>
      <c r="GDO23" s="21"/>
      <c r="GDP23" s="21"/>
      <c r="GDQ23" s="21"/>
      <c r="GDR23" s="21"/>
      <c r="GDS23" s="21"/>
      <c r="GDT23" s="21"/>
      <c r="GDU23" s="21"/>
      <c r="GDV23" s="21"/>
      <c r="GDW23" s="21"/>
      <c r="GDX23" s="21"/>
      <c r="GDY23" s="21"/>
      <c r="GDZ23" s="21"/>
      <c r="GEA23" s="21"/>
      <c r="GEB23" s="21"/>
      <c r="GEC23" s="21"/>
      <c r="GED23" s="21"/>
      <c r="GEE23" s="21"/>
      <c r="GEF23" s="21"/>
      <c r="GEG23" s="21"/>
      <c r="GEH23" s="21"/>
      <c r="GEI23" s="21"/>
      <c r="GEJ23" s="21"/>
      <c r="GEK23" s="21"/>
      <c r="GEL23" s="21"/>
      <c r="GEM23" s="21"/>
      <c r="GEN23" s="21"/>
      <c r="GEO23" s="21"/>
      <c r="GEP23" s="21"/>
      <c r="GEQ23" s="21"/>
      <c r="GER23" s="21"/>
      <c r="GES23" s="21"/>
      <c r="GET23" s="21"/>
      <c r="GEU23" s="21"/>
      <c r="GEV23" s="21"/>
      <c r="GEW23" s="21"/>
      <c r="GEX23" s="21"/>
      <c r="GEY23" s="21"/>
      <c r="GEZ23" s="21"/>
      <c r="GFA23" s="21"/>
      <c r="GFB23" s="21"/>
      <c r="GFC23" s="21"/>
      <c r="GFD23" s="21"/>
      <c r="GFE23" s="21"/>
      <c r="GFF23" s="21"/>
      <c r="GFG23" s="21"/>
      <c r="GFH23" s="21"/>
      <c r="GFI23" s="21"/>
      <c r="GFJ23" s="21"/>
      <c r="GFK23" s="21"/>
      <c r="GFL23" s="21"/>
      <c r="GFM23" s="21"/>
      <c r="GFN23" s="21"/>
      <c r="GFO23" s="21"/>
      <c r="GFP23" s="21"/>
      <c r="GFQ23" s="21"/>
      <c r="GFR23" s="21"/>
      <c r="GFS23" s="21"/>
      <c r="GFT23" s="21"/>
      <c r="GFU23" s="21"/>
      <c r="GFV23" s="21"/>
      <c r="GFW23" s="21"/>
      <c r="GFX23" s="21"/>
      <c r="GFY23" s="21"/>
      <c r="GFZ23" s="21"/>
      <c r="GGA23" s="21"/>
      <c r="GGB23" s="21"/>
      <c r="GGC23" s="21"/>
      <c r="GGD23" s="21"/>
      <c r="GGE23" s="21"/>
      <c r="GGF23" s="21"/>
      <c r="GGG23" s="21"/>
      <c r="GGH23" s="21"/>
      <c r="GGI23" s="21"/>
      <c r="GGJ23" s="21"/>
      <c r="GGK23" s="21"/>
      <c r="GGL23" s="21"/>
      <c r="GGM23" s="21"/>
      <c r="GGN23" s="21"/>
      <c r="GGO23" s="21"/>
      <c r="GGP23" s="21"/>
      <c r="GGQ23" s="21"/>
      <c r="GGR23" s="21"/>
      <c r="GGS23" s="21"/>
      <c r="GGT23" s="21"/>
      <c r="GGU23" s="21"/>
      <c r="GGV23" s="21"/>
      <c r="GGW23" s="21"/>
      <c r="GGX23" s="21"/>
      <c r="GGY23" s="21"/>
      <c r="GGZ23" s="21"/>
      <c r="GHA23" s="21"/>
      <c r="GHB23" s="21"/>
      <c r="GHC23" s="21"/>
      <c r="GHD23" s="21"/>
      <c r="GHE23" s="21"/>
      <c r="GHF23" s="21"/>
      <c r="GHG23" s="21"/>
      <c r="GHH23" s="21"/>
      <c r="GHI23" s="21"/>
      <c r="GHJ23" s="21"/>
      <c r="GHK23" s="21"/>
      <c r="GHL23" s="21"/>
      <c r="GHM23" s="21"/>
      <c r="GHN23" s="21"/>
      <c r="GHO23" s="21"/>
      <c r="GHP23" s="21"/>
      <c r="GHQ23" s="21"/>
      <c r="GHR23" s="21"/>
      <c r="GHS23" s="21"/>
      <c r="GHT23" s="21"/>
      <c r="GHU23" s="21"/>
      <c r="GHV23" s="21"/>
      <c r="GHW23" s="21"/>
      <c r="GHX23" s="21"/>
      <c r="GHY23" s="21"/>
      <c r="GHZ23" s="21"/>
      <c r="GIA23" s="21"/>
      <c r="GIB23" s="21"/>
      <c r="GIC23" s="21"/>
      <c r="GID23" s="21"/>
      <c r="GIE23" s="21"/>
      <c r="GIF23" s="21"/>
      <c r="GIG23" s="21"/>
      <c r="GIH23" s="21"/>
      <c r="GII23" s="21"/>
      <c r="GIJ23" s="21"/>
      <c r="GIK23" s="21"/>
      <c r="GIL23" s="21"/>
      <c r="GIM23" s="21"/>
      <c r="GIN23" s="21"/>
      <c r="GIO23" s="21"/>
      <c r="GIP23" s="21"/>
      <c r="GIQ23" s="21"/>
      <c r="GIR23" s="21"/>
      <c r="GIS23" s="21"/>
      <c r="GIT23" s="21"/>
      <c r="GIU23" s="21"/>
      <c r="GIV23" s="21"/>
      <c r="GIW23" s="21"/>
      <c r="GIX23" s="21"/>
      <c r="GIY23" s="21"/>
      <c r="GIZ23" s="21"/>
      <c r="GJA23" s="21"/>
      <c r="GJB23" s="21"/>
      <c r="GJC23" s="21"/>
      <c r="GJD23" s="21"/>
      <c r="GJE23" s="21"/>
      <c r="GJF23" s="21"/>
      <c r="GJG23" s="21"/>
      <c r="GJH23" s="21"/>
      <c r="GJI23" s="21"/>
      <c r="GJJ23" s="21"/>
      <c r="GJK23" s="21"/>
      <c r="GJL23" s="21"/>
      <c r="GJM23" s="21"/>
      <c r="GJN23" s="21"/>
      <c r="GJO23" s="21"/>
      <c r="GJP23" s="21"/>
      <c r="GJQ23" s="21"/>
      <c r="GJR23" s="21"/>
      <c r="GJS23" s="21"/>
      <c r="GJT23" s="21"/>
      <c r="GJU23" s="21"/>
      <c r="GJV23" s="21"/>
      <c r="GJW23" s="21"/>
      <c r="GJX23" s="21"/>
      <c r="GJY23" s="21"/>
      <c r="GJZ23" s="21"/>
      <c r="GKA23" s="21"/>
      <c r="GKB23" s="21"/>
      <c r="GKC23" s="21"/>
      <c r="GKD23" s="21"/>
      <c r="GKE23" s="21"/>
      <c r="GKF23" s="21"/>
      <c r="GKG23" s="21"/>
      <c r="GKH23" s="21"/>
      <c r="GKI23" s="21"/>
      <c r="GKJ23" s="21"/>
      <c r="GKK23" s="21"/>
      <c r="GKL23" s="21"/>
      <c r="GKM23" s="21"/>
      <c r="GKN23" s="21"/>
      <c r="GKO23" s="21"/>
      <c r="GKP23" s="21"/>
      <c r="GKQ23" s="21"/>
      <c r="GKR23" s="21"/>
      <c r="GKS23" s="21"/>
      <c r="GKT23" s="21"/>
      <c r="GKU23" s="21"/>
      <c r="GKV23" s="21"/>
      <c r="GKW23" s="21"/>
      <c r="GKX23" s="21"/>
      <c r="GKY23" s="21"/>
      <c r="GKZ23" s="21"/>
      <c r="GLA23" s="21"/>
      <c r="GLB23" s="21"/>
      <c r="GLC23" s="21"/>
      <c r="GLD23" s="21"/>
      <c r="GLE23" s="21"/>
      <c r="GLF23" s="21"/>
      <c r="GLG23" s="21"/>
      <c r="GLH23" s="21"/>
      <c r="GLI23" s="21"/>
      <c r="GLJ23" s="21"/>
      <c r="GLK23" s="21"/>
      <c r="GLL23" s="21"/>
      <c r="GLM23" s="21"/>
      <c r="GLN23" s="21"/>
      <c r="GLO23" s="21"/>
      <c r="GLP23" s="21"/>
      <c r="GLQ23" s="21"/>
      <c r="GLR23" s="21"/>
      <c r="GLS23" s="21"/>
      <c r="GLT23" s="21"/>
      <c r="GLU23" s="21"/>
      <c r="GLV23" s="21"/>
      <c r="GLW23" s="21"/>
      <c r="GLX23" s="21"/>
      <c r="GLY23" s="21"/>
      <c r="GLZ23" s="21"/>
      <c r="GMA23" s="21"/>
      <c r="GMB23" s="21"/>
      <c r="GMC23" s="21"/>
      <c r="GMD23" s="21"/>
      <c r="GME23" s="21"/>
      <c r="GMF23" s="21"/>
      <c r="GMG23" s="21"/>
      <c r="GMH23" s="21"/>
      <c r="GMI23" s="21"/>
      <c r="GMJ23" s="21"/>
      <c r="GMK23" s="21"/>
      <c r="GML23" s="21"/>
      <c r="GMM23" s="21"/>
      <c r="GMN23" s="21"/>
      <c r="GMO23" s="21"/>
      <c r="GMP23" s="21"/>
      <c r="GMQ23" s="21"/>
      <c r="GMR23" s="21"/>
      <c r="GMS23" s="21"/>
      <c r="GMT23" s="21"/>
      <c r="GMU23" s="21"/>
      <c r="GMV23" s="21"/>
      <c r="GMW23" s="21"/>
      <c r="GMX23" s="21"/>
      <c r="GMY23" s="21"/>
      <c r="GMZ23" s="21"/>
      <c r="GNA23" s="21"/>
      <c r="GNB23" s="21"/>
      <c r="GNC23" s="21"/>
      <c r="GND23" s="21"/>
      <c r="GNE23" s="21"/>
      <c r="GNF23" s="21"/>
      <c r="GNG23" s="21"/>
      <c r="GNH23" s="21"/>
      <c r="GNI23" s="21"/>
      <c r="GNJ23" s="21"/>
      <c r="GNK23" s="21"/>
      <c r="GNL23" s="21"/>
      <c r="GNM23" s="21"/>
      <c r="GNN23" s="21"/>
      <c r="GNO23" s="21"/>
      <c r="GNP23" s="21"/>
      <c r="GNQ23" s="21"/>
      <c r="GNR23" s="21"/>
      <c r="GNS23" s="21"/>
      <c r="GNT23" s="21"/>
      <c r="GNU23" s="21"/>
      <c r="GNV23" s="21"/>
      <c r="GNW23" s="21"/>
      <c r="GNX23" s="21"/>
      <c r="GNY23" s="21"/>
      <c r="GNZ23" s="21"/>
      <c r="GOA23" s="21"/>
      <c r="GOB23" s="21"/>
      <c r="GOC23" s="21"/>
      <c r="GOD23" s="21"/>
      <c r="GOE23" s="21"/>
      <c r="GOF23" s="21"/>
      <c r="GOG23" s="21"/>
      <c r="GOH23" s="21"/>
      <c r="GOI23" s="21"/>
      <c r="GOJ23" s="21"/>
      <c r="GOK23" s="21"/>
      <c r="GOL23" s="21"/>
      <c r="GOM23" s="21"/>
      <c r="GON23" s="21"/>
      <c r="GOO23" s="21"/>
      <c r="GOP23" s="21"/>
      <c r="GOQ23" s="21"/>
      <c r="GOR23" s="21"/>
      <c r="GOS23" s="21"/>
      <c r="GOT23" s="21"/>
      <c r="GOU23" s="21"/>
      <c r="GOV23" s="21"/>
      <c r="GOW23" s="21"/>
      <c r="GOX23" s="21"/>
      <c r="GOY23" s="21"/>
      <c r="GOZ23" s="21"/>
      <c r="GPA23" s="21"/>
      <c r="GPB23" s="21"/>
      <c r="GPC23" s="21"/>
      <c r="GPD23" s="21"/>
      <c r="GPE23" s="21"/>
      <c r="GPF23" s="21"/>
      <c r="GPG23" s="21"/>
      <c r="GPH23" s="21"/>
      <c r="GPI23" s="21"/>
      <c r="GPJ23" s="21"/>
      <c r="GPK23" s="21"/>
      <c r="GPL23" s="21"/>
      <c r="GPM23" s="21"/>
      <c r="GPN23" s="21"/>
      <c r="GPO23" s="21"/>
      <c r="GPP23" s="21"/>
      <c r="GPQ23" s="21"/>
      <c r="GPR23" s="21"/>
      <c r="GPS23" s="21"/>
      <c r="GPT23" s="21"/>
      <c r="GPU23" s="21"/>
      <c r="GPV23" s="21"/>
      <c r="GPW23" s="21"/>
      <c r="GPX23" s="21"/>
      <c r="GPY23" s="21"/>
      <c r="GPZ23" s="21"/>
      <c r="GQA23" s="21"/>
      <c r="GQB23" s="21"/>
      <c r="GQC23" s="21"/>
      <c r="GQD23" s="21"/>
      <c r="GQE23" s="21"/>
      <c r="GQF23" s="21"/>
      <c r="GQG23" s="21"/>
      <c r="GQH23" s="21"/>
      <c r="GQI23" s="21"/>
      <c r="GQJ23" s="21"/>
      <c r="GQK23" s="21"/>
      <c r="GQL23" s="21"/>
      <c r="GQM23" s="21"/>
      <c r="GQN23" s="21"/>
      <c r="GQO23" s="21"/>
      <c r="GQP23" s="21"/>
      <c r="GQQ23" s="21"/>
      <c r="GQR23" s="21"/>
      <c r="GQS23" s="21"/>
      <c r="GQT23" s="21"/>
      <c r="GQU23" s="21"/>
      <c r="GQV23" s="21"/>
      <c r="GQW23" s="21"/>
      <c r="GQX23" s="21"/>
      <c r="GQY23" s="21"/>
      <c r="GQZ23" s="21"/>
      <c r="GRA23" s="21"/>
      <c r="GRB23" s="21"/>
      <c r="GRC23" s="21"/>
      <c r="GRD23" s="21"/>
      <c r="GRE23" s="21"/>
      <c r="GRF23" s="21"/>
      <c r="GRG23" s="21"/>
      <c r="GRH23" s="21"/>
      <c r="GRI23" s="21"/>
      <c r="GRJ23" s="21"/>
      <c r="GRK23" s="21"/>
      <c r="GRL23" s="21"/>
      <c r="GRM23" s="21"/>
      <c r="GRN23" s="21"/>
      <c r="GRO23" s="21"/>
      <c r="GRP23" s="21"/>
      <c r="GRQ23" s="21"/>
      <c r="GRR23" s="21"/>
      <c r="GRS23" s="21"/>
      <c r="GRT23" s="21"/>
      <c r="GRU23" s="21"/>
      <c r="GRV23" s="21"/>
      <c r="GRW23" s="21"/>
      <c r="GRX23" s="21"/>
      <c r="GRY23" s="21"/>
      <c r="GRZ23" s="21"/>
      <c r="GSA23" s="21"/>
      <c r="GSB23" s="21"/>
      <c r="GSC23" s="21"/>
      <c r="GSD23" s="21"/>
      <c r="GSE23" s="21"/>
      <c r="GSF23" s="21"/>
      <c r="GSG23" s="21"/>
      <c r="GSH23" s="21"/>
      <c r="GSI23" s="21"/>
      <c r="GSJ23" s="21"/>
      <c r="GSK23" s="21"/>
      <c r="GSL23" s="21"/>
      <c r="GSM23" s="21"/>
      <c r="GSN23" s="21"/>
      <c r="GSO23" s="21"/>
      <c r="GSP23" s="21"/>
      <c r="GSQ23" s="21"/>
      <c r="GSR23" s="21"/>
      <c r="GSS23" s="21"/>
      <c r="GST23" s="21"/>
      <c r="GSU23" s="21"/>
      <c r="GSV23" s="21"/>
      <c r="GSW23" s="21"/>
      <c r="GSX23" s="21"/>
      <c r="GSY23" s="21"/>
      <c r="GSZ23" s="21"/>
      <c r="GTA23" s="21"/>
      <c r="GTB23" s="21"/>
      <c r="GTC23" s="21"/>
      <c r="GTD23" s="21"/>
      <c r="GTE23" s="21"/>
      <c r="GTF23" s="21"/>
      <c r="GTG23" s="21"/>
      <c r="GTH23" s="21"/>
      <c r="GTI23" s="21"/>
      <c r="GTJ23" s="21"/>
      <c r="GTK23" s="21"/>
      <c r="GTL23" s="21"/>
      <c r="GTM23" s="21"/>
      <c r="GTN23" s="21"/>
      <c r="GTO23" s="21"/>
      <c r="GTP23" s="21"/>
      <c r="GTQ23" s="21"/>
      <c r="GTR23" s="21"/>
      <c r="GTS23" s="21"/>
      <c r="GTT23" s="21"/>
      <c r="GTU23" s="21"/>
      <c r="GTV23" s="21"/>
      <c r="GTW23" s="21"/>
      <c r="GTX23" s="21"/>
      <c r="GTY23" s="21"/>
      <c r="GTZ23" s="21"/>
      <c r="GUA23" s="21"/>
      <c r="GUB23" s="21"/>
      <c r="GUC23" s="21"/>
      <c r="GUD23" s="21"/>
      <c r="GUE23" s="21"/>
      <c r="GUF23" s="21"/>
      <c r="GUG23" s="21"/>
      <c r="GUH23" s="21"/>
      <c r="GUI23" s="21"/>
      <c r="GUJ23" s="21"/>
      <c r="GUK23" s="21"/>
      <c r="GUL23" s="21"/>
      <c r="GUM23" s="21"/>
      <c r="GUN23" s="21"/>
      <c r="GUO23" s="21"/>
      <c r="GUP23" s="21"/>
      <c r="GUQ23" s="21"/>
      <c r="GUR23" s="21"/>
      <c r="GUS23" s="21"/>
      <c r="GUT23" s="21"/>
      <c r="GUU23" s="21"/>
      <c r="GUV23" s="21"/>
      <c r="GUW23" s="21"/>
      <c r="GUX23" s="21"/>
      <c r="GUY23" s="21"/>
      <c r="GUZ23" s="21"/>
      <c r="GVA23" s="21"/>
      <c r="GVB23" s="21"/>
      <c r="GVC23" s="21"/>
      <c r="GVD23" s="21"/>
      <c r="GVE23" s="21"/>
      <c r="GVF23" s="21"/>
      <c r="GVG23" s="21"/>
      <c r="GVH23" s="21"/>
      <c r="GVI23" s="21"/>
      <c r="GVJ23" s="21"/>
      <c r="GVK23" s="21"/>
      <c r="GVL23" s="21"/>
      <c r="GVM23" s="21"/>
      <c r="GVN23" s="21"/>
      <c r="GVO23" s="21"/>
      <c r="GVP23" s="21"/>
      <c r="GVQ23" s="21"/>
      <c r="GVR23" s="21"/>
      <c r="GVS23" s="21"/>
      <c r="GVT23" s="21"/>
      <c r="GVU23" s="21"/>
      <c r="GVV23" s="21"/>
      <c r="GVW23" s="21"/>
      <c r="GVX23" s="21"/>
      <c r="GVY23" s="21"/>
      <c r="GVZ23" s="21"/>
      <c r="GWA23" s="21"/>
      <c r="GWB23" s="21"/>
      <c r="GWC23" s="21"/>
      <c r="GWD23" s="21"/>
      <c r="GWE23" s="21"/>
      <c r="GWF23" s="21"/>
      <c r="GWG23" s="21"/>
      <c r="GWH23" s="21"/>
      <c r="GWI23" s="21"/>
      <c r="GWJ23" s="21"/>
      <c r="GWK23" s="21"/>
      <c r="GWL23" s="21"/>
      <c r="GWM23" s="21"/>
      <c r="GWN23" s="21"/>
      <c r="GWO23" s="21"/>
      <c r="GWP23" s="21"/>
      <c r="GWQ23" s="21"/>
      <c r="GWR23" s="21"/>
      <c r="GWS23" s="21"/>
      <c r="GWT23" s="21"/>
      <c r="GWU23" s="21"/>
      <c r="GWV23" s="21"/>
      <c r="GWW23" s="21"/>
      <c r="GWX23" s="21"/>
      <c r="GWY23" s="21"/>
      <c r="GWZ23" s="21"/>
      <c r="GXA23" s="21"/>
      <c r="GXB23" s="21"/>
      <c r="GXC23" s="21"/>
      <c r="GXD23" s="21"/>
      <c r="GXE23" s="21"/>
      <c r="GXF23" s="21"/>
      <c r="GXG23" s="21"/>
      <c r="GXH23" s="21"/>
      <c r="GXI23" s="21"/>
      <c r="GXJ23" s="21"/>
      <c r="GXK23" s="21"/>
      <c r="GXL23" s="21"/>
      <c r="GXM23" s="21"/>
      <c r="GXN23" s="21"/>
      <c r="GXO23" s="21"/>
      <c r="GXP23" s="21"/>
      <c r="GXQ23" s="21"/>
      <c r="GXR23" s="21"/>
      <c r="GXS23" s="21"/>
      <c r="GXT23" s="21"/>
      <c r="GXU23" s="21"/>
      <c r="GXV23" s="21"/>
      <c r="GXW23" s="21"/>
      <c r="GXX23" s="21"/>
      <c r="GXY23" s="21"/>
      <c r="GXZ23" s="21"/>
      <c r="GYA23" s="21"/>
      <c r="GYB23" s="21"/>
      <c r="GYC23" s="21"/>
      <c r="GYD23" s="21"/>
      <c r="GYE23" s="21"/>
      <c r="GYF23" s="21"/>
      <c r="GYG23" s="21"/>
      <c r="GYH23" s="21"/>
      <c r="GYI23" s="21"/>
      <c r="GYJ23" s="21"/>
      <c r="GYK23" s="21"/>
      <c r="GYL23" s="21"/>
      <c r="GYM23" s="21"/>
      <c r="GYN23" s="21"/>
      <c r="GYO23" s="21"/>
      <c r="GYP23" s="21"/>
      <c r="GYQ23" s="21"/>
      <c r="GYR23" s="21"/>
      <c r="GYS23" s="21"/>
      <c r="GYT23" s="21"/>
      <c r="GYU23" s="21"/>
      <c r="GYV23" s="21"/>
      <c r="GYW23" s="21"/>
      <c r="GYX23" s="21"/>
      <c r="GYY23" s="21"/>
      <c r="GYZ23" s="21"/>
      <c r="GZA23" s="21"/>
      <c r="GZB23" s="21"/>
      <c r="GZC23" s="21"/>
      <c r="GZD23" s="21"/>
      <c r="GZE23" s="21"/>
      <c r="GZF23" s="21"/>
      <c r="GZG23" s="21"/>
      <c r="GZH23" s="21"/>
      <c r="GZI23" s="21"/>
      <c r="GZJ23" s="21"/>
      <c r="GZK23" s="21"/>
      <c r="GZL23" s="21"/>
      <c r="GZM23" s="21"/>
      <c r="GZN23" s="21"/>
      <c r="GZO23" s="21"/>
      <c r="GZP23" s="21"/>
      <c r="GZQ23" s="21"/>
      <c r="GZR23" s="21"/>
      <c r="GZS23" s="21"/>
      <c r="GZT23" s="21"/>
      <c r="GZU23" s="21"/>
      <c r="GZV23" s="21"/>
      <c r="GZW23" s="21"/>
      <c r="GZX23" s="21"/>
      <c r="GZY23" s="21"/>
      <c r="GZZ23" s="21"/>
      <c r="HAA23" s="21"/>
      <c r="HAB23" s="21"/>
      <c r="HAC23" s="21"/>
      <c r="HAD23" s="21"/>
      <c r="HAE23" s="21"/>
      <c r="HAF23" s="21"/>
      <c r="HAG23" s="21"/>
      <c r="HAH23" s="21"/>
      <c r="HAI23" s="21"/>
      <c r="HAJ23" s="21"/>
      <c r="HAK23" s="21"/>
      <c r="HAL23" s="21"/>
      <c r="HAM23" s="21"/>
      <c r="HAN23" s="21"/>
      <c r="HAO23" s="21"/>
      <c r="HAP23" s="21"/>
      <c r="HAQ23" s="21"/>
      <c r="HAR23" s="21"/>
      <c r="HAS23" s="21"/>
      <c r="HAT23" s="21"/>
      <c r="HAU23" s="21"/>
      <c r="HAV23" s="21"/>
      <c r="HAW23" s="21"/>
      <c r="HAX23" s="21"/>
      <c r="HAY23" s="21"/>
      <c r="HAZ23" s="21"/>
      <c r="HBA23" s="21"/>
      <c r="HBB23" s="21"/>
      <c r="HBC23" s="21"/>
      <c r="HBD23" s="21"/>
      <c r="HBE23" s="21"/>
      <c r="HBF23" s="21"/>
      <c r="HBG23" s="21"/>
      <c r="HBH23" s="21"/>
      <c r="HBI23" s="21"/>
      <c r="HBJ23" s="21"/>
      <c r="HBK23" s="21"/>
      <c r="HBL23" s="21"/>
      <c r="HBM23" s="21"/>
      <c r="HBN23" s="21"/>
      <c r="HBO23" s="21"/>
      <c r="HBP23" s="21"/>
      <c r="HBQ23" s="21"/>
      <c r="HBR23" s="21"/>
      <c r="HBS23" s="21"/>
      <c r="HBT23" s="21"/>
      <c r="HBU23" s="21"/>
      <c r="HBV23" s="21"/>
      <c r="HBW23" s="21"/>
      <c r="HBX23" s="21"/>
      <c r="HBY23" s="21"/>
      <c r="HBZ23" s="21"/>
      <c r="HCA23" s="21"/>
      <c r="HCB23" s="21"/>
      <c r="HCC23" s="21"/>
      <c r="HCD23" s="21"/>
      <c r="HCE23" s="21"/>
      <c r="HCF23" s="21"/>
      <c r="HCG23" s="21"/>
      <c r="HCH23" s="21"/>
      <c r="HCI23" s="21"/>
      <c r="HCJ23" s="21"/>
      <c r="HCK23" s="21"/>
      <c r="HCL23" s="21"/>
      <c r="HCM23" s="21"/>
      <c r="HCN23" s="21"/>
      <c r="HCO23" s="21"/>
      <c r="HCP23" s="21"/>
      <c r="HCQ23" s="21"/>
      <c r="HCR23" s="21"/>
      <c r="HCS23" s="21"/>
      <c r="HCT23" s="21"/>
      <c r="HCU23" s="21"/>
      <c r="HCV23" s="21"/>
      <c r="HCW23" s="21"/>
      <c r="HCX23" s="21"/>
      <c r="HCY23" s="21"/>
      <c r="HCZ23" s="21"/>
      <c r="HDA23" s="21"/>
      <c r="HDB23" s="21"/>
      <c r="HDC23" s="21"/>
      <c r="HDD23" s="21"/>
      <c r="HDE23" s="21"/>
      <c r="HDF23" s="21"/>
      <c r="HDG23" s="21"/>
      <c r="HDH23" s="21"/>
      <c r="HDI23" s="21"/>
      <c r="HDJ23" s="21"/>
      <c r="HDK23" s="21"/>
      <c r="HDL23" s="21"/>
      <c r="HDM23" s="21"/>
      <c r="HDN23" s="21"/>
      <c r="HDO23" s="21"/>
      <c r="HDP23" s="21"/>
      <c r="HDQ23" s="21"/>
      <c r="HDR23" s="21"/>
      <c r="HDS23" s="21"/>
      <c r="HDT23" s="21"/>
      <c r="HDU23" s="21"/>
      <c r="HDV23" s="21"/>
      <c r="HDW23" s="21"/>
      <c r="HDX23" s="21"/>
      <c r="HDY23" s="21"/>
      <c r="HDZ23" s="21"/>
      <c r="HEA23" s="21"/>
      <c r="HEB23" s="21"/>
      <c r="HEC23" s="21"/>
      <c r="HED23" s="21"/>
      <c r="HEE23" s="21"/>
      <c r="HEF23" s="21"/>
      <c r="HEG23" s="21"/>
      <c r="HEH23" s="21"/>
      <c r="HEI23" s="21"/>
      <c r="HEJ23" s="21"/>
      <c r="HEK23" s="21"/>
      <c r="HEL23" s="21"/>
      <c r="HEM23" s="21"/>
      <c r="HEN23" s="21"/>
      <c r="HEO23" s="21"/>
      <c r="HEP23" s="21"/>
      <c r="HEQ23" s="21"/>
      <c r="HER23" s="21"/>
      <c r="HES23" s="21"/>
      <c r="HET23" s="21"/>
      <c r="HEU23" s="21"/>
      <c r="HEV23" s="21"/>
      <c r="HEW23" s="21"/>
      <c r="HEX23" s="21"/>
      <c r="HEY23" s="21"/>
      <c r="HEZ23" s="21"/>
      <c r="HFA23" s="21"/>
      <c r="HFB23" s="21"/>
      <c r="HFC23" s="21"/>
      <c r="HFD23" s="21"/>
      <c r="HFE23" s="21"/>
      <c r="HFF23" s="21"/>
      <c r="HFG23" s="21"/>
      <c r="HFH23" s="21"/>
      <c r="HFI23" s="21"/>
      <c r="HFJ23" s="21"/>
      <c r="HFK23" s="21"/>
      <c r="HFL23" s="21"/>
      <c r="HFM23" s="21"/>
      <c r="HFN23" s="21"/>
      <c r="HFO23" s="21"/>
      <c r="HFP23" s="21"/>
      <c r="HFQ23" s="21"/>
      <c r="HFR23" s="21"/>
      <c r="HFS23" s="21"/>
      <c r="HFT23" s="21"/>
      <c r="HFU23" s="21"/>
      <c r="HFV23" s="21"/>
      <c r="HFW23" s="21"/>
      <c r="HFX23" s="21"/>
      <c r="HFY23" s="21"/>
      <c r="HFZ23" s="21"/>
      <c r="HGA23" s="21"/>
      <c r="HGB23" s="21"/>
      <c r="HGC23" s="21"/>
      <c r="HGD23" s="21"/>
      <c r="HGE23" s="21"/>
      <c r="HGF23" s="21"/>
      <c r="HGG23" s="21"/>
      <c r="HGH23" s="21"/>
      <c r="HGI23" s="21"/>
      <c r="HGJ23" s="21"/>
      <c r="HGK23" s="21"/>
      <c r="HGL23" s="21"/>
      <c r="HGM23" s="21"/>
      <c r="HGN23" s="21"/>
      <c r="HGO23" s="21"/>
      <c r="HGP23" s="21"/>
      <c r="HGQ23" s="21"/>
      <c r="HGR23" s="21"/>
      <c r="HGS23" s="21"/>
      <c r="HGT23" s="21"/>
      <c r="HGU23" s="21"/>
      <c r="HGV23" s="21"/>
      <c r="HGW23" s="21"/>
      <c r="HGX23" s="21"/>
      <c r="HGY23" s="21"/>
      <c r="HGZ23" s="21"/>
      <c r="HHA23" s="21"/>
      <c r="HHB23" s="21"/>
      <c r="HHC23" s="21"/>
      <c r="HHD23" s="21"/>
      <c r="HHE23" s="21"/>
      <c r="HHF23" s="21"/>
      <c r="HHG23" s="21"/>
      <c r="HHH23" s="21"/>
      <c r="HHI23" s="21"/>
      <c r="HHJ23" s="21"/>
      <c r="HHK23" s="21"/>
      <c r="HHL23" s="21"/>
      <c r="HHM23" s="21"/>
      <c r="HHN23" s="21"/>
      <c r="HHO23" s="21"/>
      <c r="HHP23" s="21"/>
      <c r="HHQ23" s="21"/>
      <c r="HHR23" s="21"/>
      <c r="HHS23" s="21"/>
      <c r="HHT23" s="21"/>
      <c r="HHU23" s="21"/>
      <c r="HHV23" s="21"/>
      <c r="HHW23" s="21"/>
      <c r="HHX23" s="21"/>
      <c r="HHY23" s="21"/>
      <c r="HHZ23" s="21"/>
      <c r="HIA23" s="21"/>
      <c r="HIB23" s="21"/>
      <c r="HIC23" s="21"/>
      <c r="HID23" s="21"/>
      <c r="HIE23" s="21"/>
      <c r="HIF23" s="21"/>
      <c r="HIG23" s="21"/>
      <c r="HIH23" s="21"/>
      <c r="HII23" s="21"/>
      <c r="HIJ23" s="21"/>
      <c r="HIK23" s="21"/>
      <c r="HIL23" s="21"/>
      <c r="HIM23" s="21"/>
      <c r="HIN23" s="21"/>
      <c r="HIO23" s="21"/>
      <c r="HIP23" s="21"/>
      <c r="HIQ23" s="21"/>
      <c r="HIR23" s="21"/>
      <c r="HIS23" s="21"/>
      <c r="HIT23" s="21"/>
      <c r="HIU23" s="21"/>
      <c r="HIV23" s="21"/>
      <c r="HIW23" s="21"/>
      <c r="HIX23" s="21"/>
      <c r="HIY23" s="21"/>
      <c r="HIZ23" s="21"/>
      <c r="HJA23" s="21"/>
      <c r="HJB23" s="21"/>
      <c r="HJC23" s="21"/>
      <c r="HJD23" s="21"/>
      <c r="HJE23" s="21"/>
      <c r="HJF23" s="21"/>
      <c r="HJG23" s="21"/>
      <c r="HJH23" s="21"/>
      <c r="HJI23" s="21"/>
      <c r="HJJ23" s="21"/>
      <c r="HJK23" s="21"/>
      <c r="HJL23" s="21"/>
      <c r="HJM23" s="21"/>
      <c r="HJN23" s="21"/>
      <c r="HJO23" s="21"/>
      <c r="HJP23" s="21"/>
      <c r="HJQ23" s="21"/>
      <c r="HJR23" s="21"/>
      <c r="HJS23" s="21"/>
      <c r="HJT23" s="21"/>
      <c r="HJU23" s="21"/>
      <c r="HJV23" s="21"/>
      <c r="HJW23" s="21"/>
      <c r="HJX23" s="21"/>
      <c r="HJY23" s="21"/>
      <c r="HJZ23" s="21"/>
      <c r="HKA23" s="21"/>
      <c r="HKB23" s="21"/>
      <c r="HKC23" s="21"/>
      <c r="HKD23" s="21"/>
      <c r="HKE23" s="21"/>
      <c r="HKF23" s="21"/>
      <c r="HKG23" s="21"/>
      <c r="HKH23" s="21"/>
      <c r="HKI23" s="21"/>
      <c r="HKJ23" s="21"/>
      <c r="HKK23" s="21"/>
      <c r="HKL23" s="21"/>
      <c r="HKM23" s="21"/>
      <c r="HKN23" s="21"/>
      <c r="HKO23" s="21"/>
      <c r="HKP23" s="21"/>
      <c r="HKQ23" s="21"/>
      <c r="HKR23" s="21"/>
      <c r="HKS23" s="21"/>
      <c r="HKT23" s="21"/>
      <c r="HKU23" s="21"/>
      <c r="HKV23" s="21"/>
      <c r="HKW23" s="21"/>
      <c r="HKX23" s="21"/>
      <c r="HKY23" s="21"/>
      <c r="HKZ23" s="21"/>
      <c r="HLA23" s="21"/>
      <c r="HLB23" s="21"/>
      <c r="HLC23" s="21"/>
      <c r="HLD23" s="21"/>
      <c r="HLE23" s="21"/>
      <c r="HLF23" s="21"/>
      <c r="HLG23" s="21"/>
      <c r="HLH23" s="21"/>
      <c r="HLI23" s="21"/>
      <c r="HLJ23" s="21"/>
      <c r="HLK23" s="21"/>
      <c r="HLL23" s="21"/>
      <c r="HLM23" s="21"/>
      <c r="HLN23" s="21"/>
      <c r="HLO23" s="21"/>
      <c r="HLP23" s="21"/>
      <c r="HLQ23" s="21"/>
      <c r="HLR23" s="21"/>
      <c r="HLS23" s="21"/>
      <c r="HLT23" s="21"/>
      <c r="HLU23" s="21"/>
      <c r="HLV23" s="21"/>
      <c r="HLW23" s="21"/>
      <c r="HLX23" s="21"/>
      <c r="HLY23" s="21"/>
      <c r="HLZ23" s="21"/>
      <c r="HMA23" s="21"/>
      <c r="HMB23" s="21"/>
      <c r="HMC23" s="21"/>
      <c r="HMD23" s="21"/>
      <c r="HME23" s="21"/>
      <c r="HMF23" s="21"/>
      <c r="HMG23" s="21"/>
      <c r="HMH23" s="21"/>
      <c r="HMI23" s="21"/>
      <c r="HMJ23" s="21"/>
      <c r="HMK23" s="21"/>
      <c r="HML23" s="21"/>
      <c r="HMM23" s="21"/>
      <c r="HMN23" s="21"/>
      <c r="HMO23" s="21"/>
      <c r="HMP23" s="21"/>
      <c r="HMQ23" s="21"/>
      <c r="HMR23" s="21"/>
      <c r="HMS23" s="21"/>
      <c r="HMT23" s="21"/>
      <c r="HMU23" s="21"/>
      <c r="HMV23" s="21"/>
      <c r="HMW23" s="21"/>
      <c r="HMX23" s="21"/>
      <c r="HMY23" s="21"/>
      <c r="HMZ23" s="21"/>
      <c r="HNA23" s="21"/>
      <c r="HNB23" s="21"/>
      <c r="HNC23" s="21"/>
      <c r="HND23" s="21"/>
      <c r="HNE23" s="21"/>
      <c r="HNF23" s="21"/>
      <c r="HNG23" s="21"/>
      <c r="HNH23" s="21"/>
      <c r="HNI23" s="21"/>
      <c r="HNJ23" s="21"/>
      <c r="HNK23" s="21"/>
      <c r="HNL23" s="21"/>
      <c r="HNM23" s="21"/>
      <c r="HNN23" s="21"/>
      <c r="HNO23" s="21"/>
      <c r="HNP23" s="21"/>
      <c r="HNQ23" s="21"/>
      <c r="HNR23" s="21"/>
      <c r="HNS23" s="21"/>
      <c r="HNT23" s="21"/>
      <c r="HNU23" s="21"/>
      <c r="HNV23" s="21"/>
      <c r="HNW23" s="21"/>
      <c r="HNX23" s="21"/>
      <c r="HNY23" s="21"/>
      <c r="HNZ23" s="21"/>
      <c r="HOA23" s="21"/>
      <c r="HOB23" s="21"/>
      <c r="HOC23" s="21"/>
      <c r="HOD23" s="21"/>
      <c r="HOE23" s="21"/>
      <c r="HOF23" s="21"/>
      <c r="HOG23" s="21"/>
      <c r="HOH23" s="21"/>
      <c r="HOI23" s="21"/>
      <c r="HOJ23" s="21"/>
      <c r="HOK23" s="21"/>
      <c r="HOL23" s="21"/>
      <c r="HOM23" s="21"/>
      <c r="HON23" s="21"/>
      <c r="HOO23" s="21"/>
      <c r="HOP23" s="21"/>
      <c r="HOQ23" s="21"/>
      <c r="HOR23" s="21"/>
      <c r="HOS23" s="21"/>
      <c r="HOT23" s="21"/>
      <c r="HOU23" s="21"/>
      <c r="HOV23" s="21"/>
      <c r="HOW23" s="21"/>
      <c r="HOX23" s="21"/>
      <c r="HOY23" s="21"/>
      <c r="HOZ23" s="21"/>
      <c r="HPA23" s="21"/>
      <c r="HPB23" s="21"/>
      <c r="HPC23" s="21"/>
      <c r="HPD23" s="21"/>
      <c r="HPE23" s="21"/>
      <c r="HPF23" s="21"/>
      <c r="HPG23" s="21"/>
      <c r="HPH23" s="21"/>
      <c r="HPI23" s="21"/>
      <c r="HPJ23" s="21"/>
      <c r="HPK23" s="21"/>
      <c r="HPL23" s="21"/>
      <c r="HPM23" s="21"/>
      <c r="HPN23" s="21"/>
      <c r="HPO23" s="21"/>
      <c r="HPP23" s="21"/>
      <c r="HPQ23" s="21"/>
      <c r="HPR23" s="21"/>
      <c r="HPS23" s="21"/>
      <c r="HPT23" s="21"/>
      <c r="HPU23" s="21"/>
      <c r="HPV23" s="21"/>
      <c r="HPW23" s="21"/>
      <c r="HPX23" s="21"/>
      <c r="HPY23" s="21"/>
      <c r="HPZ23" s="21"/>
      <c r="HQA23" s="21"/>
      <c r="HQB23" s="21"/>
      <c r="HQC23" s="21"/>
      <c r="HQD23" s="21"/>
      <c r="HQE23" s="21"/>
      <c r="HQF23" s="21"/>
      <c r="HQG23" s="21"/>
      <c r="HQH23" s="21"/>
      <c r="HQI23" s="21"/>
      <c r="HQJ23" s="21"/>
      <c r="HQK23" s="21"/>
      <c r="HQL23" s="21"/>
      <c r="HQM23" s="21"/>
      <c r="HQN23" s="21"/>
      <c r="HQO23" s="21"/>
      <c r="HQP23" s="21"/>
      <c r="HQQ23" s="21"/>
      <c r="HQR23" s="21"/>
      <c r="HQS23" s="21"/>
      <c r="HQT23" s="21"/>
      <c r="HQU23" s="21"/>
      <c r="HQV23" s="21"/>
      <c r="HQW23" s="21"/>
      <c r="HQX23" s="21"/>
      <c r="HQY23" s="21"/>
      <c r="HQZ23" s="21"/>
      <c r="HRA23" s="21"/>
      <c r="HRB23" s="21"/>
      <c r="HRC23" s="21"/>
      <c r="HRD23" s="21"/>
      <c r="HRE23" s="21"/>
      <c r="HRF23" s="21"/>
      <c r="HRG23" s="21"/>
      <c r="HRH23" s="21"/>
      <c r="HRI23" s="21"/>
      <c r="HRJ23" s="21"/>
      <c r="HRK23" s="21"/>
      <c r="HRL23" s="21"/>
      <c r="HRM23" s="21"/>
      <c r="HRN23" s="21"/>
      <c r="HRO23" s="21"/>
      <c r="HRP23" s="21"/>
      <c r="HRQ23" s="21"/>
      <c r="HRR23" s="21"/>
      <c r="HRS23" s="21"/>
      <c r="HRT23" s="21"/>
      <c r="HRU23" s="21"/>
      <c r="HRV23" s="21"/>
      <c r="HRW23" s="21"/>
      <c r="HRX23" s="21"/>
      <c r="HRY23" s="21"/>
      <c r="HRZ23" s="21"/>
      <c r="HSA23" s="21"/>
      <c r="HSB23" s="21"/>
      <c r="HSC23" s="21"/>
      <c r="HSD23" s="21"/>
      <c r="HSE23" s="21"/>
      <c r="HSF23" s="21"/>
      <c r="HSG23" s="21"/>
      <c r="HSH23" s="21"/>
      <c r="HSI23" s="21"/>
      <c r="HSJ23" s="21"/>
      <c r="HSK23" s="21"/>
      <c r="HSL23" s="21"/>
      <c r="HSM23" s="21"/>
      <c r="HSN23" s="21"/>
      <c r="HSO23" s="21"/>
      <c r="HSP23" s="21"/>
      <c r="HSQ23" s="21"/>
      <c r="HSR23" s="21"/>
      <c r="HSS23" s="21"/>
      <c r="HST23" s="21"/>
      <c r="HSU23" s="21"/>
      <c r="HSV23" s="21"/>
      <c r="HSW23" s="21"/>
      <c r="HSX23" s="21"/>
      <c r="HSY23" s="21"/>
      <c r="HSZ23" s="21"/>
      <c r="HTA23" s="21"/>
      <c r="HTB23" s="21"/>
      <c r="HTC23" s="21"/>
      <c r="HTD23" s="21"/>
      <c r="HTE23" s="21"/>
      <c r="HTF23" s="21"/>
      <c r="HTG23" s="21"/>
      <c r="HTH23" s="21"/>
      <c r="HTI23" s="21"/>
      <c r="HTJ23" s="21"/>
      <c r="HTK23" s="21"/>
      <c r="HTL23" s="21"/>
      <c r="HTM23" s="21"/>
      <c r="HTN23" s="21"/>
      <c r="HTO23" s="21"/>
      <c r="HTP23" s="21"/>
      <c r="HTQ23" s="21"/>
      <c r="HTR23" s="21"/>
      <c r="HTS23" s="21"/>
      <c r="HTT23" s="21"/>
      <c r="HTU23" s="21"/>
      <c r="HTV23" s="21"/>
      <c r="HTW23" s="21"/>
      <c r="HTX23" s="21"/>
      <c r="HTY23" s="21"/>
      <c r="HTZ23" s="21"/>
      <c r="HUA23" s="21"/>
      <c r="HUB23" s="21"/>
      <c r="HUC23" s="21"/>
      <c r="HUD23" s="21"/>
      <c r="HUE23" s="21"/>
      <c r="HUF23" s="21"/>
      <c r="HUG23" s="21"/>
      <c r="HUH23" s="21"/>
      <c r="HUI23" s="21"/>
      <c r="HUJ23" s="21"/>
      <c r="HUK23" s="21"/>
      <c r="HUL23" s="21"/>
      <c r="HUM23" s="21"/>
      <c r="HUN23" s="21"/>
      <c r="HUO23" s="21"/>
      <c r="HUP23" s="21"/>
      <c r="HUQ23" s="21"/>
      <c r="HUR23" s="21"/>
      <c r="HUS23" s="21"/>
      <c r="HUT23" s="21"/>
      <c r="HUU23" s="21"/>
      <c r="HUV23" s="21"/>
      <c r="HUW23" s="21"/>
      <c r="HUX23" s="21"/>
      <c r="HUY23" s="21"/>
      <c r="HUZ23" s="21"/>
      <c r="HVA23" s="21"/>
      <c r="HVB23" s="21"/>
      <c r="HVC23" s="21"/>
      <c r="HVD23" s="21"/>
      <c r="HVE23" s="21"/>
      <c r="HVF23" s="21"/>
      <c r="HVG23" s="21"/>
      <c r="HVH23" s="21"/>
      <c r="HVI23" s="21"/>
      <c r="HVJ23" s="21"/>
      <c r="HVK23" s="21"/>
      <c r="HVL23" s="21"/>
      <c r="HVM23" s="21"/>
      <c r="HVN23" s="21"/>
      <c r="HVO23" s="21"/>
      <c r="HVP23" s="21"/>
      <c r="HVQ23" s="21"/>
      <c r="HVR23" s="21"/>
      <c r="HVS23" s="21"/>
      <c r="HVT23" s="21"/>
      <c r="HVU23" s="21"/>
      <c r="HVV23" s="21"/>
      <c r="HVW23" s="21"/>
      <c r="HVX23" s="21"/>
      <c r="HVY23" s="21"/>
      <c r="HVZ23" s="21"/>
      <c r="HWA23" s="21"/>
      <c r="HWB23" s="21"/>
      <c r="HWC23" s="21"/>
      <c r="HWD23" s="21"/>
      <c r="HWE23" s="21"/>
      <c r="HWF23" s="21"/>
      <c r="HWG23" s="21"/>
      <c r="HWH23" s="21"/>
      <c r="HWI23" s="21"/>
      <c r="HWJ23" s="21"/>
      <c r="HWK23" s="21"/>
      <c r="HWL23" s="21"/>
      <c r="HWM23" s="21"/>
      <c r="HWN23" s="21"/>
      <c r="HWO23" s="21"/>
      <c r="HWP23" s="21"/>
      <c r="HWQ23" s="21"/>
      <c r="HWR23" s="21"/>
      <c r="HWS23" s="21"/>
      <c r="HWT23" s="21"/>
      <c r="HWU23" s="21"/>
      <c r="HWV23" s="21"/>
      <c r="HWW23" s="21"/>
      <c r="HWX23" s="21"/>
      <c r="HWY23" s="21"/>
      <c r="HWZ23" s="21"/>
      <c r="HXA23" s="21"/>
      <c r="HXB23" s="21"/>
      <c r="HXC23" s="21"/>
      <c r="HXD23" s="21"/>
      <c r="HXE23" s="21"/>
      <c r="HXF23" s="21"/>
      <c r="HXG23" s="21"/>
      <c r="HXH23" s="21"/>
      <c r="HXI23" s="21"/>
      <c r="HXJ23" s="21"/>
      <c r="HXK23" s="21"/>
      <c r="HXL23" s="21"/>
      <c r="HXM23" s="21"/>
      <c r="HXN23" s="21"/>
      <c r="HXO23" s="21"/>
      <c r="HXP23" s="21"/>
      <c r="HXQ23" s="21"/>
      <c r="HXR23" s="21"/>
      <c r="HXS23" s="21"/>
      <c r="HXT23" s="21"/>
      <c r="HXU23" s="21"/>
      <c r="HXV23" s="21"/>
      <c r="HXW23" s="21"/>
      <c r="HXX23" s="21"/>
      <c r="HXY23" s="21"/>
      <c r="HXZ23" s="21"/>
      <c r="HYA23" s="21"/>
      <c r="HYB23" s="21"/>
      <c r="HYC23" s="21"/>
      <c r="HYD23" s="21"/>
      <c r="HYE23" s="21"/>
      <c r="HYF23" s="21"/>
      <c r="HYG23" s="21"/>
      <c r="HYH23" s="21"/>
      <c r="HYI23" s="21"/>
      <c r="HYJ23" s="21"/>
      <c r="HYK23" s="21"/>
      <c r="HYL23" s="21"/>
      <c r="HYM23" s="21"/>
      <c r="HYN23" s="21"/>
      <c r="HYO23" s="21"/>
      <c r="HYP23" s="21"/>
      <c r="HYQ23" s="21"/>
      <c r="HYR23" s="21"/>
      <c r="HYS23" s="21"/>
      <c r="HYT23" s="21"/>
      <c r="HYU23" s="21"/>
      <c r="HYV23" s="21"/>
      <c r="HYW23" s="21"/>
      <c r="HYX23" s="21"/>
      <c r="HYY23" s="21"/>
      <c r="HYZ23" s="21"/>
      <c r="HZA23" s="21"/>
      <c r="HZB23" s="21"/>
      <c r="HZC23" s="21"/>
      <c r="HZD23" s="21"/>
      <c r="HZE23" s="21"/>
      <c r="HZF23" s="21"/>
      <c r="HZG23" s="21"/>
      <c r="HZH23" s="21"/>
      <c r="HZI23" s="21"/>
      <c r="HZJ23" s="21"/>
      <c r="HZK23" s="21"/>
      <c r="HZL23" s="21"/>
      <c r="HZM23" s="21"/>
      <c r="HZN23" s="21"/>
      <c r="HZO23" s="21"/>
      <c r="HZP23" s="21"/>
      <c r="HZQ23" s="21"/>
      <c r="HZR23" s="21"/>
      <c r="HZS23" s="21"/>
      <c r="HZT23" s="21"/>
      <c r="HZU23" s="21"/>
      <c r="HZV23" s="21"/>
      <c r="HZW23" s="21"/>
      <c r="HZX23" s="21"/>
      <c r="HZY23" s="21"/>
      <c r="HZZ23" s="21"/>
      <c r="IAA23" s="21"/>
      <c r="IAB23" s="21"/>
      <c r="IAC23" s="21"/>
      <c r="IAD23" s="21"/>
      <c r="IAE23" s="21"/>
      <c r="IAF23" s="21"/>
      <c r="IAG23" s="21"/>
      <c r="IAH23" s="21"/>
      <c r="IAI23" s="21"/>
      <c r="IAJ23" s="21"/>
      <c r="IAK23" s="21"/>
      <c r="IAL23" s="21"/>
      <c r="IAM23" s="21"/>
      <c r="IAN23" s="21"/>
      <c r="IAO23" s="21"/>
      <c r="IAP23" s="21"/>
      <c r="IAQ23" s="21"/>
      <c r="IAR23" s="21"/>
      <c r="IAS23" s="21"/>
      <c r="IAT23" s="21"/>
      <c r="IAU23" s="21"/>
      <c r="IAV23" s="21"/>
      <c r="IAW23" s="21"/>
      <c r="IAX23" s="21"/>
      <c r="IAY23" s="21"/>
      <c r="IAZ23" s="21"/>
      <c r="IBA23" s="21"/>
      <c r="IBB23" s="21"/>
      <c r="IBC23" s="21"/>
      <c r="IBD23" s="21"/>
      <c r="IBE23" s="21"/>
      <c r="IBF23" s="21"/>
      <c r="IBG23" s="21"/>
      <c r="IBH23" s="21"/>
      <c r="IBI23" s="21"/>
      <c r="IBJ23" s="21"/>
      <c r="IBK23" s="21"/>
      <c r="IBL23" s="21"/>
      <c r="IBM23" s="21"/>
      <c r="IBN23" s="21"/>
      <c r="IBO23" s="21"/>
      <c r="IBP23" s="21"/>
      <c r="IBQ23" s="21"/>
      <c r="IBR23" s="21"/>
      <c r="IBS23" s="21"/>
      <c r="IBT23" s="21"/>
      <c r="IBU23" s="21"/>
      <c r="IBV23" s="21"/>
      <c r="IBW23" s="21"/>
      <c r="IBX23" s="21"/>
      <c r="IBY23" s="21"/>
      <c r="IBZ23" s="21"/>
      <c r="ICA23" s="21"/>
      <c r="ICB23" s="21"/>
      <c r="ICC23" s="21"/>
      <c r="ICD23" s="21"/>
      <c r="ICE23" s="21"/>
      <c r="ICF23" s="21"/>
      <c r="ICG23" s="21"/>
      <c r="ICH23" s="21"/>
      <c r="ICI23" s="21"/>
      <c r="ICJ23" s="21"/>
      <c r="ICK23" s="21"/>
      <c r="ICL23" s="21"/>
      <c r="ICM23" s="21"/>
      <c r="ICN23" s="21"/>
      <c r="ICO23" s="21"/>
      <c r="ICP23" s="21"/>
      <c r="ICQ23" s="21"/>
      <c r="ICR23" s="21"/>
      <c r="ICS23" s="21"/>
      <c r="ICT23" s="21"/>
      <c r="ICU23" s="21"/>
      <c r="ICV23" s="21"/>
      <c r="ICW23" s="21"/>
      <c r="ICX23" s="21"/>
      <c r="ICY23" s="21"/>
      <c r="ICZ23" s="21"/>
      <c r="IDA23" s="21"/>
      <c r="IDB23" s="21"/>
      <c r="IDC23" s="21"/>
      <c r="IDD23" s="21"/>
      <c r="IDE23" s="21"/>
      <c r="IDF23" s="21"/>
      <c r="IDG23" s="21"/>
      <c r="IDH23" s="21"/>
      <c r="IDI23" s="21"/>
      <c r="IDJ23" s="21"/>
      <c r="IDK23" s="21"/>
      <c r="IDL23" s="21"/>
      <c r="IDM23" s="21"/>
      <c r="IDN23" s="21"/>
      <c r="IDO23" s="21"/>
      <c r="IDP23" s="21"/>
      <c r="IDQ23" s="21"/>
      <c r="IDR23" s="21"/>
      <c r="IDS23" s="21"/>
      <c r="IDT23" s="21"/>
      <c r="IDU23" s="21"/>
      <c r="IDV23" s="21"/>
      <c r="IDW23" s="21"/>
      <c r="IDX23" s="21"/>
      <c r="IDY23" s="21"/>
      <c r="IDZ23" s="21"/>
      <c r="IEA23" s="21"/>
      <c r="IEB23" s="21"/>
      <c r="IEC23" s="21"/>
      <c r="IED23" s="21"/>
      <c r="IEE23" s="21"/>
      <c r="IEF23" s="21"/>
      <c r="IEG23" s="21"/>
      <c r="IEH23" s="21"/>
      <c r="IEI23" s="21"/>
      <c r="IEJ23" s="21"/>
      <c r="IEK23" s="21"/>
      <c r="IEL23" s="21"/>
      <c r="IEM23" s="21"/>
      <c r="IEN23" s="21"/>
      <c r="IEO23" s="21"/>
      <c r="IEP23" s="21"/>
      <c r="IEQ23" s="21"/>
      <c r="IER23" s="21"/>
      <c r="IES23" s="21"/>
      <c r="IET23" s="21"/>
      <c r="IEU23" s="21"/>
      <c r="IEV23" s="21"/>
      <c r="IEW23" s="21"/>
      <c r="IEX23" s="21"/>
      <c r="IEY23" s="21"/>
      <c r="IEZ23" s="21"/>
      <c r="IFA23" s="21"/>
      <c r="IFB23" s="21"/>
      <c r="IFC23" s="21"/>
      <c r="IFD23" s="21"/>
      <c r="IFE23" s="21"/>
      <c r="IFF23" s="21"/>
      <c r="IFG23" s="21"/>
      <c r="IFH23" s="21"/>
      <c r="IFI23" s="21"/>
      <c r="IFJ23" s="21"/>
      <c r="IFK23" s="21"/>
      <c r="IFL23" s="21"/>
      <c r="IFM23" s="21"/>
      <c r="IFN23" s="21"/>
      <c r="IFO23" s="21"/>
      <c r="IFP23" s="21"/>
      <c r="IFQ23" s="21"/>
      <c r="IFR23" s="21"/>
      <c r="IFS23" s="21"/>
      <c r="IFT23" s="21"/>
      <c r="IFU23" s="21"/>
      <c r="IFV23" s="21"/>
      <c r="IFW23" s="21"/>
      <c r="IFX23" s="21"/>
      <c r="IFY23" s="21"/>
      <c r="IFZ23" s="21"/>
      <c r="IGA23" s="21"/>
      <c r="IGB23" s="21"/>
      <c r="IGC23" s="21"/>
      <c r="IGD23" s="21"/>
      <c r="IGE23" s="21"/>
      <c r="IGF23" s="21"/>
      <c r="IGG23" s="21"/>
      <c r="IGH23" s="21"/>
      <c r="IGI23" s="21"/>
      <c r="IGJ23" s="21"/>
      <c r="IGK23" s="21"/>
      <c r="IGL23" s="21"/>
      <c r="IGM23" s="21"/>
      <c r="IGN23" s="21"/>
      <c r="IGO23" s="21"/>
      <c r="IGP23" s="21"/>
      <c r="IGQ23" s="21"/>
      <c r="IGR23" s="21"/>
      <c r="IGS23" s="21"/>
      <c r="IGT23" s="21"/>
      <c r="IGU23" s="21"/>
      <c r="IGV23" s="21"/>
      <c r="IGW23" s="21"/>
      <c r="IGX23" s="21"/>
      <c r="IGY23" s="21"/>
      <c r="IGZ23" s="21"/>
      <c r="IHA23" s="21"/>
      <c r="IHB23" s="21"/>
      <c r="IHC23" s="21"/>
      <c r="IHD23" s="21"/>
      <c r="IHE23" s="21"/>
      <c r="IHF23" s="21"/>
      <c r="IHG23" s="21"/>
      <c r="IHH23" s="21"/>
      <c r="IHI23" s="21"/>
      <c r="IHJ23" s="21"/>
      <c r="IHK23" s="21"/>
      <c r="IHL23" s="21"/>
      <c r="IHM23" s="21"/>
      <c r="IHN23" s="21"/>
      <c r="IHO23" s="21"/>
      <c r="IHP23" s="21"/>
      <c r="IHQ23" s="21"/>
      <c r="IHR23" s="21"/>
      <c r="IHS23" s="21"/>
      <c r="IHT23" s="21"/>
      <c r="IHU23" s="21"/>
      <c r="IHV23" s="21"/>
      <c r="IHW23" s="21"/>
      <c r="IHX23" s="21"/>
      <c r="IHY23" s="21"/>
      <c r="IHZ23" s="21"/>
      <c r="IIA23" s="21"/>
      <c r="IIB23" s="21"/>
      <c r="IIC23" s="21"/>
      <c r="IID23" s="21"/>
      <c r="IIE23" s="21"/>
      <c r="IIF23" s="21"/>
      <c r="IIG23" s="21"/>
      <c r="IIH23" s="21"/>
      <c r="III23" s="21"/>
      <c r="IIJ23" s="21"/>
      <c r="IIK23" s="21"/>
      <c r="IIL23" s="21"/>
      <c r="IIM23" s="21"/>
      <c r="IIN23" s="21"/>
      <c r="IIO23" s="21"/>
      <c r="IIP23" s="21"/>
      <c r="IIQ23" s="21"/>
      <c r="IIR23" s="21"/>
      <c r="IIS23" s="21"/>
      <c r="IIT23" s="21"/>
      <c r="IIU23" s="21"/>
      <c r="IIV23" s="21"/>
      <c r="IIW23" s="21"/>
      <c r="IIX23" s="21"/>
      <c r="IIY23" s="21"/>
      <c r="IIZ23" s="21"/>
      <c r="IJA23" s="21"/>
      <c r="IJB23" s="21"/>
      <c r="IJC23" s="21"/>
      <c r="IJD23" s="21"/>
      <c r="IJE23" s="21"/>
      <c r="IJF23" s="21"/>
      <c r="IJG23" s="21"/>
      <c r="IJH23" s="21"/>
      <c r="IJI23" s="21"/>
      <c r="IJJ23" s="21"/>
      <c r="IJK23" s="21"/>
      <c r="IJL23" s="21"/>
      <c r="IJM23" s="21"/>
      <c r="IJN23" s="21"/>
      <c r="IJO23" s="21"/>
      <c r="IJP23" s="21"/>
      <c r="IJQ23" s="21"/>
      <c r="IJR23" s="21"/>
      <c r="IJS23" s="21"/>
      <c r="IJT23" s="21"/>
      <c r="IJU23" s="21"/>
      <c r="IJV23" s="21"/>
      <c r="IJW23" s="21"/>
      <c r="IJX23" s="21"/>
      <c r="IJY23" s="21"/>
      <c r="IJZ23" s="21"/>
      <c r="IKA23" s="21"/>
      <c r="IKB23" s="21"/>
      <c r="IKC23" s="21"/>
      <c r="IKD23" s="21"/>
      <c r="IKE23" s="21"/>
      <c r="IKF23" s="21"/>
      <c r="IKG23" s="21"/>
      <c r="IKH23" s="21"/>
      <c r="IKI23" s="21"/>
      <c r="IKJ23" s="21"/>
      <c r="IKK23" s="21"/>
      <c r="IKL23" s="21"/>
      <c r="IKM23" s="21"/>
      <c r="IKN23" s="21"/>
      <c r="IKO23" s="21"/>
      <c r="IKP23" s="21"/>
      <c r="IKQ23" s="21"/>
      <c r="IKR23" s="21"/>
      <c r="IKS23" s="21"/>
      <c r="IKT23" s="21"/>
      <c r="IKU23" s="21"/>
      <c r="IKV23" s="21"/>
      <c r="IKW23" s="21"/>
      <c r="IKX23" s="21"/>
      <c r="IKY23" s="21"/>
      <c r="IKZ23" s="21"/>
      <c r="ILA23" s="21"/>
      <c r="ILB23" s="21"/>
      <c r="ILC23" s="21"/>
      <c r="ILD23" s="21"/>
      <c r="ILE23" s="21"/>
      <c r="ILF23" s="21"/>
      <c r="ILG23" s="21"/>
      <c r="ILH23" s="21"/>
      <c r="ILI23" s="21"/>
      <c r="ILJ23" s="21"/>
      <c r="ILK23" s="21"/>
      <c r="ILL23" s="21"/>
      <c r="ILM23" s="21"/>
      <c r="ILN23" s="21"/>
      <c r="ILO23" s="21"/>
      <c r="ILP23" s="21"/>
      <c r="ILQ23" s="21"/>
      <c r="ILR23" s="21"/>
      <c r="ILS23" s="21"/>
      <c r="ILT23" s="21"/>
      <c r="ILU23" s="21"/>
      <c r="ILV23" s="21"/>
      <c r="ILW23" s="21"/>
      <c r="ILX23" s="21"/>
      <c r="ILY23" s="21"/>
      <c r="ILZ23" s="21"/>
      <c r="IMA23" s="21"/>
      <c r="IMB23" s="21"/>
      <c r="IMC23" s="21"/>
      <c r="IMD23" s="21"/>
      <c r="IME23" s="21"/>
      <c r="IMF23" s="21"/>
      <c r="IMG23" s="21"/>
      <c r="IMH23" s="21"/>
      <c r="IMI23" s="21"/>
      <c r="IMJ23" s="21"/>
      <c r="IMK23" s="21"/>
      <c r="IML23" s="21"/>
      <c r="IMM23" s="21"/>
      <c r="IMN23" s="21"/>
      <c r="IMO23" s="21"/>
      <c r="IMP23" s="21"/>
      <c r="IMQ23" s="21"/>
      <c r="IMR23" s="21"/>
      <c r="IMS23" s="21"/>
      <c r="IMT23" s="21"/>
      <c r="IMU23" s="21"/>
      <c r="IMV23" s="21"/>
      <c r="IMW23" s="21"/>
      <c r="IMX23" s="21"/>
      <c r="IMY23" s="21"/>
      <c r="IMZ23" s="21"/>
      <c r="INA23" s="21"/>
      <c r="INB23" s="21"/>
      <c r="INC23" s="21"/>
      <c r="IND23" s="21"/>
      <c r="INE23" s="21"/>
      <c r="INF23" s="21"/>
      <c r="ING23" s="21"/>
      <c r="INH23" s="21"/>
      <c r="INI23" s="21"/>
      <c r="INJ23" s="21"/>
      <c r="INK23" s="21"/>
      <c r="INL23" s="21"/>
      <c r="INM23" s="21"/>
      <c r="INN23" s="21"/>
      <c r="INO23" s="21"/>
      <c r="INP23" s="21"/>
      <c r="INQ23" s="21"/>
      <c r="INR23" s="21"/>
      <c r="INS23" s="21"/>
      <c r="INT23" s="21"/>
      <c r="INU23" s="21"/>
      <c r="INV23" s="21"/>
      <c r="INW23" s="21"/>
      <c r="INX23" s="21"/>
      <c r="INY23" s="21"/>
      <c r="INZ23" s="21"/>
      <c r="IOA23" s="21"/>
      <c r="IOB23" s="21"/>
      <c r="IOC23" s="21"/>
      <c r="IOD23" s="21"/>
      <c r="IOE23" s="21"/>
      <c r="IOF23" s="21"/>
      <c r="IOG23" s="21"/>
      <c r="IOH23" s="21"/>
      <c r="IOI23" s="21"/>
      <c r="IOJ23" s="21"/>
      <c r="IOK23" s="21"/>
      <c r="IOL23" s="21"/>
      <c r="IOM23" s="21"/>
      <c r="ION23" s="21"/>
      <c r="IOO23" s="21"/>
      <c r="IOP23" s="21"/>
      <c r="IOQ23" s="21"/>
      <c r="IOR23" s="21"/>
      <c r="IOS23" s="21"/>
      <c r="IOT23" s="21"/>
      <c r="IOU23" s="21"/>
      <c r="IOV23" s="21"/>
      <c r="IOW23" s="21"/>
      <c r="IOX23" s="21"/>
      <c r="IOY23" s="21"/>
      <c r="IOZ23" s="21"/>
      <c r="IPA23" s="21"/>
      <c r="IPB23" s="21"/>
      <c r="IPC23" s="21"/>
      <c r="IPD23" s="21"/>
      <c r="IPE23" s="21"/>
      <c r="IPF23" s="21"/>
      <c r="IPG23" s="21"/>
      <c r="IPH23" s="21"/>
      <c r="IPI23" s="21"/>
      <c r="IPJ23" s="21"/>
      <c r="IPK23" s="21"/>
      <c r="IPL23" s="21"/>
      <c r="IPM23" s="21"/>
      <c r="IPN23" s="21"/>
      <c r="IPO23" s="21"/>
      <c r="IPP23" s="21"/>
      <c r="IPQ23" s="21"/>
      <c r="IPR23" s="21"/>
      <c r="IPS23" s="21"/>
      <c r="IPT23" s="21"/>
      <c r="IPU23" s="21"/>
      <c r="IPV23" s="21"/>
      <c r="IPW23" s="21"/>
      <c r="IPX23" s="21"/>
      <c r="IPY23" s="21"/>
      <c r="IPZ23" s="21"/>
      <c r="IQA23" s="21"/>
      <c r="IQB23" s="21"/>
      <c r="IQC23" s="21"/>
      <c r="IQD23" s="21"/>
      <c r="IQE23" s="21"/>
      <c r="IQF23" s="21"/>
      <c r="IQG23" s="21"/>
      <c r="IQH23" s="21"/>
      <c r="IQI23" s="21"/>
      <c r="IQJ23" s="21"/>
      <c r="IQK23" s="21"/>
      <c r="IQL23" s="21"/>
      <c r="IQM23" s="21"/>
      <c r="IQN23" s="21"/>
      <c r="IQO23" s="21"/>
      <c r="IQP23" s="21"/>
      <c r="IQQ23" s="21"/>
      <c r="IQR23" s="21"/>
      <c r="IQS23" s="21"/>
      <c r="IQT23" s="21"/>
      <c r="IQU23" s="21"/>
      <c r="IQV23" s="21"/>
      <c r="IQW23" s="21"/>
      <c r="IQX23" s="21"/>
      <c r="IQY23" s="21"/>
      <c r="IQZ23" s="21"/>
      <c r="IRA23" s="21"/>
      <c r="IRB23" s="21"/>
      <c r="IRC23" s="21"/>
      <c r="IRD23" s="21"/>
      <c r="IRE23" s="21"/>
      <c r="IRF23" s="21"/>
      <c r="IRG23" s="21"/>
      <c r="IRH23" s="21"/>
      <c r="IRI23" s="21"/>
      <c r="IRJ23" s="21"/>
      <c r="IRK23" s="21"/>
      <c r="IRL23" s="21"/>
      <c r="IRM23" s="21"/>
      <c r="IRN23" s="21"/>
      <c r="IRO23" s="21"/>
      <c r="IRP23" s="21"/>
      <c r="IRQ23" s="21"/>
      <c r="IRR23" s="21"/>
      <c r="IRS23" s="21"/>
      <c r="IRT23" s="21"/>
      <c r="IRU23" s="21"/>
      <c r="IRV23" s="21"/>
      <c r="IRW23" s="21"/>
      <c r="IRX23" s="21"/>
      <c r="IRY23" s="21"/>
      <c r="IRZ23" s="21"/>
      <c r="ISA23" s="21"/>
      <c r="ISB23" s="21"/>
      <c r="ISC23" s="21"/>
      <c r="ISD23" s="21"/>
      <c r="ISE23" s="21"/>
      <c r="ISF23" s="21"/>
      <c r="ISG23" s="21"/>
      <c r="ISH23" s="21"/>
      <c r="ISI23" s="21"/>
      <c r="ISJ23" s="21"/>
      <c r="ISK23" s="21"/>
      <c r="ISL23" s="21"/>
      <c r="ISM23" s="21"/>
      <c r="ISN23" s="21"/>
      <c r="ISO23" s="21"/>
      <c r="ISP23" s="21"/>
      <c r="ISQ23" s="21"/>
      <c r="ISR23" s="21"/>
      <c r="ISS23" s="21"/>
      <c r="IST23" s="21"/>
      <c r="ISU23" s="21"/>
      <c r="ISV23" s="21"/>
      <c r="ISW23" s="21"/>
      <c r="ISX23" s="21"/>
      <c r="ISY23" s="21"/>
      <c r="ISZ23" s="21"/>
      <c r="ITA23" s="21"/>
      <c r="ITB23" s="21"/>
      <c r="ITC23" s="21"/>
      <c r="ITD23" s="21"/>
      <c r="ITE23" s="21"/>
      <c r="ITF23" s="21"/>
      <c r="ITG23" s="21"/>
      <c r="ITH23" s="21"/>
      <c r="ITI23" s="21"/>
      <c r="ITJ23" s="21"/>
      <c r="ITK23" s="21"/>
      <c r="ITL23" s="21"/>
      <c r="ITM23" s="21"/>
      <c r="ITN23" s="21"/>
      <c r="ITO23" s="21"/>
      <c r="ITP23" s="21"/>
      <c r="ITQ23" s="21"/>
      <c r="ITR23" s="21"/>
      <c r="ITS23" s="21"/>
      <c r="ITT23" s="21"/>
      <c r="ITU23" s="21"/>
      <c r="ITV23" s="21"/>
      <c r="ITW23" s="21"/>
      <c r="ITX23" s="21"/>
      <c r="ITY23" s="21"/>
      <c r="ITZ23" s="21"/>
      <c r="IUA23" s="21"/>
      <c r="IUB23" s="21"/>
      <c r="IUC23" s="21"/>
      <c r="IUD23" s="21"/>
      <c r="IUE23" s="21"/>
      <c r="IUF23" s="21"/>
      <c r="IUG23" s="21"/>
      <c r="IUH23" s="21"/>
      <c r="IUI23" s="21"/>
      <c r="IUJ23" s="21"/>
      <c r="IUK23" s="21"/>
      <c r="IUL23" s="21"/>
      <c r="IUM23" s="21"/>
      <c r="IUN23" s="21"/>
      <c r="IUO23" s="21"/>
      <c r="IUP23" s="21"/>
      <c r="IUQ23" s="21"/>
      <c r="IUR23" s="21"/>
      <c r="IUS23" s="21"/>
      <c r="IUT23" s="21"/>
      <c r="IUU23" s="21"/>
      <c r="IUV23" s="21"/>
      <c r="IUW23" s="21"/>
      <c r="IUX23" s="21"/>
      <c r="IUY23" s="21"/>
      <c r="IUZ23" s="21"/>
      <c r="IVA23" s="21"/>
      <c r="IVB23" s="21"/>
      <c r="IVC23" s="21"/>
      <c r="IVD23" s="21"/>
      <c r="IVE23" s="21"/>
      <c r="IVF23" s="21"/>
      <c r="IVG23" s="21"/>
      <c r="IVH23" s="21"/>
      <c r="IVI23" s="21"/>
      <c r="IVJ23" s="21"/>
      <c r="IVK23" s="21"/>
      <c r="IVL23" s="21"/>
      <c r="IVM23" s="21"/>
      <c r="IVN23" s="21"/>
      <c r="IVO23" s="21"/>
      <c r="IVP23" s="21"/>
      <c r="IVQ23" s="21"/>
      <c r="IVR23" s="21"/>
      <c r="IVS23" s="21"/>
      <c r="IVT23" s="21"/>
      <c r="IVU23" s="21"/>
      <c r="IVV23" s="21"/>
      <c r="IVW23" s="21"/>
      <c r="IVX23" s="21"/>
      <c r="IVY23" s="21"/>
      <c r="IVZ23" s="21"/>
      <c r="IWA23" s="21"/>
      <c r="IWB23" s="21"/>
      <c r="IWC23" s="21"/>
      <c r="IWD23" s="21"/>
      <c r="IWE23" s="21"/>
      <c r="IWF23" s="21"/>
      <c r="IWG23" s="21"/>
      <c r="IWH23" s="21"/>
      <c r="IWI23" s="21"/>
      <c r="IWJ23" s="21"/>
      <c r="IWK23" s="21"/>
      <c r="IWL23" s="21"/>
      <c r="IWM23" s="21"/>
      <c r="IWN23" s="21"/>
      <c r="IWO23" s="21"/>
      <c r="IWP23" s="21"/>
      <c r="IWQ23" s="21"/>
      <c r="IWR23" s="21"/>
      <c r="IWS23" s="21"/>
      <c r="IWT23" s="21"/>
      <c r="IWU23" s="21"/>
      <c r="IWV23" s="21"/>
      <c r="IWW23" s="21"/>
      <c r="IWX23" s="21"/>
      <c r="IWY23" s="21"/>
      <c r="IWZ23" s="21"/>
      <c r="IXA23" s="21"/>
      <c r="IXB23" s="21"/>
      <c r="IXC23" s="21"/>
      <c r="IXD23" s="21"/>
      <c r="IXE23" s="21"/>
      <c r="IXF23" s="21"/>
      <c r="IXG23" s="21"/>
      <c r="IXH23" s="21"/>
      <c r="IXI23" s="21"/>
      <c r="IXJ23" s="21"/>
      <c r="IXK23" s="21"/>
      <c r="IXL23" s="21"/>
      <c r="IXM23" s="21"/>
      <c r="IXN23" s="21"/>
      <c r="IXO23" s="21"/>
      <c r="IXP23" s="21"/>
      <c r="IXQ23" s="21"/>
      <c r="IXR23" s="21"/>
      <c r="IXS23" s="21"/>
      <c r="IXT23" s="21"/>
      <c r="IXU23" s="21"/>
      <c r="IXV23" s="21"/>
      <c r="IXW23" s="21"/>
      <c r="IXX23" s="21"/>
      <c r="IXY23" s="21"/>
      <c r="IXZ23" s="21"/>
      <c r="IYA23" s="21"/>
      <c r="IYB23" s="21"/>
      <c r="IYC23" s="21"/>
      <c r="IYD23" s="21"/>
      <c r="IYE23" s="21"/>
      <c r="IYF23" s="21"/>
      <c r="IYG23" s="21"/>
      <c r="IYH23" s="21"/>
      <c r="IYI23" s="21"/>
      <c r="IYJ23" s="21"/>
      <c r="IYK23" s="21"/>
      <c r="IYL23" s="21"/>
      <c r="IYM23" s="21"/>
      <c r="IYN23" s="21"/>
      <c r="IYO23" s="21"/>
      <c r="IYP23" s="21"/>
      <c r="IYQ23" s="21"/>
      <c r="IYR23" s="21"/>
      <c r="IYS23" s="21"/>
      <c r="IYT23" s="21"/>
      <c r="IYU23" s="21"/>
      <c r="IYV23" s="21"/>
      <c r="IYW23" s="21"/>
      <c r="IYX23" s="21"/>
      <c r="IYY23" s="21"/>
      <c r="IYZ23" s="21"/>
      <c r="IZA23" s="21"/>
      <c r="IZB23" s="21"/>
      <c r="IZC23" s="21"/>
      <c r="IZD23" s="21"/>
      <c r="IZE23" s="21"/>
      <c r="IZF23" s="21"/>
      <c r="IZG23" s="21"/>
      <c r="IZH23" s="21"/>
      <c r="IZI23" s="21"/>
      <c r="IZJ23" s="21"/>
      <c r="IZK23" s="21"/>
      <c r="IZL23" s="21"/>
      <c r="IZM23" s="21"/>
      <c r="IZN23" s="21"/>
      <c r="IZO23" s="21"/>
      <c r="IZP23" s="21"/>
      <c r="IZQ23" s="21"/>
      <c r="IZR23" s="21"/>
      <c r="IZS23" s="21"/>
      <c r="IZT23" s="21"/>
      <c r="IZU23" s="21"/>
      <c r="IZV23" s="21"/>
      <c r="IZW23" s="21"/>
      <c r="IZX23" s="21"/>
      <c r="IZY23" s="21"/>
      <c r="IZZ23" s="21"/>
      <c r="JAA23" s="21"/>
      <c r="JAB23" s="21"/>
      <c r="JAC23" s="21"/>
      <c r="JAD23" s="21"/>
      <c r="JAE23" s="21"/>
      <c r="JAF23" s="21"/>
      <c r="JAG23" s="21"/>
      <c r="JAH23" s="21"/>
      <c r="JAI23" s="21"/>
      <c r="JAJ23" s="21"/>
      <c r="JAK23" s="21"/>
      <c r="JAL23" s="21"/>
      <c r="JAM23" s="21"/>
      <c r="JAN23" s="21"/>
      <c r="JAO23" s="21"/>
      <c r="JAP23" s="21"/>
      <c r="JAQ23" s="21"/>
      <c r="JAR23" s="21"/>
      <c r="JAS23" s="21"/>
      <c r="JAT23" s="21"/>
      <c r="JAU23" s="21"/>
      <c r="JAV23" s="21"/>
      <c r="JAW23" s="21"/>
      <c r="JAX23" s="21"/>
      <c r="JAY23" s="21"/>
      <c r="JAZ23" s="21"/>
      <c r="JBA23" s="21"/>
      <c r="JBB23" s="21"/>
      <c r="JBC23" s="21"/>
      <c r="JBD23" s="21"/>
      <c r="JBE23" s="21"/>
      <c r="JBF23" s="21"/>
      <c r="JBG23" s="21"/>
      <c r="JBH23" s="21"/>
      <c r="JBI23" s="21"/>
      <c r="JBJ23" s="21"/>
      <c r="JBK23" s="21"/>
      <c r="JBL23" s="21"/>
      <c r="JBM23" s="21"/>
      <c r="JBN23" s="21"/>
      <c r="JBO23" s="21"/>
      <c r="JBP23" s="21"/>
      <c r="JBQ23" s="21"/>
      <c r="JBR23" s="21"/>
      <c r="JBS23" s="21"/>
      <c r="JBT23" s="21"/>
      <c r="JBU23" s="21"/>
      <c r="JBV23" s="21"/>
      <c r="JBW23" s="21"/>
      <c r="JBX23" s="21"/>
      <c r="JBY23" s="21"/>
      <c r="JBZ23" s="21"/>
      <c r="JCA23" s="21"/>
      <c r="JCB23" s="21"/>
      <c r="JCC23" s="21"/>
      <c r="JCD23" s="21"/>
      <c r="JCE23" s="21"/>
      <c r="JCF23" s="21"/>
      <c r="JCG23" s="21"/>
      <c r="JCH23" s="21"/>
      <c r="JCI23" s="21"/>
      <c r="JCJ23" s="21"/>
      <c r="JCK23" s="21"/>
      <c r="JCL23" s="21"/>
      <c r="JCM23" s="21"/>
      <c r="JCN23" s="21"/>
      <c r="JCO23" s="21"/>
      <c r="JCP23" s="21"/>
      <c r="JCQ23" s="21"/>
      <c r="JCR23" s="21"/>
      <c r="JCS23" s="21"/>
      <c r="JCT23" s="21"/>
      <c r="JCU23" s="21"/>
      <c r="JCV23" s="21"/>
      <c r="JCW23" s="21"/>
      <c r="JCX23" s="21"/>
      <c r="JCY23" s="21"/>
      <c r="JCZ23" s="21"/>
      <c r="JDA23" s="21"/>
      <c r="JDB23" s="21"/>
      <c r="JDC23" s="21"/>
      <c r="JDD23" s="21"/>
      <c r="JDE23" s="21"/>
      <c r="JDF23" s="21"/>
      <c r="JDG23" s="21"/>
      <c r="JDH23" s="21"/>
      <c r="JDI23" s="21"/>
      <c r="JDJ23" s="21"/>
      <c r="JDK23" s="21"/>
      <c r="JDL23" s="21"/>
      <c r="JDM23" s="21"/>
      <c r="JDN23" s="21"/>
      <c r="JDO23" s="21"/>
      <c r="JDP23" s="21"/>
      <c r="JDQ23" s="21"/>
      <c r="JDR23" s="21"/>
      <c r="JDS23" s="21"/>
      <c r="JDT23" s="21"/>
      <c r="JDU23" s="21"/>
      <c r="JDV23" s="21"/>
      <c r="JDW23" s="21"/>
      <c r="JDX23" s="21"/>
      <c r="JDY23" s="21"/>
      <c r="JDZ23" s="21"/>
      <c r="JEA23" s="21"/>
      <c r="JEB23" s="21"/>
      <c r="JEC23" s="21"/>
      <c r="JED23" s="21"/>
      <c r="JEE23" s="21"/>
      <c r="JEF23" s="21"/>
      <c r="JEG23" s="21"/>
      <c r="JEH23" s="21"/>
      <c r="JEI23" s="21"/>
      <c r="JEJ23" s="21"/>
      <c r="JEK23" s="21"/>
      <c r="JEL23" s="21"/>
      <c r="JEM23" s="21"/>
      <c r="JEN23" s="21"/>
      <c r="JEO23" s="21"/>
      <c r="JEP23" s="21"/>
      <c r="JEQ23" s="21"/>
      <c r="JER23" s="21"/>
      <c r="JES23" s="21"/>
      <c r="JET23" s="21"/>
      <c r="JEU23" s="21"/>
      <c r="JEV23" s="21"/>
      <c r="JEW23" s="21"/>
      <c r="JEX23" s="21"/>
      <c r="JEY23" s="21"/>
      <c r="JEZ23" s="21"/>
      <c r="JFA23" s="21"/>
      <c r="JFB23" s="21"/>
      <c r="JFC23" s="21"/>
      <c r="JFD23" s="21"/>
      <c r="JFE23" s="21"/>
      <c r="JFF23" s="21"/>
      <c r="JFG23" s="21"/>
      <c r="JFH23" s="21"/>
      <c r="JFI23" s="21"/>
      <c r="JFJ23" s="21"/>
      <c r="JFK23" s="21"/>
      <c r="JFL23" s="21"/>
      <c r="JFM23" s="21"/>
      <c r="JFN23" s="21"/>
      <c r="JFO23" s="21"/>
      <c r="JFP23" s="21"/>
      <c r="JFQ23" s="21"/>
      <c r="JFR23" s="21"/>
      <c r="JFS23" s="21"/>
      <c r="JFT23" s="21"/>
      <c r="JFU23" s="21"/>
      <c r="JFV23" s="21"/>
      <c r="JFW23" s="21"/>
      <c r="JFX23" s="21"/>
      <c r="JFY23" s="21"/>
      <c r="JFZ23" s="21"/>
      <c r="JGA23" s="21"/>
      <c r="JGB23" s="21"/>
      <c r="JGC23" s="21"/>
      <c r="JGD23" s="21"/>
      <c r="JGE23" s="21"/>
      <c r="JGF23" s="21"/>
      <c r="JGG23" s="21"/>
      <c r="JGH23" s="21"/>
      <c r="JGI23" s="21"/>
      <c r="JGJ23" s="21"/>
      <c r="JGK23" s="21"/>
      <c r="JGL23" s="21"/>
      <c r="JGM23" s="21"/>
      <c r="JGN23" s="21"/>
      <c r="JGO23" s="21"/>
      <c r="JGP23" s="21"/>
      <c r="JGQ23" s="21"/>
      <c r="JGR23" s="21"/>
      <c r="JGS23" s="21"/>
      <c r="JGT23" s="21"/>
      <c r="JGU23" s="21"/>
      <c r="JGV23" s="21"/>
      <c r="JGW23" s="21"/>
      <c r="JGX23" s="21"/>
      <c r="JGY23" s="21"/>
      <c r="JGZ23" s="21"/>
      <c r="JHA23" s="21"/>
      <c r="JHB23" s="21"/>
      <c r="JHC23" s="21"/>
      <c r="JHD23" s="21"/>
      <c r="JHE23" s="21"/>
      <c r="JHF23" s="21"/>
      <c r="JHG23" s="21"/>
      <c r="JHH23" s="21"/>
      <c r="JHI23" s="21"/>
      <c r="JHJ23" s="21"/>
      <c r="JHK23" s="21"/>
      <c r="JHL23" s="21"/>
      <c r="JHM23" s="21"/>
      <c r="JHN23" s="21"/>
      <c r="JHO23" s="21"/>
      <c r="JHP23" s="21"/>
      <c r="JHQ23" s="21"/>
      <c r="JHR23" s="21"/>
      <c r="JHS23" s="21"/>
      <c r="JHT23" s="21"/>
      <c r="JHU23" s="21"/>
      <c r="JHV23" s="21"/>
      <c r="JHW23" s="21"/>
      <c r="JHX23" s="21"/>
      <c r="JHY23" s="21"/>
      <c r="JHZ23" s="21"/>
      <c r="JIA23" s="21"/>
      <c r="JIB23" s="21"/>
      <c r="JIC23" s="21"/>
      <c r="JID23" s="21"/>
      <c r="JIE23" s="21"/>
      <c r="JIF23" s="21"/>
      <c r="JIG23" s="21"/>
      <c r="JIH23" s="21"/>
      <c r="JII23" s="21"/>
      <c r="JIJ23" s="21"/>
      <c r="JIK23" s="21"/>
      <c r="JIL23" s="21"/>
      <c r="JIM23" s="21"/>
      <c r="JIN23" s="21"/>
      <c r="JIO23" s="21"/>
      <c r="JIP23" s="21"/>
      <c r="JIQ23" s="21"/>
      <c r="JIR23" s="21"/>
      <c r="JIS23" s="21"/>
      <c r="JIT23" s="21"/>
      <c r="JIU23" s="21"/>
      <c r="JIV23" s="21"/>
      <c r="JIW23" s="21"/>
      <c r="JIX23" s="21"/>
      <c r="JIY23" s="21"/>
      <c r="JIZ23" s="21"/>
      <c r="JJA23" s="21"/>
      <c r="JJB23" s="21"/>
      <c r="JJC23" s="21"/>
      <c r="JJD23" s="21"/>
      <c r="JJE23" s="21"/>
      <c r="JJF23" s="21"/>
      <c r="JJG23" s="21"/>
      <c r="JJH23" s="21"/>
      <c r="JJI23" s="21"/>
      <c r="JJJ23" s="21"/>
      <c r="JJK23" s="21"/>
      <c r="JJL23" s="21"/>
      <c r="JJM23" s="21"/>
      <c r="JJN23" s="21"/>
      <c r="JJO23" s="21"/>
      <c r="JJP23" s="21"/>
      <c r="JJQ23" s="21"/>
      <c r="JJR23" s="21"/>
      <c r="JJS23" s="21"/>
      <c r="JJT23" s="21"/>
      <c r="JJU23" s="21"/>
      <c r="JJV23" s="21"/>
      <c r="JJW23" s="21"/>
      <c r="JJX23" s="21"/>
      <c r="JJY23" s="21"/>
      <c r="JJZ23" s="21"/>
      <c r="JKA23" s="21"/>
      <c r="JKB23" s="21"/>
      <c r="JKC23" s="21"/>
      <c r="JKD23" s="21"/>
      <c r="JKE23" s="21"/>
      <c r="JKF23" s="21"/>
      <c r="JKG23" s="21"/>
      <c r="JKH23" s="21"/>
      <c r="JKI23" s="21"/>
      <c r="JKJ23" s="21"/>
      <c r="JKK23" s="21"/>
      <c r="JKL23" s="21"/>
      <c r="JKM23" s="21"/>
      <c r="JKN23" s="21"/>
      <c r="JKO23" s="21"/>
      <c r="JKP23" s="21"/>
      <c r="JKQ23" s="21"/>
      <c r="JKR23" s="21"/>
      <c r="JKS23" s="21"/>
      <c r="JKT23" s="21"/>
      <c r="JKU23" s="21"/>
      <c r="JKV23" s="21"/>
      <c r="JKW23" s="21"/>
      <c r="JKX23" s="21"/>
      <c r="JKY23" s="21"/>
      <c r="JKZ23" s="21"/>
      <c r="JLA23" s="21"/>
      <c r="JLB23" s="21"/>
      <c r="JLC23" s="21"/>
      <c r="JLD23" s="21"/>
      <c r="JLE23" s="21"/>
      <c r="JLF23" s="21"/>
      <c r="JLG23" s="21"/>
      <c r="JLH23" s="21"/>
      <c r="JLI23" s="21"/>
      <c r="JLJ23" s="21"/>
      <c r="JLK23" s="21"/>
      <c r="JLL23" s="21"/>
      <c r="JLM23" s="21"/>
      <c r="JLN23" s="21"/>
      <c r="JLO23" s="21"/>
      <c r="JLP23" s="21"/>
      <c r="JLQ23" s="21"/>
      <c r="JLR23" s="21"/>
      <c r="JLS23" s="21"/>
      <c r="JLT23" s="21"/>
      <c r="JLU23" s="21"/>
      <c r="JLV23" s="21"/>
      <c r="JLW23" s="21"/>
      <c r="JLX23" s="21"/>
      <c r="JLY23" s="21"/>
      <c r="JLZ23" s="21"/>
      <c r="JMA23" s="21"/>
      <c r="JMB23" s="21"/>
      <c r="JMC23" s="21"/>
      <c r="JMD23" s="21"/>
      <c r="JME23" s="21"/>
      <c r="JMF23" s="21"/>
      <c r="JMG23" s="21"/>
      <c r="JMH23" s="21"/>
      <c r="JMI23" s="21"/>
      <c r="JMJ23" s="21"/>
      <c r="JMK23" s="21"/>
      <c r="JML23" s="21"/>
      <c r="JMM23" s="21"/>
      <c r="JMN23" s="21"/>
      <c r="JMO23" s="21"/>
      <c r="JMP23" s="21"/>
      <c r="JMQ23" s="21"/>
      <c r="JMR23" s="21"/>
      <c r="JMS23" s="21"/>
      <c r="JMT23" s="21"/>
      <c r="JMU23" s="21"/>
      <c r="JMV23" s="21"/>
      <c r="JMW23" s="21"/>
      <c r="JMX23" s="21"/>
      <c r="JMY23" s="21"/>
      <c r="JMZ23" s="21"/>
      <c r="JNA23" s="21"/>
      <c r="JNB23" s="21"/>
      <c r="JNC23" s="21"/>
      <c r="JND23" s="21"/>
      <c r="JNE23" s="21"/>
      <c r="JNF23" s="21"/>
      <c r="JNG23" s="21"/>
      <c r="JNH23" s="21"/>
      <c r="JNI23" s="21"/>
      <c r="JNJ23" s="21"/>
      <c r="JNK23" s="21"/>
      <c r="JNL23" s="21"/>
      <c r="JNM23" s="21"/>
      <c r="JNN23" s="21"/>
      <c r="JNO23" s="21"/>
      <c r="JNP23" s="21"/>
      <c r="JNQ23" s="21"/>
      <c r="JNR23" s="21"/>
      <c r="JNS23" s="21"/>
      <c r="JNT23" s="21"/>
      <c r="JNU23" s="21"/>
      <c r="JNV23" s="21"/>
      <c r="JNW23" s="21"/>
      <c r="JNX23" s="21"/>
      <c r="JNY23" s="21"/>
      <c r="JNZ23" s="21"/>
      <c r="JOA23" s="21"/>
      <c r="JOB23" s="21"/>
      <c r="JOC23" s="21"/>
      <c r="JOD23" s="21"/>
      <c r="JOE23" s="21"/>
      <c r="JOF23" s="21"/>
      <c r="JOG23" s="21"/>
      <c r="JOH23" s="21"/>
      <c r="JOI23" s="21"/>
      <c r="JOJ23" s="21"/>
      <c r="JOK23" s="21"/>
      <c r="JOL23" s="21"/>
      <c r="JOM23" s="21"/>
      <c r="JON23" s="21"/>
      <c r="JOO23" s="21"/>
      <c r="JOP23" s="21"/>
      <c r="JOQ23" s="21"/>
      <c r="JOR23" s="21"/>
      <c r="JOS23" s="21"/>
      <c r="JOT23" s="21"/>
      <c r="JOU23" s="21"/>
      <c r="JOV23" s="21"/>
      <c r="JOW23" s="21"/>
      <c r="JOX23" s="21"/>
      <c r="JOY23" s="21"/>
      <c r="JOZ23" s="21"/>
      <c r="JPA23" s="21"/>
      <c r="JPB23" s="21"/>
      <c r="JPC23" s="21"/>
      <c r="JPD23" s="21"/>
      <c r="JPE23" s="21"/>
      <c r="JPF23" s="21"/>
      <c r="JPG23" s="21"/>
      <c r="JPH23" s="21"/>
      <c r="JPI23" s="21"/>
      <c r="JPJ23" s="21"/>
      <c r="JPK23" s="21"/>
      <c r="JPL23" s="21"/>
      <c r="JPM23" s="21"/>
      <c r="JPN23" s="21"/>
      <c r="JPO23" s="21"/>
      <c r="JPP23" s="21"/>
      <c r="JPQ23" s="21"/>
      <c r="JPR23" s="21"/>
      <c r="JPS23" s="21"/>
      <c r="JPT23" s="21"/>
      <c r="JPU23" s="21"/>
      <c r="JPV23" s="21"/>
      <c r="JPW23" s="21"/>
      <c r="JPX23" s="21"/>
      <c r="JPY23" s="21"/>
      <c r="JPZ23" s="21"/>
      <c r="JQA23" s="21"/>
      <c r="JQB23" s="21"/>
      <c r="JQC23" s="21"/>
      <c r="JQD23" s="21"/>
      <c r="JQE23" s="21"/>
      <c r="JQF23" s="21"/>
      <c r="JQG23" s="21"/>
      <c r="JQH23" s="21"/>
      <c r="JQI23" s="21"/>
      <c r="JQJ23" s="21"/>
      <c r="JQK23" s="21"/>
      <c r="JQL23" s="21"/>
      <c r="JQM23" s="21"/>
      <c r="JQN23" s="21"/>
      <c r="JQO23" s="21"/>
      <c r="JQP23" s="21"/>
      <c r="JQQ23" s="21"/>
      <c r="JQR23" s="21"/>
      <c r="JQS23" s="21"/>
      <c r="JQT23" s="21"/>
      <c r="JQU23" s="21"/>
      <c r="JQV23" s="21"/>
      <c r="JQW23" s="21"/>
      <c r="JQX23" s="21"/>
      <c r="JQY23" s="21"/>
      <c r="JQZ23" s="21"/>
      <c r="JRA23" s="21"/>
      <c r="JRB23" s="21"/>
      <c r="JRC23" s="21"/>
      <c r="JRD23" s="21"/>
      <c r="JRE23" s="21"/>
      <c r="JRF23" s="21"/>
      <c r="JRG23" s="21"/>
      <c r="JRH23" s="21"/>
      <c r="JRI23" s="21"/>
      <c r="JRJ23" s="21"/>
      <c r="JRK23" s="21"/>
      <c r="JRL23" s="21"/>
      <c r="JRM23" s="21"/>
      <c r="JRN23" s="21"/>
      <c r="JRO23" s="21"/>
      <c r="JRP23" s="21"/>
      <c r="JRQ23" s="21"/>
      <c r="JRR23" s="21"/>
      <c r="JRS23" s="21"/>
      <c r="JRT23" s="21"/>
      <c r="JRU23" s="21"/>
      <c r="JRV23" s="21"/>
      <c r="JRW23" s="21"/>
      <c r="JRX23" s="21"/>
      <c r="JRY23" s="21"/>
      <c r="JRZ23" s="21"/>
      <c r="JSA23" s="21"/>
      <c r="JSB23" s="21"/>
      <c r="JSC23" s="21"/>
      <c r="JSD23" s="21"/>
      <c r="JSE23" s="21"/>
      <c r="JSF23" s="21"/>
      <c r="JSG23" s="21"/>
      <c r="JSH23" s="21"/>
      <c r="JSI23" s="21"/>
      <c r="JSJ23" s="21"/>
      <c r="JSK23" s="21"/>
      <c r="JSL23" s="21"/>
      <c r="JSM23" s="21"/>
      <c r="JSN23" s="21"/>
      <c r="JSO23" s="21"/>
      <c r="JSP23" s="21"/>
      <c r="JSQ23" s="21"/>
      <c r="JSR23" s="21"/>
      <c r="JSS23" s="21"/>
      <c r="JST23" s="21"/>
      <c r="JSU23" s="21"/>
      <c r="JSV23" s="21"/>
      <c r="JSW23" s="21"/>
      <c r="JSX23" s="21"/>
      <c r="JSY23" s="21"/>
      <c r="JSZ23" s="21"/>
      <c r="JTA23" s="21"/>
      <c r="JTB23" s="21"/>
      <c r="JTC23" s="21"/>
      <c r="JTD23" s="21"/>
      <c r="JTE23" s="21"/>
      <c r="JTF23" s="21"/>
      <c r="JTG23" s="21"/>
      <c r="JTH23" s="21"/>
      <c r="JTI23" s="21"/>
      <c r="JTJ23" s="21"/>
      <c r="JTK23" s="21"/>
      <c r="JTL23" s="21"/>
      <c r="JTM23" s="21"/>
      <c r="JTN23" s="21"/>
      <c r="JTO23" s="21"/>
      <c r="JTP23" s="21"/>
      <c r="JTQ23" s="21"/>
      <c r="JTR23" s="21"/>
      <c r="JTS23" s="21"/>
      <c r="JTT23" s="21"/>
      <c r="JTU23" s="21"/>
      <c r="JTV23" s="21"/>
      <c r="JTW23" s="21"/>
      <c r="JTX23" s="21"/>
      <c r="JTY23" s="21"/>
      <c r="JTZ23" s="21"/>
      <c r="JUA23" s="21"/>
      <c r="JUB23" s="21"/>
      <c r="JUC23" s="21"/>
      <c r="JUD23" s="21"/>
      <c r="JUE23" s="21"/>
      <c r="JUF23" s="21"/>
      <c r="JUG23" s="21"/>
      <c r="JUH23" s="21"/>
      <c r="JUI23" s="21"/>
      <c r="JUJ23" s="21"/>
      <c r="JUK23" s="21"/>
      <c r="JUL23" s="21"/>
      <c r="JUM23" s="21"/>
      <c r="JUN23" s="21"/>
      <c r="JUO23" s="21"/>
      <c r="JUP23" s="21"/>
      <c r="JUQ23" s="21"/>
      <c r="JUR23" s="21"/>
      <c r="JUS23" s="21"/>
      <c r="JUT23" s="21"/>
      <c r="JUU23" s="21"/>
      <c r="JUV23" s="21"/>
      <c r="JUW23" s="21"/>
      <c r="JUX23" s="21"/>
      <c r="JUY23" s="21"/>
      <c r="JUZ23" s="21"/>
      <c r="JVA23" s="21"/>
      <c r="JVB23" s="21"/>
      <c r="JVC23" s="21"/>
      <c r="JVD23" s="21"/>
      <c r="JVE23" s="21"/>
      <c r="JVF23" s="21"/>
      <c r="JVG23" s="21"/>
      <c r="JVH23" s="21"/>
      <c r="JVI23" s="21"/>
      <c r="JVJ23" s="21"/>
      <c r="JVK23" s="21"/>
      <c r="JVL23" s="21"/>
      <c r="JVM23" s="21"/>
      <c r="JVN23" s="21"/>
      <c r="JVO23" s="21"/>
      <c r="JVP23" s="21"/>
      <c r="JVQ23" s="21"/>
      <c r="JVR23" s="21"/>
      <c r="JVS23" s="21"/>
      <c r="JVT23" s="21"/>
      <c r="JVU23" s="21"/>
      <c r="JVV23" s="21"/>
      <c r="JVW23" s="21"/>
      <c r="JVX23" s="21"/>
      <c r="JVY23" s="21"/>
      <c r="JVZ23" s="21"/>
      <c r="JWA23" s="21"/>
      <c r="JWB23" s="21"/>
      <c r="JWC23" s="21"/>
      <c r="JWD23" s="21"/>
      <c r="JWE23" s="21"/>
      <c r="JWF23" s="21"/>
      <c r="JWG23" s="21"/>
      <c r="JWH23" s="21"/>
      <c r="JWI23" s="21"/>
      <c r="JWJ23" s="21"/>
      <c r="JWK23" s="21"/>
      <c r="JWL23" s="21"/>
      <c r="JWM23" s="21"/>
      <c r="JWN23" s="21"/>
      <c r="JWO23" s="21"/>
      <c r="JWP23" s="21"/>
      <c r="JWQ23" s="21"/>
      <c r="JWR23" s="21"/>
      <c r="JWS23" s="21"/>
      <c r="JWT23" s="21"/>
      <c r="JWU23" s="21"/>
      <c r="JWV23" s="21"/>
      <c r="JWW23" s="21"/>
      <c r="JWX23" s="21"/>
      <c r="JWY23" s="21"/>
      <c r="JWZ23" s="21"/>
      <c r="JXA23" s="21"/>
      <c r="JXB23" s="21"/>
      <c r="JXC23" s="21"/>
      <c r="JXD23" s="21"/>
      <c r="JXE23" s="21"/>
      <c r="JXF23" s="21"/>
      <c r="JXG23" s="21"/>
      <c r="JXH23" s="21"/>
      <c r="JXI23" s="21"/>
      <c r="JXJ23" s="21"/>
      <c r="JXK23" s="21"/>
      <c r="JXL23" s="21"/>
      <c r="JXM23" s="21"/>
      <c r="JXN23" s="21"/>
      <c r="JXO23" s="21"/>
      <c r="JXP23" s="21"/>
      <c r="JXQ23" s="21"/>
      <c r="JXR23" s="21"/>
      <c r="JXS23" s="21"/>
      <c r="JXT23" s="21"/>
      <c r="JXU23" s="21"/>
      <c r="JXV23" s="21"/>
      <c r="JXW23" s="21"/>
      <c r="JXX23" s="21"/>
      <c r="JXY23" s="21"/>
      <c r="JXZ23" s="21"/>
      <c r="JYA23" s="21"/>
      <c r="JYB23" s="21"/>
      <c r="JYC23" s="21"/>
      <c r="JYD23" s="21"/>
      <c r="JYE23" s="21"/>
      <c r="JYF23" s="21"/>
      <c r="JYG23" s="21"/>
      <c r="JYH23" s="21"/>
      <c r="JYI23" s="21"/>
      <c r="JYJ23" s="21"/>
      <c r="JYK23" s="21"/>
      <c r="JYL23" s="21"/>
      <c r="JYM23" s="21"/>
      <c r="JYN23" s="21"/>
      <c r="JYO23" s="21"/>
      <c r="JYP23" s="21"/>
      <c r="JYQ23" s="21"/>
      <c r="JYR23" s="21"/>
      <c r="JYS23" s="21"/>
      <c r="JYT23" s="21"/>
      <c r="JYU23" s="21"/>
      <c r="JYV23" s="21"/>
      <c r="JYW23" s="21"/>
      <c r="JYX23" s="21"/>
      <c r="JYY23" s="21"/>
      <c r="JYZ23" s="21"/>
      <c r="JZA23" s="21"/>
      <c r="JZB23" s="21"/>
      <c r="JZC23" s="21"/>
      <c r="JZD23" s="21"/>
      <c r="JZE23" s="21"/>
      <c r="JZF23" s="21"/>
      <c r="JZG23" s="21"/>
      <c r="JZH23" s="21"/>
      <c r="JZI23" s="21"/>
      <c r="JZJ23" s="21"/>
      <c r="JZK23" s="21"/>
      <c r="JZL23" s="21"/>
      <c r="JZM23" s="21"/>
      <c r="JZN23" s="21"/>
      <c r="JZO23" s="21"/>
      <c r="JZP23" s="21"/>
      <c r="JZQ23" s="21"/>
      <c r="JZR23" s="21"/>
      <c r="JZS23" s="21"/>
      <c r="JZT23" s="21"/>
      <c r="JZU23" s="21"/>
      <c r="JZV23" s="21"/>
      <c r="JZW23" s="21"/>
      <c r="JZX23" s="21"/>
      <c r="JZY23" s="21"/>
      <c r="JZZ23" s="21"/>
      <c r="KAA23" s="21"/>
      <c r="KAB23" s="21"/>
      <c r="KAC23" s="21"/>
      <c r="KAD23" s="21"/>
      <c r="KAE23" s="21"/>
      <c r="KAF23" s="21"/>
      <c r="KAG23" s="21"/>
      <c r="KAH23" s="21"/>
      <c r="KAI23" s="21"/>
      <c r="KAJ23" s="21"/>
      <c r="KAK23" s="21"/>
      <c r="KAL23" s="21"/>
      <c r="KAM23" s="21"/>
      <c r="KAN23" s="21"/>
      <c r="KAO23" s="21"/>
      <c r="KAP23" s="21"/>
      <c r="KAQ23" s="21"/>
      <c r="KAR23" s="21"/>
      <c r="KAS23" s="21"/>
      <c r="KAT23" s="21"/>
      <c r="KAU23" s="21"/>
      <c r="KAV23" s="21"/>
      <c r="KAW23" s="21"/>
      <c r="KAX23" s="21"/>
      <c r="KAY23" s="21"/>
      <c r="KAZ23" s="21"/>
      <c r="KBA23" s="21"/>
      <c r="KBB23" s="21"/>
      <c r="KBC23" s="21"/>
      <c r="KBD23" s="21"/>
      <c r="KBE23" s="21"/>
      <c r="KBF23" s="21"/>
      <c r="KBG23" s="21"/>
      <c r="KBH23" s="21"/>
      <c r="KBI23" s="21"/>
      <c r="KBJ23" s="21"/>
      <c r="KBK23" s="21"/>
      <c r="KBL23" s="21"/>
      <c r="KBM23" s="21"/>
      <c r="KBN23" s="21"/>
      <c r="KBO23" s="21"/>
      <c r="KBP23" s="21"/>
      <c r="KBQ23" s="21"/>
      <c r="KBR23" s="21"/>
      <c r="KBS23" s="21"/>
      <c r="KBT23" s="21"/>
      <c r="KBU23" s="21"/>
      <c r="KBV23" s="21"/>
      <c r="KBW23" s="21"/>
      <c r="KBX23" s="21"/>
      <c r="KBY23" s="21"/>
      <c r="KBZ23" s="21"/>
      <c r="KCA23" s="21"/>
      <c r="KCB23" s="21"/>
      <c r="KCC23" s="21"/>
      <c r="KCD23" s="21"/>
      <c r="KCE23" s="21"/>
      <c r="KCF23" s="21"/>
      <c r="KCG23" s="21"/>
      <c r="KCH23" s="21"/>
      <c r="KCI23" s="21"/>
      <c r="KCJ23" s="21"/>
      <c r="KCK23" s="21"/>
      <c r="KCL23" s="21"/>
      <c r="KCM23" s="21"/>
      <c r="KCN23" s="21"/>
      <c r="KCO23" s="21"/>
      <c r="KCP23" s="21"/>
      <c r="KCQ23" s="21"/>
      <c r="KCR23" s="21"/>
      <c r="KCS23" s="21"/>
      <c r="KCT23" s="21"/>
      <c r="KCU23" s="21"/>
      <c r="KCV23" s="21"/>
      <c r="KCW23" s="21"/>
      <c r="KCX23" s="21"/>
      <c r="KCY23" s="21"/>
      <c r="KCZ23" s="21"/>
      <c r="KDA23" s="21"/>
      <c r="KDB23" s="21"/>
      <c r="KDC23" s="21"/>
      <c r="KDD23" s="21"/>
      <c r="KDE23" s="21"/>
      <c r="KDF23" s="21"/>
      <c r="KDG23" s="21"/>
      <c r="KDH23" s="21"/>
      <c r="KDI23" s="21"/>
      <c r="KDJ23" s="21"/>
      <c r="KDK23" s="21"/>
      <c r="KDL23" s="21"/>
      <c r="KDM23" s="21"/>
      <c r="KDN23" s="21"/>
      <c r="KDO23" s="21"/>
      <c r="KDP23" s="21"/>
      <c r="KDQ23" s="21"/>
      <c r="KDR23" s="21"/>
      <c r="KDS23" s="21"/>
      <c r="KDT23" s="21"/>
      <c r="KDU23" s="21"/>
      <c r="KDV23" s="21"/>
      <c r="KDW23" s="21"/>
      <c r="KDX23" s="21"/>
      <c r="KDY23" s="21"/>
      <c r="KDZ23" s="21"/>
      <c r="KEA23" s="21"/>
      <c r="KEB23" s="21"/>
      <c r="KEC23" s="21"/>
      <c r="KED23" s="21"/>
      <c r="KEE23" s="21"/>
      <c r="KEF23" s="21"/>
      <c r="KEG23" s="21"/>
      <c r="KEH23" s="21"/>
      <c r="KEI23" s="21"/>
      <c r="KEJ23" s="21"/>
      <c r="KEK23" s="21"/>
      <c r="KEL23" s="21"/>
      <c r="KEM23" s="21"/>
      <c r="KEN23" s="21"/>
      <c r="KEO23" s="21"/>
      <c r="KEP23" s="21"/>
      <c r="KEQ23" s="21"/>
      <c r="KER23" s="21"/>
      <c r="KES23" s="21"/>
      <c r="KET23" s="21"/>
      <c r="KEU23" s="21"/>
      <c r="KEV23" s="21"/>
      <c r="KEW23" s="21"/>
      <c r="KEX23" s="21"/>
      <c r="KEY23" s="21"/>
      <c r="KEZ23" s="21"/>
      <c r="KFA23" s="21"/>
      <c r="KFB23" s="21"/>
      <c r="KFC23" s="21"/>
      <c r="KFD23" s="21"/>
      <c r="KFE23" s="21"/>
      <c r="KFF23" s="21"/>
      <c r="KFG23" s="21"/>
      <c r="KFH23" s="21"/>
      <c r="KFI23" s="21"/>
      <c r="KFJ23" s="21"/>
      <c r="KFK23" s="21"/>
      <c r="KFL23" s="21"/>
      <c r="KFM23" s="21"/>
      <c r="KFN23" s="21"/>
      <c r="KFO23" s="21"/>
      <c r="KFP23" s="21"/>
      <c r="KFQ23" s="21"/>
      <c r="KFR23" s="21"/>
      <c r="KFS23" s="21"/>
      <c r="KFT23" s="21"/>
      <c r="KFU23" s="21"/>
      <c r="KFV23" s="21"/>
      <c r="KFW23" s="21"/>
      <c r="KFX23" s="21"/>
      <c r="KFY23" s="21"/>
      <c r="KFZ23" s="21"/>
      <c r="KGA23" s="21"/>
      <c r="KGB23" s="21"/>
      <c r="KGC23" s="21"/>
      <c r="KGD23" s="21"/>
      <c r="KGE23" s="21"/>
      <c r="KGF23" s="21"/>
      <c r="KGG23" s="21"/>
      <c r="KGH23" s="21"/>
      <c r="KGI23" s="21"/>
      <c r="KGJ23" s="21"/>
      <c r="KGK23" s="21"/>
      <c r="KGL23" s="21"/>
      <c r="KGM23" s="21"/>
      <c r="KGN23" s="21"/>
      <c r="KGO23" s="21"/>
      <c r="KGP23" s="21"/>
      <c r="KGQ23" s="21"/>
      <c r="KGR23" s="21"/>
      <c r="KGS23" s="21"/>
      <c r="KGT23" s="21"/>
      <c r="KGU23" s="21"/>
      <c r="KGV23" s="21"/>
      <c r="KGW23" s="21"/>
      <c r="KGX23" s="21"/>
      <c r="KGY23" s="21"/>
      <c r="KGZ23" s="21"/>
      <c r="KHA23" s="21"/>
      <c r="KHB23" s="21"/>
      <c r="KHC23" s="21"/>
      <c r="KHD23" s="21"/>
      <c r="KHE23" s="21"/>
      <c r="KHF23" s="21"/>
      <c r="KHG23" s="21"/>
      <c r="KHH23" s="21"/>
      <c r="KHI23" s="21"/>
      <c r="KHJ23" s="21"/>
      <c r="KHK23" s="21"/>
      <c r="KHL23" s="21"/>
      <c r="KHM23" s="21"/>
      <c r="KHN23" s="21"/>
      <c r="KHO23" s="21"/>
      <c r="KHP23" s="21"/>
      <c r="KHQ23" s="21"/>
      <c r="KHR23" s="21"/>
      <c r="KHS23" s="21"/>
      <c r="KHT23" s="21"/>
      <c r="KHU23" s="21"/>
      <c r="KHV23" s="21"/>
      <c r="KHW23" s="21"/>
      <c r="KHX23" s="21"/>
      <c r="KHY23" s="21"/>
      <c r="KHZ23" s="21"/>
      <c r="KIA23" s="21"/>
      <c r="KIB23" s="21"/>
      <c r="KIC23" s="21"/>
      <c r="KID23" s="21"/>
      <c r="KIE23" s="21"/>
      <c r="KIF23" s="21"/>
      <c r="KIG23" s="21"/>
      <c r="KIH23" s="21"/>
      <c r="KII23" s="21"/>
      <c r="KIJ23" s="21"/>
      <c r="KIK23" s="21"/>
      <c r="KIL23" s="21"/>
      <c r="KIM23" s="21"/>
      <c r="KIN23" s="21"/>
      <c r="KIO23" s="21"/>
      <c r="KIP23" s="21"/>
      <c r="KIQ23" s="21"/>
      <c r="KIR23" s="21"/>
      <c r="KIS23" s="21"/>
      <c r="KIT23" s="21"/>
      <c r="KIU23" s="21"/>
      <c r="KIV23" s="21"/>
      <c r="KIW23" s="21"/>
      <c r="KIX23" s="21"/>
      <c r="KIY23" s="21"/>
      <c r="KIZ23" s="21"/>
      <c r="KJA23" s="21"/>
      <c r="KJB23" s="21"/>
      <c r="KJC23" s="21"/>
      <c r="KJD23" s="21"/>
      <c r="KJE23" s="21"/>
      <c r="KJF23" s="21"/>
      <c r="KJG23" s="21"/>
      <c r="KJH23" s="21"/>
      <c r="KJI23" s="21"/>
      <c r="KJJ23" s="21"/>
      <c r="KJK23" s="21"/>
      <c r="KJL23" s="21"/>
      <c r="KJM23" s="21"/>
      <c r="KJN23" s="21"/>
      <c r="KJO23" s="21"/>
      <c r="KJP23" s="21"/>
      <c r="KJQ23" s="21"/>
      <c r="KJR23" s="21"/>
      <c r="KJS23" s="21"/>
      <c r="KJT23" s="21"/>
      <c r="KJU23" s="21"/>
      <c r="KJV23" s="21"/>
      <c r="KJW23" s="21"/>
      <c r="KJX23" s="21"/>
      <c r="KJY23" s="21"/>
      <c r="KJZ23" s="21"/>
      <c r="KKA23" s="21"/>
      <c r="KKB23" s="21"/>
      <c r="KKC23" s="21"/>
      <c r="KKD23" s="21"/>
      <c r="KKE23" s="21"/>
      <c r="KKF23" s="21"/>
      <c r="KKG23" s="21"/>
      <c r="KKH23" s="21"/>
      <c r="KKI23" s="21"/>
      <c r="KKJ23" s="21"/>
      <c r="KKK23" s="21"/>
      <c r="KKL23" s="21"/>
      <c r="KKM23" s="21"/>
      <c r="KKN23" s="21"/>
      <c r="KKO23" s="21"/>
      <c r="KKP23" s="21"/>
      <c r="KKQ23" s="21"/>
      <c r="KKR23" s="21"/>
      <c r="KKS23" s="21"/>
      <c r="KKT23" s="21"/>
      <c r="KKU23" s="21"/>
      <c r="KKV23" s="21"/>
      <c r="KKW23" s="21"/>
      <c r="KKX23" s="21"/>
      <c r="KKY23" s="21"/>
      <c r="KKZ23" s="21"/>
      <c r="KLA23" s="21"/>
      <c r="KLB23" s="21"/>
      <c r="KLC23" s="21"/>
      <c r="KLD23" s="21"/>
      <c r="KLE23" s="21"/>
      <c r="KLF23" s="21"/>
      <c r="KLG23" s="21"/>
      <c r="KLH23" s="21"/>
      <c r="KLI23" s="21"/>
      <c r="KLJ23" s="21"/>
      <c r="KLK23" s="21"/>
      <c r="KLL23" s="21"/>
      <c r="KLM23" s="21"/>
      <c r="KLN23" s="21"/>
      <c r="KLO23" s="21"/>
      <c r="KLP23" s="21"/>
      <c r="KLQ23" s="21"/>
      <c r="KLR23" s="21"/>
      <c r="KLS23" s="21"/>
      <c r="KLT23" s="21"/>
      <c r="KLU23" s="21"/>
      <c r="KLV23" s="21"/>
      <c r="KLW23" s="21"/>
      <c r="KLX23" s="21"/>
      <c r="KLY23" s="21"/>
      <c r="KLZ23" s="21"/>
      <c r="KMA23" s="21"/>
      <c r="KMB23" s="21"/>
      <c r="KMC23" s="21"/>
      <c r="KMD23" s="21"/>
      <c r="KME23" s="21"/>
      <c r="KMF23" s="21"/>
      <c r="KMG23" s="21"/>
      <c r="KMH23" s="21"/>
      <c r="KMI23" s="21"/>
      <c r="KMJ23" s="21"/>
      <c r="KMK23" s="21"/>
      <c r="KML23" s="21"/>
      <c r="KMM23" s="21"/>
      <c r="KMN23" s="21"/>
      <c r="KMO23" s="21"/>
      <c r="KMP23" s="21"/>
      <c r="KMQ23" s="21"/>
      <c r="KMR23" s="21"/>
      <c r="KMS23" s="21"/>
      <c r="KMT23" s="21"/>
      <c r="KMU23" s="21"/>
      <c r="KMV23" s="21"/>
      <c r="KMW23" s="21"/>
      <c r="KMX23" s="21"/>
      <c r="KMY23" s="21"/>
      <c r="KMZ23" s="21"/>
      <c r="KNA23" s="21"/>
      <c r="KNB23" s="21"/>
      <c r="KNC23" s="21"/>
      <c r="KND23" s="21"/>
      <c r="KNE23" s="21"/>
      <c r="KNF23" s="21"/>
      <c r="KNG23" s="21"/>
      <c r="KNH23" s="21"/>
      <c r="KNI23" s="21"/>
      <c r="KNJ23" s="21"/>
      <c r="KNK23" s="21"/>
      <c r="KNL23" s="21"/>
      <c r="KNM23" s="21"/>
      <c r="KNN23" s="21"/>
      <c r="KNO23" s="21"/>
      <c r="KNP23" s="21"/>
      <c r="KNQ23" s="21"/>
      <c r="KNR23" s="21"/>
      <c r="KNS23" s="21"/>
      <c r="KNT23" s="21"/>
      <c r="KNU23" s="21"/>
      <c r="KNV23" s="21"/>
      <c r="KNW23" s="21"/>
      <c r="KNX23" s="21"/>
      <c r="KNY23" s="21"/>
      <c r="KNZ23" s="21"/>
      <c r="KOA23" s="21"/>
      <c r="KOB23" s="21"/>
      <c r="KOC23" s="21"/>
      <c r="KOD23" s="21"/>
      <c r="KOE23" s="21"/>
      <c r="KOF23" s="21"/>
      <c r="KOG23" s="21"/>
      <c r="KOH23" s="21"/>
      <c r="KOI23" s="21"/>
      <c r="KOJ23" s="21"/>
      <c r="KOK23" s="21"/>
      <c r="KOL23" s="21"/>
      <c r="KOM23" s="21"/>
      <c r="KON23" s="21"/>
      <c r="KOO23" s="21"/>
      <c r="KOP23" s="21"/>
      <c r="KOQ23" s="21"/>
      <c r="KOR23" s="21"/>
      <c r="KOS23" s="21"/>
      <c r="KOT23" s="21"/>
      <c r="KOU23" s="21"/>
      <c r="KOV23" s="21"/>
      <c r="KOW23" s="21"/>
      <c r="KOX23" s="21"/>
      <c r="KOY23" s="21"/>
      <c r="KOZ23" s="21"/>
      <c r="KPA23" s="21"/>
      <c r="KPB23" s="21"/>
      <c r="KPC23" s="21"/>
      <c r="KPD23" s="21"/>
      <c r="KPE23" s="21"/>
      <c r="KPF23" s="21"/>
      <c r="KPG23" s="21"/>
      <c r="KPH23" s="21"/>
      <c r="KPI23" s="21"/>
      <c r="KPJ23" s="21"/>
      <c r="KPK23" s="21"/>
      <c r="KPL23" s="21"/>
      <c r="KPM23" s="21"/>
      <c r="KPN23" s="21"/>
      <c r="KPO23" s="21"/>
      <c r="KPP23" s="21"/>
      <c r="KPQ23" s="21"/>
      <c r="KPR23" s="21"/>
      <c r="KPS23" s="21"/>
      <c r="KPT23" s="21"/>
      <c r="KPU23" s="21"/>
      <c r="KPV23" s="21"/>
      <c r="KPW23" s="21"/>
      <c r="KPX23" s="21"/>
      <c r="KPY23" s="21"/>
      <c r="KPZ23" s="21"/>
      <c r="KQA23" s="21"/>
      <c r="KQB23" s="21"/>
      <c r="KQC23" s="21"/>
      <c r="KQD23" s="21"/>
      <c r="KQE23" s="21"/>
      <c r="KQF23" s="21"/>
      <c r="KQG23" s="21"/>
      <c r="KQH23" s="21"/>
      <c r="KQI23" s="21"/>
      <c r="KQJ23" s="21"/>
      <c r="KQK23" s="21"/>
      <c r="KQL23" s="21"/>
      <c r="KQM23" s="21"/>
      <c r="KQN23" s="21"/>
      <c r="KQO23" s="21"/>
      <c r="KQP23" s="21"/>
      <c r="KQQ23" s="21"/>
      <c r="KQR23" s="21"/>
      <c r="KQS23" s="21"/>
      <c r="KQT23" s="21"/>
      <c r="KQU23" s="21"/>
      <c r="KQV23" s="21"/>
      <c r="KQW23" s="21"/>
      <c r="KQX23" s="21"/>
      <c r="KQY23" s="21"/>
      <c r="KQZ23" s="21"/>
      <c r="KRA23" s="21"/>
      <c r="KRB23" s="21"/>
      <c r="KRC23" s="21"/>
      <c r="KRD23" s="21"/>
      <c r="KRE23" s="21"/>
      <c r="KRF23" s="21"/>
      <c r="KRG23" s="21"/>
      <c r="KRH23" s="21"/>
      <c r="KRI23" s="21"/>
      <c r="KRJ23" s="21"/>
      <c r="KRK23" s="21"/>
      <c r="KRL23" s="21"/>
      <c r="KRM23" s="21"/>
      <c r="KRN23" s="21"/>
      <c r="KRO23" s="21"/>
      <c r="KRP23" s="21"/>
      <c r="KRQ23" s="21"/>
      <c r="KRR23" s="21"/>
      <c r="KRS23" s="21"/>
      <c r="KRT23" s="21"/>
      <c r="KRU23" s="21"/>
      <c r="KRV23" s="21"/>
      <c r="KRW23" s="21"/>
      <c r="KRX23" s="21"/>
      <c r="KRY23" s="21"/>
      <c r="KRZ23" s="21"/>
      <c r="KSA23" s="21"/>
      <c r="KSB23" s="21"/>
      <c r="KSC23" s="21"/>
      <c r="KSD23" s="21"/>
      <c r="KSE23" s="21"/>
      <c r="KSF23" s="21"/>
      <c r="KSG23" s="21"/>
      <c r="KSH23" s="21"/>
      <c r="KSI23" s="21"/>
      <c r="KSJ23" s="21"/>
      <c r="KSK23" s="21"/>
      <c r="KSL23" s="21"/>
      <c r="KSM23" s="21"/>
      <c r="KSN23" s="21"/>
      <c r="KSO23" s="21"/>
      <c r="KSP23" s="21"/>
      <c r="KSQ23" s="21"/>
      <c r="KSR23" s="21"/>
      <c r="KSS23" s="21"/>
      <c r="KST23" s="21"/>
      <c r="KSU23" s="21"/>
      <c r="KSV23" s="21"/>
      <c r="KSW23" s="21"/>
      <c r="KSX23" s="21"/>
      <c r="KSY23" s="21"/>
      <c r="KSZ23" s="21"/>
      <c r="KTA23" s="21"/>
      <c r="KTB23" s="21"/>
      <c r="KTC23" s="21"/>
      <c r="KTD23" s="21"/>
      <c r="KTE23" s="21"/>
      <c r="KTF23" s="21"/>
      <c r="KTG23" s="21"/>
      <c r="KTH23" s="21"/>
      <c r="KTI23" s="21"/>
      <c r="KTJ23" s="21"/>
      <c r="KTK23" s="21"/>
      <c r="KTL23" s="21"/>
      <c r="KTM23" s="21"/>
      <c r="KTN23" s="21"/>
      <c r="KTO23" s="21"/>
      <c r="KTP23" s="21"/>
      <c r="KTQ23" s="21"/>
      <c r="KTR23" s="21"/>
      <c r="KTS23" s="21"/>
      <c r="KTT23" s="21"/>
      <c r="KTU23" s="21"/>
      <c r="KTV23" s="21"/>
      <c r="KTW23" s="21"/>
      <c r="KTX23" s="21"/>
      <c r="KTY23" s="21"/>
      <c r="KTZ23" s="21"/>
      <c r="KUA23" s="21"/>
      <c r="KUB23" s="21"/>
      <c r="KUC23" s="21"/>
      <c r="KUD23" s="21"/>
      <c r="KUE23" s="21"/>
      <c r="KUF23" s="21"/>
      <c r="KUG23" s="21"/>
      <c r="KUH23" s="21"/>
      <c r="KUI23" s="21"/>
      <c r="KUJ23" s="21"/>
      <c r="KUK23" s="21"/>
      <c r="KUL23" s="21"/>
      <c r="KUM23" s="21"/>
      <c r="KUN23" s="21"/>
      <c r="KUO23" s="21"/>
      <c r="KUP23" s="21"/>
      <c r="KUQ23" s="21"/>
      <c r="KUR23" s="21"/>
      <c r="KUS23" s="21"/>
      <c r="KUT23" s="21"/>
      <c r="KUU23" s="21"/>
      <c r="KUV23" s="21"/>
      <c r="KUW23" s="21"/>
      <c r="KUX23" s="21"/>
      <c r="KUY23" s="21"/>
      <c r="KUZ23" s="21"/>
      <c r="KVA23" s="21"/>
      <c r="KVB23" s="21"/>
      <c r="KVC23" s="21"/>
      <c r="KVD23" s="21"/>
      <c r="KVE23" s="21"/>
      <c r="KVF23" s="21"/>
      <c r="KVG23" s="21"/>
      <c r="KVH23" s="21"/>
      <c r="KVI23" s="21"/>
      <c r="KVJ23" s="21"/>
      <c r="KVK23" s="21"/>
      <c r="KVL23" s="21"/>
      <c r="KVM23" s="21"/>
      <c r="KVN23" s="21"/>
      <c r="KVO23" s="21"/>
      <c r="KVP23" s="21"/>
      <c r="KVQ23" s="21"/>
      <c r="KVR23" s="21"/>
      <c r="KVS23" s="21"/>
      <c r="KVT23" s="21"/>
      <c r="KVU23" s="21"/>
      <c r="KVV23" s="21"/>
      <c r="KVW23" s="21"/>
      <c r="KVX23" s="21"/>
      <c r="KVY23" s="21"/>
      <c r="KVZ23" s="21"/>
      <c r="KWA23" s="21"/>
      <c r="KWB23" s="21"/>
      <c r="KWC23" s="21"/>
      <c r="KWD23" s="21"/>
      <c r="KWE23" s="21"/>
      <c r="KWF23" s="21"/>
      <c r="KWG23" s="21"/>
      <c r="KWH23" s="21"/>
      <c r="KWI23" s="21"/>
      <c r="KWJ23" s="21"/>
      <c r="KWK23" s="21"/>
      <c r="KWL23" s="21"/>
      <c r="KWM23" s="21"/>
      <c r="KWN23" s="21"/>
      <c r="KWO23" s="21"/>
      <c r="KWP23" s="21"/>
      <c r="KWQ23" s="21"/>
      <c r="KWR23" s="21"/>
      <c r="KWS23" s="21"/>
      <c r="KWT23" s="21"/>
      <c r="KWU23" s="21"/>
      <c r="KWV23" s="21"/>
      <c r="KWW23" s="21"/>
      <c r="KWX23" s="21"/>
      <c r="KWY23" s="21"/>
      <c r="KWZ23" s="21"/>
      <c r="KXA23" s="21"/>
      <c r="KXB23" s="21"/>
      <c r="KXC23" s="21"/>
      <c r="KXD23" s="21"/>
      <c r="KXE23" s="21"/>
      <c r="KXF23" s="21"/>
      <c r="KXG23" s="21"/>
      <c r="KXH23" s="21"/>
      <c r="KXI23" s="21"/>
      <c r="KXJ23" s="21"/>
      <c r="KXK23" s="21"/>
      <c r="KXL23" s="21"/>
      <c r="KXM23" s="21"/>
      <c r="KXN23" s="21"/>
      <c r="KXO23" s="21"/>
      <c r="KXP23" s="21"/>
      <c r="KXQ23" s="21"/>
      <c r="KXR23" s="21"/>
      <c r="KXS23" s="21"/>
      <c r="KXT23" s="21"/>
      <c r="KXU23" s="21"/>
      <c r="KXV23" s="21"/>
      <c r="KXW23" s="21"/>
      <c r="KXX23" s="21"/>
      <c r="KXY23" s="21"/>
      <c r="KXZ23" s="21"/>
      <c r="KYA23" s="21"/>
      <c r="KYB23" s="21"/>
      <c r="KYC23" s="21"/>
      <c r="KYD23" s="21"/>
      <c r="KYE23" s="21"/>
      <c r="KYF23" s="21"/>
      <c r="KYG23" s="21"/>
      <c r="KYH23" s="21"/>
      <c r="KYI23" s="21"/>
      <c r="KYJ23" s="21"/>
      <c r="KYK23" s="21"/>
      <c r="KYL23" s="21"/>
      <c r="KYM23" s="21"/>
      <c r="KYN23" s="21"/>
      <c r="KYO23" s="21"/>
      <c r="KYP23" s="21"/>
      <c r="KYQ23" s="21"/>
      <c r="KYR23" s="21"/>
      <c r="KYS23" s="21"/>
      <c r="KYT23" s="21"/>
      <c r="KYU23" s="21"/>
      <c r="KYV23" s="21"/>
      <c r="KYW23" s="21"/>
      <c r="KYX23" s="21"/>
      <c r="KYY23" s="21"/>
      <c r="KYZ23" s="21"/>
      <c r="KZA23" s="21"/>
      <c r="KZB23" s="21"/>
      <c r="KZC23" s="21"/>
      <c r="KZD23" s="21"/>
      <c r="KZE23" s="21"/>
      <c r="KZF23" s="21"/>
      <c r="KZG23" s="21"/>
      <c r="KZH23" s="21"/>
      <c r="KZI23" s="21"/>
      <c r="KZJ23" s="21"/>
      <c r="KZK23" s="21"/>
      <c r="KZL23" s="21"/>
      <c r="KZM23" s="21"/>
      <c r="KZN23" s="21"/>
      <c r="KZO23" s="21"/>
      <c r="KZP23" s="21"/>
      <c r="KZQ23" s="21"/>
      <c r="KZR23" s="21"/>
      <c r="KZS23" s="21"/>
      <c r="KZT23" s="21"/>
      <c r="KZU23" s="21"/>
      <c r="KZV23" s="21"/>
      <c r="KZW23" s="21"/>
      <c r="KZX23" s="21"/>
      <c r="KZY23" s="21"/>
      <c r="KZZ23" s="21"/>
      <c r="LAA23" s="21"/>
      <c r="LAB23" s="21"/>
      <c r="LAC23" s="21"/>
      <c r="LAD23" s="21"/>
      <c r="LAE23" s="21"/>
      <c r="LAF23" s="21"/>
      <c r="LAG23" s="21"/>
      <c r="LAH23" s="21"/>
      <c r="LAI23" s="21"/>
      <c r="LAJ23" s="21"/>
      <c r="LAK23" s="21"/>
      <c r="LAL23" s="21"/>
      <c r="LAM23" s="21"/>
      <c r="LAN23" s="21"/>
      <c r="LAO23" s="21"/>
      <c r="LAP23" s="21"/>
      <c r="LAQ23" s="21"/>
      <c r="LAR23" s="21"/>
      <c r="LAS23" s="21"/>
      <c r="LAT23" s="21"/>
      <c r="LAU23" s="21"/>
      <c r="LAV23" s="21"/>
      <c r="LAW23" s="21"/>
      <c r="LAX23" s="21"/>
      <c r="LAY23" s="21"/>
      <c r="LAZ23" s="21"/>
      <c r="LBA23" s="21"/>
      <c r="LBB23" s="21"/>
      <c r="LBC23" s="21"/>
      <c r="LBD23" s="21"/>
      <c r="LBE23" s="21"/>
      <c r="LBF23" s="21"/>
      <c r="LBG23" s="21"/>
      <c r="LBH23" s="21"/>
      <c r="LBI23" s="21"/>
      <c r="LBJ23" s="21"/>
      <c r="LBK23" s="21"/>
      <c r="LBL23" s="21"/>
      <c r="LBM23" s="21"/>
      <c r="LBN23" s="21"/>
      <c r="LBO23" s="21"/>
      <c r="LBP23" s="21"/>
      <c r="LBQ23" s="21"/>
      <c r="LBR23" s="21"/>
      <c r="LBS23" s="21"/>
      <c r="LBT23" s="21"/>
      <c r="LBU23" s="21"/>
      <c r="LBV23" s="21"/>
      <c r="LBW23" s="21"/>
      <c r="LBX23" s="21"/>
      <c r="LBY23" s="21"/>
      <c r="LBZ23" s="21"/>
      <c r="LCA23" s="21"/>
      <c r="LCB23" s="21"/>
      <c r="LCC23" s="21"/>
      <c r="LCD23" s="21"/>
      <c r="LCE23" s="21"/>
      <c r="LCF23" s="21"/>
      <c r="LCG23" s="21"/>
      <c r="LCH23" s="21"/>
      <c r="LCI23" s="21"/>
      <c r="LCJ23" s="21"/>
      <c r="LCK23" s="21"/>
      <c r="LCL23" s="21"/>
      <c r="LCM23" s="21"/>
      <c r="LCN23" s="21"/>
      <c r="LCO23" s="21"/>
      <c r="LCP23" s="21"/>
      <c r="LCQ23" s="21"/>
      <c r="LCR23" s="21"/>
      <c r="LCS23" s="21"/>
      <c r="LCT23" s="21"/>
      <c r="LCU23" s="21"/>
      <c r="LCV23" s="21"/>
      <c r="LCW23" s="21"/>
      <c r="LCX23" s="21"/>
      <c r="LCY23" s="21"/>
      <c r="LCZ23" s="21"/>
      <c r="LDA23" s="21"/>
      <c r="LDB23" s="21"/>
      <c r="LDC23" s="21"/>
      <c r="LDD23" s="21"/>
      <c r="LDE23" s="21"/>
      <c r="LDF23" s="21"/>
      <c r="LDG23" s="21"/>
      <c r="LDH23" s="21"/>
      <c r="LDI23" s="21"/>
      <c r="LDJ23" s="21"/>
      <c r="LDK23" s="21"/>
      <c r="LDL23" s="21"/>
      <c r="LDM23" s="21"/>
      <c r="LDN23" s="21"/>
      <c r="LDO23" s="21"/>
      <c r="LDP23" s="21"/>
      <c r="LDQ23" s="21"/>
      <c r="LDR23" s="21"/>
      <c r="LDS23" s="21"/>
      <c r="LDT23" s="21"/>
      <c r="LDU23" s="21"/>
      <c r="LDV23" s="21"/>
      <c r="LDW23" s="21"/>
      <c r="LDX23" s="21"/>
      <c r="LDY23" s="21"/>
      <c r="LDZ23" s="21"/>
      <c r="LEA23" s="21"/>
      <c r="LEB23" s="21"/>
      <c r="LEC23" s="21"/>
      <c r="LED23" s="21"/>
      <c r="LEE23" s="21"/>
      <c r="LEF23" s="21"/>
      <c r="LEG23" s="21"/>
      <c r="LEH23" s="21"/>
      <c r="LEI23" s="21"/>
      <c r="LEJ23" s="21"/>
      <c r="LEK23" s="21"/>
      <c r="LEL23" s="21"/>
      <c r="LEM23" s="21"/>
      <c r="LEN23" s="21"/>
      <c r="LEO23" s="21"/>
      <c r="LEP23" s="21"/>
      <c r="LEQ23" s="21"/>
      <c r="LER23" s="21"/>
      <c r="LES23" s="21"/>
      <c r="LET23" s="21"/>
      <c r="LEU23" s="21"/>
      <c r="LEV23" s="21"/>
      <c r="LEW23" s="21"/>
      <c r="LEX23" s="21"/>
      <c r="LEY23" s="21"/>
      <c r="LEZ23" s="21"/>
      <c r="LFA23" s="21"/>
      <c r="LFB23" s="21"/>
      <c r="LFC23" s="21"/>
      <c r="LFD23" s="21"/>
      <c r="LFE23" s="21"/>
      <c r="LFF23" s="21"/>
      <c r="LFG23" s="21"/>
      <c r="LFH23" s="21"/>
      <c r="LFI23" s="21"/>
      <c r="LFJ23" s="21"/>
      <c r="LFK23" s="21"/>
      <c r="LFL23" s="21"/>
      <c r="LFM23" s="21"/>
      <c r="LFN23" s="21"/>
      <c r="LFO23" s="21"/>
      <c r="LFP23" s="21"/>
      <c r="LFQ23" s="21"/>
      <c r="LFR23" s="21"/>
      <c r="LFS23" s="21"/>
      <c r="LFT23" s="21"/>
      <c r="LFU23" s="21"/>
      <c r="LFV23" s="21"/>
      <c r="LFW23" s="21"/>
      <c r="LFX23" s="21"/>
      <c r="LFY23" s="21"/>
      <c r="LFZ23" s="21"/>
      <c r="LGA23" s="21"/>
      <c r="LGB23" s="21"/>
      <c r="LGC23" s="21"/>
      <c r="LGD23" s="21"/>
      <c r="LGE23" s="21"/>
      <c r="LGF23" s="21"/>
      <c r="LGG23" s="21"/>
      <c r="LGH23" s="21"/>
      <c r="LGI23" s="21"/>
      <c r="LGJ23" s="21"/>
      <c r="LGK23" s="21"/>
      <c r="LGL23" s="21"/>
      <c r="LGM23" s="21"/>
      <c r="LGN23" s="21"/>
      <c r="LGO23" s="21"/>
      <c r="LGP23" s="21"/>
      <c r="LGQ23" s="21"/>
      <c r="LGR23" s="21"/>
      <c r="LGS23" s="21"/>
      <c r="LGT23" s="21"/>
      <c r="LGU23" s="21"/>
      <c r="LGV23" s="21"/>
      <c r="LGW23" s="21"/>
      <c r="LGX23" s="21"/>
      <c r="LGY23" s="21"/>
      <c r="LGZ23" s="21"/>
      <c r="LHA23" s="21"/>
      <c r="LHB23" s="21"/>
      <c r="LHC23" s="21"/>
      <c r="LHD23" s="21"/>
      <c r="LHE23" s="21"/>
      <c r="LHF23" s="21"/>
      <c r="LHG23" s="21"/>
      <c r="LHH23" s="21"/>
      <c r="LHI23" s="21"/>
      <c r="LHJ23" s="21"/>
      <c r="LHK23" s="21"/>
      <c r="LHL23" s="21"/>
      <c r="LHM23" s="21"/>
      <c r="LHN23" s="21"/>
      <c r="LHO23" s="21"/>
      <c r="LHP23" s="21"/>
      <c r="LHQ23" s="21"/>
      <c r="LHR23" s="21"/>
      <c r="LHS23" s="21"/>
      <c r="LHT23" s="21"/>
      <c r="LHU23" s="21"/>
      <c r="LHV23" s="21"/>
      <c r="LHW23" s="21"/>
      <c r="LHX23" s="21"/>
      <c r="LHY23" s="21"/>
      <c r="LHZ23" s="21"/>
      <c r="LIA23" s="21"/>
      <c r="LIB23" s="21"/>
      <c r="LIC23" s="21"/>
      <c r="LID23" s="21"/>
      <c r="LIE23" s="21"/>
      <c r="LIF23" s="21"/>
      <c r="LIG23" s="21"/>
      <c r="LIH23" s="21"/>
      <c r="LII23" s="21"/>
      <c r="LIJ23" s="21"/>
      <c r="LIK23" s="21"/>
      <c r="LIL23" s="21"/>
      <c r="LIM23" s="21"/>
      <c r="LIN23" s="21"/>
      <c r="LIO23" s="21"/>
      <c r="LIP23" s="21"/>
      <c r="LIQ23" s="21"/>
      <c r="LIR23" s="21"/>
      <c r="LIS23" s="21"/>
      <c r="LIT23" s="21"/>
      <c r="LIU23" s="21"/>
      <c r="LIV23" s="21"/>
      <c r="LIW23" s="21"/>
      <c r="LIX23" s="21"/>
      <c r="LIY23" s="21"/>
      <c r="LIZ23" s="21"/>
      <c r="LJA23" s="21"/>
      <c r="LJB23" s="21"/>
      <c r="LJC23" s="21"/>
      <c r="LJD23" s="21"/>
      <c r="LJE23" s="21"/>
      <c r="LJF23" s="21"/>
      <c r="LJG23" s="21"/>
      <c r="LJH23" s="21"/>
      <c r="LJI23" s="21"/>
      <c r="LJJ23" s="21"/>
      <c r="LJK23" s="21"/>
      <c r="LJL23" s="21"/>
      <c r="LJM23" s="21"/>
      <c r="LJN23" s="21"/>
      <c r="LJO23" s="21"/>
      <c r="LJP23" s="21"/>
      <c r="LJQ23" s="21"/>
      <c r="LJR23" s="21"/>
      <c r="LJS23" s="21"/>
      <c r="LJT23" s="21"/>
      <c r="LJU23" s="21"/>
      <c r="LJV23" s="21"/>
      <c r="LJW23" s="21"/>
      <c r="LJX23" s="21"/>
      <c r="LJY23" s="21"/>
      <c r="LJZ23" s="21"/>
      <c r="LKA23" s="21"/>
      <c r="LKB23" s="21"/>
      <c r="LKC23" s="21"/>
      <c r="LKD23" s="21"/>
      <c r="LKE23" s="21"/>
      <c r="LKF23" s="21"/>
      <c r="LKG23" s="21"/>
      <c r="LKH23" s="21"/>
      <c r="LKI23" s="21"/>
      <c r="LKJ23" s="21"/>
      <c r="LKK23" s="21"/>
      <c r="LKL23" s="21"/>
      <c r="LKM23" s="21"/>
      <c r="LKN23" s="21"/>
      <c r="LKO23" s="21"/>
      <c r="LKP23" s="21"/>
      <c r="LKQ23" s="21"/>
      <c r="LKR23" s="21"/>
      <c r="LKS23" s="21"/>
      <c r="LKT23" s="21"/>
      <c r="LKU23" s="21"/>
      <c r="LKV23" s="21"/>
      <c r="LKW23" s="21"/>
      <c r="LKX23" s="21"/>
      <c r="LKY23" s="21"/>
      <c r="LKZ23" s="21"/>
      <c r="LLA23" s="21"/>
      <c r="LLB23" s="21"/>
      <c r="LLC23" s="21"/>
      <c r="LLD23" s="21"/>
      <c r="LLE23" s="21"/>
      <c r="LLF23" s="21"/>
      <c r="LLG23" s="21"/>
      <c r="LLH23" s="21"/>
      <c r="LLI23" s="21"/>
      <c r="LLJ23" s="21"/>
      <c r="LLK23" s="21"/>
      <c r="LLL23" s="21"/>
      <c r="LLM23" s="21"/>
      <c r="LLN23" s="21"/>
      <c r="LLO23" s="21"/>
      <c r="LLP23" s="21"/>
      <c r="LLQ23" s="21"/>
      <c r="LLR23" s="21"/>
      <c r="LLS23" s="21"/>
      <c r="LLT23" s="21"/>
      <c r="LLU23" s="21"/>
      <c r="LLV23" s="21"/>
      <c r="LLW23" s="21"/>
      <c r="LLX23" s="21"/>
      <c r="LLY23" s="21"/>
      <c r="LLZ23" s="21"/>
      <c r="LMA23" s="21"/>
      <c r="LMB23" s="21"/>
      <c r="LMC23" s="21"/>
      <c r="LMD23" s="21"/>
      <c r="LME23" s="21"/>
      <c r="LMF23" s="21"/>
      <c r="LMG23" s="21"/>
      <c r="LMH23" s="21"/>
      <c r="LMI23" s="21"/>
      <c r="LMJ23" s="21"/>
      <c r="LMK23" s="21"/>
      <c r="LML23" s="21"/>
      <c r="LMM23" s="21"/>
      <c r="LMN23" s="21"/>
      <c r="LMO23" s="21"/>
      <c r="LMP23" s="21"/>
      <c r="LMQ23" s="21"/>
      <c r="LMR23" s="21"/>
      <c r="LMS23" s="21"/>
      <c r="LMT23" s="21"/>
      <c r="LMU23" s="21"/>
      <c r="LMV23" s="21"/>
      <c r="LMW23" s="21"/>
      <c r="LMX23" s="21"/>
      <c r="LMY23" s="21"/>
      <c r="LMZ23" s="21"/>
      <c r="LNA23" s="21"/>
      <c r="LNB23" s="21"/>
      <c r="LNC23" s="21"/>
      <c r="LND23" s="21"/>
      <c r="LNE23" s="21"/>
      <c r="LNF23" s="21"/>
      <c r="LNG23" s="21"/>
      <c r="LNH23" s="21"/>
      <c r="LNI23" s="21"/>
      <c r="LNJ23" s="21"/>
      <c r="LNK23" s="21"/>
      <c r="LNL23" s="21"/>
      <c r="LNM23" s="21"/>
      <c r="LNN23" s="21"/>
      <c r="LNO23" s="21"/>
      <c r="LNP23" s="21"/>
      <c r="LNQ23" s="21"/>
      <c r="LNR23" s="21"/>
      <c r="LNS23" s="21"/>
      <c r="LNT23" s="21"/>
      <c r="LNU23" s="21"/>
      <c r="LNV23" s="21"/>
      <c r="LNW23" s="21"/>
      <c r="LNX23" s="21"/>
      <c r="LNY23" s="21"/>
      <c r="LNZ23" s="21"/>
      <c r="LOA23" s="21"/>
      <c r="LOB23" s="21"/>
      <c r="LOC23" s="21"/>
      <c r="LOD23" s="21"/>
      <c r="LOE23" s="21"/>
      <c r="LOF23" s="21"/>
      <c r="LOG23" s="21"/>
      <c r="LOH23" s="21"/>
      <c r="LOI23" s="21"/>
      <c r="LOJ23" s="21"/>
      <c r="LOK23" s="21"/>
      <c r="LOL23" s="21"/>
      <c r="LOM23" s="21"/>
      <c r="LON23" s="21"/>
      <c r="LOO23" s="21"/>
      <c r="LOP23" s="21"/>
      <c r="LOQ23" s="21"/>
      <c r="LOR23" s="21"/>
      <c r="LOS23" s="21"/>
      <c r="LOT23" s="21"/>
      <c r="LOU23" s="21"/>
      <c r="LOV23" s="21"/>
      <c r="LOW23" s="21"/>
      <c r="LOX23" s="21"/>
      <c r="LOY23" s="21"/>
      <c r="LOZ23" s="21"/>
      <c r="LPA23" s="21"/>
      <c r="LPB23" s="21"/>
      <c r="LPC23" s="21"/>
      <c r="LPD23" s="21"/>
      <c r="LPE23" s="21"/>
      <c r="LPF23" s="21"/>
      <c r="LPG23" s="21"/>
      <c r="LPH23" s="21"/>
      <c r="LPI23" s="21"/>
      <c r="LPJ23" s="21"/>
      <c r="LPK23" s="21"/>
      <c r="LPL23" s="21"/>
      <c r="LPM23" s="21"/>
      <c r="LPN23" s="21"/>
      <c r="LPO23" s="21"/>
      <c r="LPP23" s="21"/>
      <c r="LPQ23" s="21"/>
      <c r="LPR23" s="21"/>
      <c r="LPS23" s="21"/>
      <c r="LPT23" s="21"/>
      <c r="LPU23" s="21"/>
      <c r="LPV23" s="21"/>
      <c r="LPW23" s="21"/>
      <c r="LPX23" s="21"/>
      <c r="LPY23" s="21"/>
      <c r="LPZ23" s="21"/>
      <c r="LQA23" s="21"/>
      <c r="LQB23" s="21"/>
      <c r="LQC23" s="21"/>
      <c r="LQD23" s="21"/>
      <c r="LQE23" s="21"/>
      <c r="LQF23" s="21"/>
      <c r="LQG23" s="21"/>
      <c r="LQH23" s="21"/>
      <c r="LQI23" s="21"/>
      <c r="LQJ23" s="21"/>
      <c r="LQK23" s="21"/>
      <c r="LQL23" s="21"/>
      <c r="LQM23" s="21"/>
      <c r="LQN23" s="21"/>
      <c r="LQO23" s="21"/>
      <c r="LQP23" s="21"/>
      <c r="LQQ23" s="21"/>
      <c r="LQR23" s="21"/>
      <c r="LQS23" s="21"/>
      <c r="LQT23" s="21"/>
      <c r="LQU23" s="21"/>
      <c r="LQV23" s="21"/>
      <c r="LQW23" s="21"/>
      <c r="LQX23" s="21"/>
      <c r="LQY23" s="21"/>
      <c r="LQZ23" s="21"/>
      <c r="LRA23" s="21"/>
      <c r="LRB23" s="21"/>
      <c r="LRC23" s="21"/>
      <c r="LRD23" s="21"/>
      <c r="LRE23" s="21"/>
      <c r="LRF23" s="21"/>
      <c r="LRG23" s="21"/>
      <c r="LRH23" s="21"/>
      <c r="LRI23" s="21"/>
      <c r="LRJ23" s="21"/>
      <c r="LRK23" s="21"/>
      <c r="LRL23" s="21"/>
      <c r="LRM23" s="21"/>
      <c r="LRN23" s="21"/>
      <c r="LRO23" s="21"/>
      <c r="LRP23" s="21"/>
      <c r="LRQ23" s="21"/>
      <c r="LRR23" s="21"/>
      <c r="LRS23" s="21"/>
      <c r="LRT23" s="21"/>
      <c r="LRU23" s="21"/>
      <c r="LRV23" s="21"/>
      <c r="LRW23" s="21"/>
      <c r="LRX23" s="21"/>
      <c r="LRY23" s="21"/>
      <c r="LRZ23" s="21"/>
      <c r="LSA23" s="21"/>
      <c r="LSB23" s="21"/>
      <c r="LSC23" s="21"/>
      <c r="LSD23" s="21"/>
      <c r="LSE23" s="21"/>
      <c r="LSF23" s="21"/>
      <c r="LSG23" s="21"/>
      <c r="LSH23" s="21"/>
      <c r="LSI23" s="21"/>
      <c r="LSJ23" s="21"/>
      <c r="LSK23" s="21"/>
      <c r="LSL23" s="21"/>
      <c r="LSM23" s="21"/>
      <c r="LSN23" s="21"/>
      <c r="LSO23" s="21"/>
      <c r="LSP23" s="21"/>
      <c r="LSQ23" s="21"/>
      <c r="LSR23" s="21"/>
      <c r="LSS23" s="21"/>
      <c r="LST23" s="21"/>
      <c r="LSU23" s="21"/>
      <c r="LSV23" s="21"/>
      <c r="LSW23" s="21"/>
      <c r="LSX23" s="21"/>
      <c r="LSY23" s="21"/>
      <c r="LSZ23" s="21"/>
      <c r="LTA23" s="21"/>
      <c r="LTB23" s="21"/>
      <c r="LTC23" s="21"/>
      <c r="LTD23" s="21"/>
      <c r="LTE23" s="21"/>
      <c r="LTF23" s="21"/>
      <c r="LTG23" s="21"/>
      <c r="LTH23" s="21"/>
      <c r="LTI23" s="21"/>
      <c r="LTJ23" s="21"/>
      <c r="LTK23" s="21"/>
      <c r="LTL23" s="21"/>
      <c r="LTM23" s="21"/>
      <c r="LTN23" s="21"/>
      <c r="LTO23" s="21"/>
      <c r="LTP23" s="21"/>
      <c r="LTQ23" s="21"/>
      <c r="LTR23" s="21"/>
      <c r="LTS23" s="21"/>
      <c r="LTT23" s="21"/>
      <c r="LTU23" s="21"/>
      <c r="LTV23" s="21"/>
      <c r="LTW23" s="21"/>
      <c r="LTX23" s="21"/>
      <c r="LTY23" s="21"/>
      <c r="LTZ23" s="21"/>
      <c r="LUA23" s="21"/>
      <c r="LUB23" s="21"/>
      <c r="LUC23" s="21"/>
      <c r="LUD23" s="21"/>
      <c r="LUE23" s="21"/>
      <c r="LUF23" s="21"/>
      <c r="LUG23" s="21"/>
      <c r="LUH23" s="21"/>
      <c r="LUI23" s="21"/>
      <c r="LUJ23" s="21"/>
      <c r="LUK23" s="21"/>
      <c r="LUL23" s="21"/>
      <c r="LUM23" s="21"/>
      <c r="LUN23" s="21"/>
      <c r="LUO23" s="21"/>
      <c r="LUP23" s="21"/>
      <c r="LUQ23" s="21"/>
      <c r="LUR23" s="21"/>
      <c r="LUS23" s="21"/>
      <c r="LUT23" s="21"/>
      <c r="LUU23" s="21"/>
      <c r="LUV23" s="21"/>
      <c r="LUW23" s="21"/>
      <c r="LUX23" s="21"/>
      <c r="LUY23" s="21"/>
      <c r="LUZ23" s="21"/>
      <c r="LVA23" s="21"/>
      <c r="LVB23" s="21"/>
      <c r="LVC23" s="21"/>
      <c r="LVD23" s="21"/>
      <c r="LVE23" s="21"/>
      <c r="LVF23" s="21"/>
      <c r="LVG23" s="21"/>
      <c r="LVH23" s="21"/>
      <c r="LVI23" s="21"/>
      <c r="LVJ23" s="21"/>
      <c r="LVK23" s="21"/>
      <c r="LVL23" s="21"/>
      <c r="LVM23" s="21"/>
      <c r="LVN23" s="21"/>
      <c r="LVO23" s="21"/>
      <c r="LVP23" s="21"/>
      <c r="LVQ23" s="21"/>
      <c r="LVR23" s="21"/>
      <c r="LVS23" s="21"/>
      <c r="LVT23" s="21"/>
      <c r="LVU23" s="21"/>
      <c r="LVV23" s="21"/>
      <c r="LVW23" s="21"/>
      <c r="LVX23" s="21"/>
      <c r="LVY23" s="21"/>
      <c r="LVZ23" s="21"/>
      <c r="LWA23" s="21"/>
      <c r="LWB23" s="21"/>
      <c r="LWC23" s="21"/>
      <c r="LWD23" s="21"/>
      <c r="LWE23" s="21"/>
      <c r="LWF23" s="21"/>
      <c r="LWG23" s="21"/>
      <c r="LWH23" s="21"/>
      <c r="LWI23" s="21"/>
      <c r="LWJ23" s="21"/>
      <c r="LWK23" s="21"/>
      <c r="LWL23" s="21"/>
      <c r="LWM23" s="21"/>
      <c r="LWN23" s="21"/>
      <c r="LWO23" s="21"/>
      <c r="LWP23" s="21"/>
      <c r="LWQ23" s="21"/>
      <c r="LWR23" s="21"/>
      <c r="LWS23" s="21"/>
      <c r="LWT23" s="21"/>
      <c r="LWU23" s="21"/>
      <c r="LWV23" s="21"/>
      <c r="LWW23" s="21"/>
      <c r="LWX23" s="21"/>
      <c r="LWY23" s="21"/>
      <c r="LWZ23" s="21"/>
      <c r="LXA23" s="21"/>
      <c r="LXB23" s="21"/>
      <c r="LXC23" s="21"/>
      <c r="LXD23" s="21"/>
      <c r="LXE23" s="21"/>
      <c r="LXF23" s="21"/>
      <c r="LXG23" s="21"/>
      <c r="LXH23" s="21"/>
      <c r="LXI23" s="21"/>
      <c r="LXJ23" s="21"/>
      <c r="LXK23" s="21"/>
      <c r="LXL23" s="21"/>
      <c r="LXM23" s="21"/>
      <c r="LXN23" s="21"/>
      <c r="LXO23" s="21"/>
      <c r="LXP23" s="21"/>
      <c r="LXQ23" s="21"/>
      <c r="LXR23" s="21"/>
      <c r="LXS23" s="21"/>
      <c r="LXT23" s="21"/>
      <c r="LXU23" s="21"/>
      <c r="LXV23" s="21"/>
      <c r="LXW23" s="21"/>
      <c r="LXX23" s="21"/>
      <c r="LXY23" s="21"/>
      <c r="LXZ23" s="21"/>
      <c r="LYA23" s="21"/>
      <c r="LYB23" s="21"/>
      <c r="LYC23" s="21"/>
      <c r="LYD23" s="21"/>
      <c r="LYE23" s="21"/>
      <c r="LYF23" s="21"/>
      <c r="LYG23" s="21"/>
      <c r="LYH23" s="21"/>
      <c r="LYI23" s="21"/>
      <c r="LYJ23" s="21"/>
      <c r="LYK23" s="21"/>
      <c r="LYL23" s="21"/>
      <c r="LYM23" s="21"/>
      <c r="LYN23" s="21"/>
      <c r="LYO23" s="21"/>
      <c r="LYP23" s="21"/>
      <c r="LYQ23" s="21"/>
      <c r="LYR23" s="21"/>
      <c r="LYS23" s="21"/>
      <c r="LYT23" s="21"/>
      <c r="LYU23" s="21"/>
      <c r="LYV23" s="21"/>
      <c r="LYW23" s="21"/>
      <c r="LYX23" s="21"/>
      <c r="LYY23" s="21"/>
      <c r="LYZ23" s="21"/>
      <c r="LZA23" s="21"/>
      <c r="LZB23" s="21"/>
      <c r="LZC23" s="21"/>
      <c r="LZD23" s="21"/>
      <c r="LZE23" s="21"/>
      <c r="LZF23" s="21"/>
      <c r="LZG23" s="21"/>
      <c r="LZH23" s="21"/>
      <c r="LZI23" s="21"/>
      <c r="LZJ23" s="21"/>
      <c r="LZK23" s="21"/>
      <c r="LZL23" s="21"/>
      <c r="LZM23" s="21"/>
      <c r="LZN23" s="21"/>
      <c r="LZO23" s="21"/>
      <c r="LZP23" s="21"/>
      <c r="LZQ23" s="21"/>
      <c r="LZR23" s="21"/>
      <c r="LZS23" s="21"/>
      <c r="LZT23" s="21"/>
      <c r="LZU23" s="21"/>
      <c r="LZV23" s="21"/>
      <c r="LZW23" s="21"/>
      <c r="LZX23" s="21"/>
      <c r="LZY23" s="21"/>
      <c r="LZZ23" s="21"/>
      <c r="MAA23" s="21"/>
      <c r="MAB23" s="21"/>
      <c r="MAC23" s="21"/>
      <c r="MAD23" s="21"/>
      <c r="MAE23" s="21"/>
      <c r="MAF23" s="21"/>
      <c r="MAG23" s="21"/>
      <c r="MAH23" s="21"/>
      <c r="MAI23" s="21"/>
      <c r="MAJ23" s="21"/>
      <c r="MAK23" s="21"/>
      <c r="MAL23" s="21"/>
      <c r="MAM23" s="21"/>
      <c r="MAN23" s="21"/>
      <c r="MAO23" s="21"/>
      <c r="MAP23" s="21"/>
      <c r="MAQ23" s="21"/>
      <c r="MAR23" s="21"/>
      <c r="MAS23" s="21"/>
      <c r="MAT23" s="21"/>
      <c r="MAU23" s="21"/>
      <c r="MAV23" s="21"/>
      <c r="MAW23" s="21"/>
      <c r="MAX23" s="21"/>
      <c r="MAY23" s="21"/>
      <c r="MAZ23" s="21"/>
      <c r="MBA23" s="21"/>
      <c r="MBB23" s="21"/>
      <c r="MBC23" s="21"/>
      <c r="MBD23" s="21"/>
      <c r="MBE23" s="21"/>
      <c r="MBF23" s="21"/>
      <c r="MBG23" s="21"/>
      <c r="MBH23" s="21"/>
      <c r="MBI23" s="21"/>
      <c r="MBJ23" s="21"/>
      <c r="MBK23" s="21"/>
      <c r="MBL23" s="21"/>
      <c r="MBM23" s="21"/>
      <c r="MBN23" s="21"/>
      <c r="MBO23" s="21"/>
      <c r="MBP23" s="21"/>
      <c r="MBQ23" s="21"/>
      <c r="MBR23" s="21"/>
      <c r="MBS23" s="21"/>
      <c r="MBT23" s="21"/>
      <c r="MBU23" s="21"/>
      <c r="MBV23" s="21"/>
      <c r="MBW23" s="21"/>
      <c r="MBX23" s="21"/>
      <c r="MBY23" s="21"/>
      <c r="MBZ23" s="21"/>
      <c r="MCA23" s="21"/>
      <c r="MCB23" s="21"/>
      <c r="MCC23" s="21"/>
      <c r="MCD23" s="21"/>
      <c r="MCE23" s="21"/>
      <c r="MCF23" s="21"/>
      <c r="MCG23" s="21"/>
      <c r="MCH23" s="21"/>
      <c r="MCI23" s="21"/>
      <c r="MCJ23" s="21"/>
      <c r="MCK23" s="21"/>
      <c r="MCL23" s="21"/>
      <c r="MCM23" s="21"/>
      <c r="MCN23" s="21"/>
      <c r="MCO23" s="21"/>
      <c r="MCP23" s="21"/>
      <c r="MCQ23" s="21"/>
      <c r="MCR23" s="21"/>
      <c r="MCS23" s="21"/>
      <c r="MCT23" s="21"/>
      <c r="MCU23" s="21"/>
      <c r="MCV23" s="21"/>
      <c r="MCW23" s="21"/>
      <c r="MCX23" s="21"/>
      <c r="MCY23" s="21"/>
      <c r="MCZ23" s="21"/>
      <c r="MDA23" s="21"/>
      <c r="MDB23" s="21"/>
      <c r="MDC23" s="21"/>
      <c r="MDD23" s="21"/>
      <c r="MDE23" s="21"/>
      <c r="MDF23" s="21"/>
      <c r="MDG23" s="21"/>
      <c r="MDH23" s="21"/>
      <c r="MDI23" s="21"/>
      <c r="MDJ23" s="21"/>
      <c r="MDK23" s="21"/>
      <c r="MDL23" s="21"/>
      <c r="MDM23" s="21"/>
      <c r="MDN23" s="21"/>
      <c r="MDO23" s="21"/>
      <c r="MDP23" s="21"/>
      <c r="MDQ23" s="21"/>
      <c r="MDR23" s="21"/>
      <c r="MDS23" s="21"/>
      <c r="MDT23" s="21"/>
      <c r="MDU23" s="21"/>
      <c r="MDV23" s="21"/>
      <c r="MDW23" s="21"/>
      <c r="MDX23" s="21"/>
      <c r="MDY23" s="21"/>
      <c r="MDZ23" s="21"/>
      <c r="MEA23" s="21"/>
      <c r="MEB23" s="21"/>
      <c r="MEC23" s="21"/>
      <c r="MED23" s="21"/>
      <c r="MEE23" s="21"/>
      <c r="MEF23" s="21"/>
      <c r="MEG23" s="21"/>
      <c r="MEH23" s="21"/>
      <c r="MEI23" s="21"/>
      <c r="MEJ23" s="21"/>
      <c r="MEK23" s="21"/>
      <c r="MEL23" s="21"/>
      <c r="MEM23" s="21"/>
      <c r="MEN23" s="21"/>
      <c r="MEO23" s="21"/>
      <c r="MEP23" s="21"/>
      <c r="MEQ23" s="21"/>
      <c r="MER23" s="21"/>
      <c r="MES23" s="21"/>
      <c r="MET23" s="21"/>
      <c r="MEU23" s="21"/>
      <c r="MEV23" s="21"/>
      <c r="MEW23" s="21"/>
      <c r="MEX23" s="21"/>
      <c r="MEY23" s="21"/>
      <c r="MEZ23" s="21"/>
      <c r="MFA23" s="21"/>
      <c r="MFB23" s="21"/>
      <c r="MFC23" s="21"/>
      <c r="MFD23" s="21"/>
      <c r="MFE23" s="21"/>
      <c r="MFF23" s="21"/>
      <c r="MFG23" s="21"/>
      <c r="MFH23" s="21"/>
      <c r="MFI23" s="21"/>
      <c r="MFJ23" s="21"/>
      <c r="MFK23" s="21"/>
      <c r="MFL23" s="21"/>
      <c r="MFM23" s="21"/>
      <c r="MFN23" s="21"/>
      <c r="MFO23" s="21"/>
      <c r="MFP23" s="21"/>
      <c r="MFQ23" s="21"/>
      <c r="MFR23" s="21"/>
      <c r="MFS23" s="21"/>
      <c r="MFT23" s="21"/>
      <c r="MFU23" s="21"/>
      <c r="MFV23" s="21"/>
      <c r="MFW23" s="21"/>
      <c r="MFX23" s="21"/>
      <c r="MFY23" s="21"/>
      <c r="MFZ23" s="21"/>
      <c r="MGA23" s="21"/>
      <c r="MGB23" s="21"/>
      <c r="MGC23" s="21"/>
      <c r="MGD23" s="21"/>
      <c r="MGE23" s="21"/>
      <c r="MGF23" s="21"/>
      <c r="MGG23" s="21"/>
      <c r="MGH23" s="21"/>
      <c r="MGI23" s="21"/>
      <c r="MGJ23" s="21"/>
      <c r="MGK23" s="21"/>
      <c r="MGL23" s="21"/>
      <c r="MGM23" s="21"/>
      <c r="MGN23" s="21"/>
      <c r="MGO23" s="21"/>
      <c r="MGP23" s="21"/>
      <c r="MGQ23" s="21"/>
      <c r="MGR23" s="21"/>
      <c r="MGS23" s="21"/>
      <c r="MGT23" s="21"/>
      <c r="MGU23" s="21"/>
      <c r="MGV23" s="21"/>
      <c r="MGW23" s="21"/>
      <c r="MGX23" s="21"/>
      <c r="MGY23" s="21"/>
      <c r="MGZ23" s="21"/>
      <c r="MHA23" s="21"/>
      <c r="MHB23" s="21"/>
      <c r="MHC23" s="21"/>
      <c r="MHD23" s="21"/>
      <c r="MHE23" s="21"/>
      <c r="MHF23" s="21"/>
      <c r="MHG23" s="21"/>
      <c r="MHH23" s="21"/>
      <c r="MHI23" s="21"/>
      <c r="MHJ23" s="21"/>
      <c r="MHK23" s="21"/>
      <c r="MHL23" s="21"/>
      <c r="MHM23" s="21"/>
      <c r="MHN23" s="21"/>
      <c r="MHO23" s="21"/>
      <c r="MHP23" s="21"/>
      <c r="MHQ23" s="21"/>
      <c r="MHR23" s="21"/>
      <c r="MHS23" s="21"/>
      <c r="MHT23" s="21"/>
      <c r="MHU23" s="21"/>
      <c r="MHV23" s="21"/>
      <c r="MHW23" s="21"/>
      <c r="MHX23" s="21"/>
      <c r="MHY23" s="21"/>
      <c r="MHZ23" s="21"/>
      <c r="MIA23" s="21"/>
      <c r="MIB23" s="21"/>
      <c r="MIC23" s="21"/>
      <c r="MID23" s="21"/>
      <c r="MIE23" s="21"/>
      <c r="MIF23" s="21"/>
      <c r="MIG23" s="21"/>
      <c r="MIH23" s="21"/>
      <c r="MII23" s="21"/>
      <c r="MIJ23" s="21"/>
      <c r="MIK23" s="21"/>
      <c r="MIL23" s="21"/>
      <c r="MIM23" s="21"/>
      <c r="MIN23" s="21"/>
      <c r="MIO23" s="21"/>
      <c r="MIP23" s="21"/>
      <c r="MIQ23" s="21"/>
      <c r="MIR23" s="21"/>
      <c r="MIS23" s="21"/>
      <c r="MIT23" s="21"/>
      <c r="MIU23" s="21"/>
      <c r="MIV23" s="21"/>
      <c r="MIW23" s="21"/>
      <c r="MIX23" s="21"/>
      <c r="MIY23" s="21"/>
      <c r="MIZ23" s="21"/>
      <c r="MJA23" s="21"/>
      <c r="MJB23" s="21"/>
      <c r="MJC23" s="21"/>
      <c r="MJD23" s="21"/>
      <c r="MJE23" s="21"/>
      <c r="MJF23" s="21"/>
      <c r="MJG23" s="21"/>
      <c r="MJH23" s="21"/>
      <c r="MJI23" s="21"/>
      <c r="MJJ23" s="21"/>
      <c r="MJK23" s="21"/>
      <c r="MJL23" s="21"/>
      <c r="MJM23" s="21"/>
      <c r="MJN23" s="21"/>
      <c r="MJO23" s="21"/>
      <c r="MJP23" s="21"/>
      <c r="MJQ23" s="21"/>
      <c r="MJR23" s="21"/>
      <c r="MJS23" s="21"/>
      <c r="MJT23" s="21"/>
      <c r="MJU23" s="21"/>
      <c r="MJV23" s="21"/>
      <c r="MJW23" s="21"/>
      <c r="MJX23" s="21"/>
      <c r="MJY23" s="21"/>
      <c r="MJZ23" s="21"/>
      <c r="MKA23" s="21"/>
      <c r="MKB23" s="21"/>
      <c r="MKC23" s="21"/>
      <c r="MKD23" s="21"/>
      <c r="MKE23" s="21"/>
      <c r="MKF23" s="21"/>
      <c r="MKG23" s="21"/>
      <c r="MKH23" s="21"/>
      <c r="MKI23" s="21"/>
      <c r="MKJ23" s="21"/>
      <c r="MKK23" s="21"/>
      <c r="MKL23" s="21"/>
      <c r="MKM23" s="21"/>
      <c r="MKN23" s="21"/>
      <c r="MKO23" s="21"/>
      <c r="MKP23" s="21"/>
      <c r="MKQ23" s="21"/>
      <c r="MKR23" s="21"/>
      <c r="MKS23" s="21"/>
      <c r="MKT23" s="21"/>
      <c r="MKU23" s="21"/>
      <c r="MKV23" s="21"/>
      <c r="MKW23" s="21"/>
      <c r="MKX23" s="21"/>
      <c r="MKY23" s="21"/>
      <c r="MKZ23" s="21"/>
      <c r="MLA23" s="21"/>
      <c r="MLB23" s="21"/>
      <c r="MLC23" s="21"/>
      <c r="MLD23" s="21"/>
      <c r="MLE23" s="21"/>
      <c r="MLF23" s="21"/>
      <c r="MLG23" s="21"/>
      <c r="MLH23" s="21"/>
      <c r="MLI23" s="21"/>
      <c r="MLJ23" s="21"/>
      <c r="MLK23" s="21"/>
      <c r="MLL23" s="21"/>
      <c r="MLM23" s="21"/>
      <c r="MLN23" s="21"/>
      <c r="MLO23" s="21"/>
      <c r="MLP23" s="21"/>
      <c r="MLQ23" s="21"/>
      <c r="MLR23" s="21"/>
      <c r="MLS23" s="21"/>
      <c r="MLT23" s="21"/>
      <c r="MLU23" s="21"/>
      <c r="MLV23" s="21"/>
      <c r="MLW23" s="21"/>
      <c r="MLX23" s="21"/>
      <c r="MLY23" s="21"/>
      <c r="MLZ23" s="21"/>
      <c r="MMA23" s="21"/>
      <c r="MMB23" s="21"/>
      <c r="MMC23" s="21"/>
      <c r="MMD23" s="21"/>
      <c r="MME23" s="21"/>
      <c r="MMF23" s="21"/>
      <c r="MMG23" s="21"/>
      <c r="MMH23" s="21"/>
      <c r="MMI23" s="21"/>
      <c r="MMJ23" s="21"/>
      <c r="MMK23" s="21"/>
      <c r="MML23" s="21"/>
      <c r="MMM23" s="21"/>
      <c r="MMN23" s="21"/>
      <c r="MMO23" s="21"/>
      <c r="MMP23" s="21"/>
      <c r="MMQ23" s="21"/>
      <c r="MMR23" s="21"/>
      <c r="MMS23" s="21"/>
      <c r="MMT23" s="21"/>
      <c r="MMU23" s="21"/>
      <c r="MMV23" s="21"/>
      <c r="MMW23" s="21"/>
      <c r="MMX23" s="21"/>
      <c r="MMY23" s="21"/>
      <c r="MMZ23" s="21"/>
      <c r="MNA23" s="21"/>
      <c r="MNB23" s="21"/>
      <c r="MNC23" s="21"/>
      <c r="MND23" s="21"/>
      <c r="MNE23" s="21"/>
      <c r="MNF23" s="21"/>
      <c r="MNG23" s="21"/>
      <c r="MNH23" s="21"/>
      <c r="MNI23" s="21"/>
      <c r="MNJ23" s="21"/>
      <c r="MNK23" s="21"/>
      <c r="MNL23" s="21"/>
      <c r="MNM23" s="21"/>
      <c r="MNN23" s="21"/>
      <c r="MNO23" s="21"/>
      <c r="MNP23" s="21"/>
      <c r="MNQ23" s="21"/>
      <c r="MNR23" s="21"/>
      <c r="MNS23" s="21"/>
      <c r="MNT23" s="21"/>
      <c r="MNU23" s="21"/>
      <c r="MNV23" s="21"/>
      <c r="MNW23" s="21"/>
      <c r="MNX23" s="21"/>
      <c r="MNY23" s="21"/>
      <c r="MNZ23" s="21"/>
      <c r="MOA23" s="21"/>
      <c r="MOB23" s="21"/>
      <c r="MOC23" s="21"/>
      <c r="MOD23" s="21"/>
      <c r="MOE23" s="21"/>
      <c r="MOF23" s="21"/>
      <c r="MOG23" s="21"/>
      <c r="MOH23" s="21"/>
      <c r="MOI23" s="21"/>
      <c r="MOJ23" s="21"/>
      <c r="MOK23" s="21"/>
      <c r="MOL23" s="21"/>
      <c r="MOM23" s="21"/>
      <c r="MON23" s="21"/>
      <c r="MOO23" s="21"/>
      <c r="MOP23" s="21"/>
      <c r="MOQ23" s="21"/>
      <c r="MOR23" s="21"/>
      <c r="MOS23" s="21"/>
      <c r="MOT23" s="21"/>
      <c r="MOU23" s="21"/>
      <c r="MOV23" s="21"/>
      <c r="MOW23" s="21"/>
      <c r="MOX23" s="21"/>
      <c r="MOY23" s="21"/>
      <c r="MOZ23" s="21"/>
      <c r="MPA23" s="21"/>
      <c r="MPB23" s="21"/>
      <c r="MPC23" s="21"/>
      <c r="MPD23" s="21"/>
      <c r="MPE23" s="21"/>
      <c r="MPF23" s="21"/>
      <c r="MPG23" s="21"/>
      <c r="MPH23" s="21"/>
      <c r="MPI23" s="21"/>
      <c r="MPJ23" s="21"/>
      <c r="MPK23" s="21"/>
      <c r="MPL23" s="21"/>
      <c r="MPM23" s="21"/>
      <c r="MPN23" s="21"/>
      <c r="MPO23" s="21"/>
      <c r="MPP23" s="21"/>
      <c r="MPQ23" s="21"/>
      <c r="MPR23" s="21"/>
      <c r="MPS23" s="21"/>
      <c r="MPT23" s="21"/>
      <c r="MPU23" s="21"/>
      <c r="MPV23" s="21"/>
      <c r="MPW23" s="21"/>
      <c r="MPX23" s="21"/>
      <c r="MPY23" s="21"/>
      <c r="MPZ23" s="21"/>
      <c r="MQA23" s="21"/>
      <c r="MQB23" s="21"/>
      <c r="MQC23" s="21"/>
      <c r="MQD23" s="21"/>
      <c r="MQE23" s="21"/>
      <c r="MQF23" s="21"/>
      <c r="MQG23" s="21"/>
      <c r="MQH23" s="21"/>
      <c r="MQI23" s="21"/>
      <c r="MQJ23" s="21"/>
      <c r="MQK23" s="21"/>
      <c r="MQL23" s="21"/>
      <c r="MQM23" s="21"/>
      <c r="MQN23" s="21"/>
      <c r="MQO23" s="21"/>
      <c r="MQP23" s="21"/>
      <c r="MQQ23" s="21"/>
      <c r="MQR23" s="21"/>
      <c r="MQS23" s="21"/>
      <c r="MQT23" s="21"/>
      <c r="MQU23" s="21"/>
      <c r="MQV23" s="21"/>
      <c r="MQW23" s="21"/>
      <c r="MQX23" s="21"/>
      <c r="MQY23" s="21"/>
      <c r="MQZ23" s="21"/>
      <c r="MRA23" s="21"/>
      <c r="MRB23" s="21"/>
      <c r="MRC23" s="21"/>
      <c r="MRD23" s="21"/>
      <c r="MRE23" s="21"/>
      <c r="MRF23" s="21"/>
      <c r="MRG23" s="21"/>
      <c r="MRH23" s="21"/>
      <c r="MRI23" s="21"/>
      <c r="MRJ23" s="21"/>
      <c r="MRK23" s="21"/>
      <c r="MRL23" s="21"/>
      <c r="MRM23" s="21"/>
      <c r="MRN23" s="21"/>
      <c r="MRO23" s="21"/>
      <c r="MRP23" s="21"/>
      <c r="MRQ23" s="21"/>
      <c r="MRR23" s="21"/>
      <c r="MRS23" s="21"/>
      <c r="MRT23" s="21"/>
      <c r="MRU23" s="21"/>
      <c r="MRV23" s="21"/>
      <c r="MRW23" s="21"/>
      <c r="MRX23" s="21"/>
      <c r="MRY23" s="21"/>
      <c r="MRZ23" s="21"/>
      <c r="MSA23" s="21"/>
      <c r="MSB23" s="21"/>
      <c r="MSC23" s="21"/>
      <c r="MSD23" s="21"/>
      <c r="MSE23" s="21"/>
      <c r="MSF23" s="21"/>
      <c r="MSG23" s="21"/>
      <c r="MSH23" s="21"/>
      <c r="MSI23" s="21"/>
      <c r="MSJ23" s="21"/>
      <c r="MSK23" s="21"/>
      <c r="MSL23" s="21"/>
      <c r="MSM23" s="21"/>
      <c r="MSN23" s="21"/>
      <c r="MSO23" s="21"/>
      <c r="MSP23" s="21"/>
      <c r="MSQ23" s="21"/>
      <c r="MSR23" s="21"/>
      <c r="MSS23" s="21"/>
      <c r="MST23" s="21"/>
      <c r="MSU23" s="21"/>
      <c r="MSV23" s="21"/>
      <c r="MSW23" s="21"/>
      <c r="MSX23" s="21"/>
      <c r="MSY23" s="21"/>
      <c r="MSZ23" s="21"/>
      <c r="MTA23" s="21"/>
      <c r="MTB23" s="21"/>
      <c r="MTC23" s="21"/>
      <c r="MTD23" s="21"/>
      <c r="MTE23" s="21"/>
      <c r="MTF23" s="21"/>
      <c r="MTG23" s="21"/>
      <c r="MTH23" s="21"/>
      <c r="MTI23" s="21"/>
      <c r="MTJ23" s="21"/>
      <c r="MTK23" s="21"/>
      <c r="MTL23" s="21"/>
      <c r="MTM23" s="21"/>
      <c r="MTN23" s="21"/>
      <c r="MTO23" s="21"/>
      <c r="MTP23" s="21"/>
      <c r="MTQ23" s="21"/>
      <c r="MTR23" s="21"/>
      <c r="MTS23" s="21"/>
      <c r="MTT23" s="21"/>
      <c r="MTU23" s="21"/>
      <c r="MTV23" s="21"/>
      <c r="MTW23" s="21"/>
      <c r="MTX23" s="21"/>
      <c r="MTY23" s="21"/>
      <c r="MTZ23" s="21"/>
      <c r="MUA23" s="21"/>
      <c r="MUB23" s="21"/>
      <c r="MUC23" s="21"/>
      <c r="MUD23" s="21"/>
      <c r="MUE23" s="21"/>
      <c r="MUF23" s="21"/>
      <c r="MUG23" s="21"/>
      <c r="MUH23" s="21"/>
      <c r="MUI23" s="21"/>
      <c r="MUJ23" s="21"/>
      <c r="MUK23" s="21"/>
      <c r="MUL23" s="21"/>
      <c r="MUM23" s="21"/>
      <c r="MUN23" s="21"/>
      <c r="MUO23" s="21"/>
      <c r="MUP23" s="21"/>
      <c r="MUQ23" s="21"/>
      <c r="MUR23" s="21"/>
      <c r="MUS23" s="21"/>
      <c r="MUT23" s="21"/>
      <c r="MUU23" s="21"/>
      <c r="MUV23" s="21"/>
      <c r="MUW23" s="21"/>
      <c r="MUX23" s="21"/>
      <c r="MUY23" s="21"/>
      <c r="MUZ23" s="21"/>
      <c r="MVA23" s="21"/>
      <c r="MVB23" s="21"/>
      <c r="MVC23" s="21"/>
      <c r="MVD23" s="21"/>
      <c r="MVE23" s="21"/>
      <c r="MVF23" s="21"/>
      <c r="MVG23" s="21"/>
      <c r="MVH23" s="21"/>
      <c r="MVI23" s="21"/>
      <c r="MVJ23" s="21"/>
      <c r="MVK23" s="21"/>
      <c r="MVL23" s="21"/>
      <c r="MVM23" s="21"/>
      <c r="MVN23" s="21"/>
      <c r="MVO23" s="21"/>
      <c r="MVP23" s="21"/>
      <c r="MVQ23" s="21"/>
      <c r="MVR23" s="21"/>
      <c r="MVS23" s="21"/>
      <c r="MVT23" s="21"/>
      <c r="MVU23" s="21"/>
      <c r="MVV23" s="21"/>
      <c r="MVW23" s="21"/>
      <c r="MVX23" s="21"/>
      <c r="MVY23" s="21"/>
      <c r="MVZ23" s="21"/>
      <c r="MWA23" s="21"/>
      <c r="MWB23" s="21"/>
      <c r="MWC23" s="21"/>
      <c r="MWD23" s="21"/>
      <c r="MWE23" s="21"/>
      <c r="MWF23" s="21"/>
      <c r="MWG23" s="21"/>
      <c r="MWH23" s="21"/>
      <c r="MWI23" s="21"/>
      <c r="MWJ23" s="21"/>
      <c r="MWK23" s="21"/>
      <c r="MWL23" s="21"/>
      <c r="MWM23" s="21"/>
      <c r="MWN23" s="21"/>
      <c r="MWO23" s="21"/>
      <c r="MWP23" s="21"/>
      <c r="MWQ23" s="21"/>
      <c r="MWR23" s="21"/>
      <c r="MWS23" s="21"/>
      <c r="MWT23" s="21"/>
      <c r="MWU23" s="21"/>
      <c r="MWV23" s="21"/>
      <c r="MWW23" s="21"/>
      <c r="MWX23" s="21"/>
      <c r="MWY23" s="21"/>
      <c r="MWZ23" s="21"/>
      <c r="MXA23" s="21"/>
      <c r="MXB23" s="21"/>
      <c r="MXC23" s="21"/>
      <c r="MXD23" s="21"/>
      <c r="MXE23" s="21"/>
      <c r="MXF23" s="21"/>
      <c r="MXG23" s="21"/>
      <c r="MXH23" s="21"/>
      <c r="MXI23" s="21"/>
      <c r="MXJ23" s="21"/>
      <c r="MXK23" s="21"/>
      <c r="MXL23" s="21"/>
      <c r="MXM23" s="21"/>
      <c r="MXN23" s="21"/>
      <c r="MXO23" s="21"/>
      <c r="MXP23" s="21"/>
      <c r="MXQ23" s="21"/>
      <c r="MXR23" s="21"/>
      <c r="MXS23" s="21"/>
      <c r="MXT23" s="21"/>
      <c r="MXU23" s="21"/>
      <c r="MXV23" s="21"/>
      <c r="MXW23" s="21"/>
      <c r="MXX23" s="21"/>
      <c r="MXY23" s="21"/>
      <c r="MXZ23" s="21"/>
      <c r="MYA23" s="21"/>
      <c r="MYB23" s="21"/>
      <c r="MYC23" s="21"/>
      <c r="MYD23" s="21"/>
      <c r="MYE23" s="21"/>
      <c r="MYF23" s="21"/>
      <c r="MYG23" s="21"/>
      <c r="MYH23" s="21"/>
      <c r="MYI23" s="21"/>
      <c r="MYJ23" s="21"/>
      <c r="MYK23" s="21"/>
      <c r="MYL23" s="21"/>
      <c r="MYM23" s="21"/>
      <c r="MYN23" s="21"/>
      <c r="MYO23" s="21"/>
      <c r="MYP23" s="21"/>
      <c r="MYQ23" s="21"/>
      <c r="MYR23" s="21"/>
      <c r="MYS23" s="21"/>
      <c r="MYT23" s="21"/>
      <c r="MYU23" s="21"/>
      <c r="MYV23" s="21"/>
      <c r="MYW23" s="21"/>
      <c r="MYX23" s="21"/>
      <c r="MYY23" s="21"/>
      <c r="MYZ23" s="21"/>
      <c r="MZA23" s="21"/>
      <c r="MZB23" s="21"/>
      <c r="MZC23" s="21"/>
      <c r="MZD23" s="21"/>
      <c r="MZE23" s="21"/>
      <c r="MZF23" s="21"/>
      <c r="MZG23" s="21"/>
      <c r="MZH23" s="21"/>
      <c r="MZI23" s="21"/>
      <c r="MZJ23" s="21"/>
      <c r="MZK23" s="21"/>
      <c r="MZL23" s="21"/>
      <c r="MZM23" s="21"/>
      <c r="MZN23" s="21"/>
      <c r="MZO23" s="21"/>
      <c r="MZP23" s="21"/>
      <c r="MZQ23" s="21"/>
      <c r="MZR23" s="21"/>
      <c r="MZS23" s="21"/>
      <c r="MZT23" s="21"/>
      <c r="MZU23" s="21"/>
      <c r="MZV23" s="21"/>
      <c r="MZW23" s="21"/>
      <c r="MZX23" s="21"/>
      <c r="MZY23" s="21"/>
      <c r="MZZ23" s="21"/>
      <c r="NAA23" s="21"/>
      <c r="NAB23" s="21"/>
      <c r="NAC23" s="21"/>
      <c r="NAD23" s="21"/>
      <c r="NAE23" s="21"/>
      <c r="NAF23" s="21"/>
      <c r="NAG23" s="21"/>
      <c r="NAH23" s="21"/>
      <c r="NAI23" s="21"/>
      <c r="NAJ23" s="21"/>
      <c r="NAK23" s="21"/>
      <c r="NAL23" s="21"/>
      <c r="NAM23" s="21"/>
      <c r="NAN23" s="21"/>
      <c r="NAO23" s="21"/>
      <c r="NAP23" s="21"/>
      <c r="NAQ23" s="21"/>
      <c r="NAR23" s="21"/>
      <c r="NAS23" s="21"/>
      <c r="NAT23" s="21"/>
      <c r="NAU23" s="21"/>
      <c r="NAV23" s="21"/>
      <c r="NAW23" s="21"/>
      <c r="NAX23" s="21"/>
      <c r="NAY23" s="21"/>
      <c r="NAZ23" s="21"/>
      <c r="NBA23" s="21"/>
      <c r="NBB23" s="21"/>
      <c r="NBC23" s="21"/>
      <c r="NBD23" s="21"/>
      <c r="NBE23" s="21"/>
      <c r="NBF23" s="21"/>
      <c r="NBG23" s="21"/>
      <c r="NBH23" s="21"/>
      <c r="NBI23" s="21"/>
      <c r="NBJ23" s="21"/>
      <c r="NBK23" s="21"/>
      <c r="NBL23" s="21"/>
      <c r="NBM23" s="21"/>
      <c r="NBN23" s="21"/>
      <c r="NBO23" s="21"/>
      <c r="NBP23" s="21"/>
      <c r="NBQ23" s="21"/>
      <c r="NBR23" s="21"/>
      <c r="NBS23" s="21"/>
      <c r="NBT23" s="21"/>
      <c r="NBU23" s="21"/>
      <c r="NBV23" s="21"/>
      <c r="NBW23" s="21"/>
      <c r="NBX23" s="21"/>
      <c r="NBY23" s="21"/>
      <c r="NBZ23" s="21"/>
      <c r="NCA23" s="21"/>
      <c r="NCB23" s="21"/>
      <c r="NCC23" s="21"/>
      <c r="NCD23" s="21"/>
      <c r="NCE23" s="21"/>
      <c r="NCF23" s="21"/>
      <c r="NCG23" s="21"/>
      <c r="NCH23" s="21"/>
      <c r="NCI23" s="21"/>
      <c r="NCJ23" s="21"/>
      <c r="NCK23" s="21"/>
      <c r="NCL23" s="21"/>
      <c r="NCM23" s="21"/>
      <c r="NCN23" s="21"/>
      <c r="NCO23" s="21"/>
      <c r="NCP23" s="21"/>
      <c r="NCQ23" s="21"/>
      <c r="NCR23" s="21"/>
      <c r="NCS23" s="21"/>
      <c r="NCT23" s="21"/>
      <c r="NCU23" s="21"/>
      <c r="NCV23" s="21"/>
      <c r="NCW23" s="21"/>
      <c r="NCX23" s="21"/>
      <c r="NCY23" s="21"/>
      <c r="NCZ23" s="21"/>
      <c r="NDA23" s="21"/>
      <c r="NDB23" s="21"/>
      <c r="NDC23" s="21"/>
      <c r="NDD23" s="21"/>
      <c r="NDE23" s="21"/>
      <c r="NDF23" s="21"/>
      <c r="NDG23" s="21"/>
      <c r="NDH23" s="21"/>
      <c r="NDI23" s="21"/>
      <c r="NDJ23" s="21"/>
      <c r="NDK23" s="21"/>
      <c r="NDL23" s="21"/>
      <c r="NDM23" s="21"/>
      <c r="NDN23" s="21"/>
      <c r="NDO23" s="21"/>
      <c r="NDP23" s="21"/>
      <c r="NDQ23" s="21"/>
      <c r="NDR23" s="21"/>
      <c r="NDS23" s="21"/>
      <c r="NDT23" s="21"/>
      <c r="NDU23" s="21"/>
      <c r="NDV23" s="21"/>
      <c r="NDW23" s="21"/>
      <c r="NDX23" s="21"/>
      <c r="NDY23" s="21"/>
      <c r="NDZ23" s="21"/>
      <c r="NEA23" s="21"/>
      <c r="NEB23" s="21"/>
      <c r="NEC23" s="21"/>
      <c r="NED23" s="21"/>
      <c r="NEE23" s="21"/>
      <c r="NEF23" s="21"/>
      <c r="NEG23" s="21"/>
      <c r="NEH23" s="21"/>
      <c r="NEI23" s="21"/>
      <c r="NEJ23" s="21"/>
      <c r="NEK23" s="21"/>
      <c r="NEL23" s="21"/>
      <c r="NEM23" s="21"/>
      <c r="NEN23" s="21"/>
      <c r="NEO23" s="21"/>
      <c r="NEP23" s="21"/>
      <c r="NEQ23" s="21"/>
      <c r="NER23" s="21"/>
      <c r="NES23" s="21"/>
      <c r="NET23" s="21"/>
      <c r="NEU23" s="21"/>
      <c r="NEV23" s="21"/>
      <c r="NEW23" s="21"/>
      <c r="NEX23" s="21"/>
      <c r="NEY23" s="21"/>
      <c r="NEZ23" s="21"/>
      <c r="NFA23" s="21"/>
      <c r="NFB23" s="21"/>
      <c r="NFC23" s="21"/>
      <c r="NFD23" s="21"/>
      <c r="NFE23" s="21"/>
      <c r="NFF23" s="21"/>
      <c r="NFG23" s="21"/>
      <c r="NFH23" s="21"/>
      <c r="NFI23" s="21"/>
      <c r="NFJ23" s="21"/>
      <c r="NFK23" s="21"/>
      <c r="NFL23" s="21"/>
      <c r="NFM23" s="21"/>
      <c r="NFN23" s="21"/>
      <c r="NFO23" s="21"/>
      <c r="NFP23" s="21"/>
      <c r="NFQ23" s="21"/>
      <c r="NFR23" s="21"/>
      <c r="NFS23" s="21"/>
      <c r="NFT23" s="21"/>
      <c r="NFU23" s="21"/>
      <c r="NFV23" s="21"/>
      <c r="NFW23" s="21"/>
      <c r="NFX23" s="21"/>
      <c r="NFY23" s="21"/>
      <c r="NFZ23" s="21"/>
      <c r="NGA23" s="21"/>
      <c r="NGB23" s="21"/>
      <c r="NGC23" s="21"/>
      <c r="NGD23" s="21"/>
      <c r="NGE23" s="21"/>
      <c r="NGF23" s="21"/>
      <c r="NGG23" s="21"/>
      <c r="NGH23" s="21"/>
      <c r="NGI23" s="21"/>
      <c r="NGJ23" s="21"/>
      <c r="NGK23" s="21"/>
      <c r="NGL23" s="21"/>
      <c r="NGM23" s="21"/>
      <c r="NGN23" s="21"/>
      <c r="NGO23" s="21"/>
      <c r="NGP23" s="21"/>
      <c r="NGQ23" s="21"/>
      <c r="NGR23" s="21"/>
      <c r="NGS23" s="21"/>
      <c r="NGT23" s="21"/>
      <c r="NGU23" s="21"/>
      <c r="NGV23" s="21"/>
      <c r="NGW23" s="21"/>
      <c r="NGX23" s="21"/>
      <c r="NGY23" s="21"/>
      <c r="NGZ23" s="21"/>
      <c r="NHA23" s="21"/>
      <c r="NHB23" s="21"/>
      <c r="NHC23" s="21"/>
      <c r="NHD23" s="21"/>
      <c r="NHE23" s="21"/>
      <c r="NHF23" s="21"/>
      <c r="NHG23" s="21"/>
      <c r="NHH23" s="21"/>
      <c r="NHI23" s="21"/>
      <c r="NHJ23" s="21"/>
      <c r="NHK23" s="21"/>
      <c r="NHL23" s="21"/>
      <c r="NHM23" s="21"/>
      <c r="NHN23" s="21"/>
      <c r="NHO23" s="21"/>
      <c r="NHP23" s="21"/>
      <c r="NHQ23" s="21"/>
      <c r="NHR23" s="21"/>
      <c r="NHS23" s="21"/>
      <c r="NHT23" s="21"/>
      <c r="NHU23" s="21"/>
      <c r="NHV23" s="21"/>
      <c r="NHW23" s="21"/>
      <c r="NHX23" s="21"/>
      <c r="NHY23" s="21"/>
      <c r="NHZ23" s="21"/>
      <c r="NIA23" s="21"/>
      <c r="NIB23" s="21"/>
      <c r="NIC23" s="21"/>
      <c r="NID23" s="21"/>
      <c r="NIE23" s="21"/>
      <c r="NIF23" s="21"/>
      <c r="NIG23" s="21"/>
      <c r="NIH23" s="21"/>
      <c r="NII23" s="21"/>
      <c r="NIJ23" s="21"/>
      <c r="NIK23" s="21"/>
      <c r="NIL23" s="21"/>
      <c r="NIM23" s="21"/>
      <c r="NIN23" s="21"/>
      <c r="NIO23" s="21"/>
      <c r="NIP23" s="21"/>
      <c r="NIQ23" s="21"/>
      <c r="NIR23" s="21"/>
      <c r="NIS23" s="21"/>
      <c r="NIT23" s="21"/>
      <c r="NIU23" s="21"/>
      <c r="NIV23" s="21"/>
      <c r="NIW23" s="21"/>
      <c r="NIX23" s="21"/>
      <c r="NIY23" s="21"/>
      <c r="NIZ23" s="21"/>
      <c r="NJA23" s="21"/>
      <c r="NJB23" s="21"/>
      <c r="NJC23" s="21"/>
      <c r="NJD23" s="21"/>
      <c r="NJE23" s="21"/>
      <c r="NJF23" s="21"/>
      <c r="NJG23" s="21"/>
      <c r="NJH23" s="21"/>
      <c r="NJI23" s="21"/>
      <c r="NJJ23" s="21"/>
      <c r="NJK23" s="21"/>
      <c r="NJL23" s="21"/>
      <c r="NJM23" s="21"/>
      <c r="NJN23" s="21"/>
      <c r="NJO23" s="21"/>
      <c r="NJP23" s="21"/>
      <c r="NJQ23" s="21"/>
      <c r="NJR23" s="21"/>
      <c r="NJS23" s="21"/>
      <c r="NJT23" s="21"/>
      <c r="NJU23" s="21"/>
      <c r="NJV23" s="21"/>
      <c r="NJW23" s="21"/>
      <c r="NJX23" s="21"/>
      <c r="NJY23" s="21"/>
      <c r="NJZ23" s="21"/>
      <c r="NKA23" s="21"/>
      <c r="NKB23" s="21"/>
      <c r="NKC23" s="21"/>
      <c r="NKD23" s="21"/>
      <c r="NKE23" s="21"/>
      <c r="NKF23" s="21"/>
      <c r="NKG23" s="21"/>
      <c r="NKH23" s="21"/>
      <c r="NKI23" s="21"/>
      <c r="NKJ23" s="21"/>
      <c r="NKK23" s="21"/>
      <c r="NKL23" s="21"/>
      <c r="NKM23" s="21"/>
      <c r="NKN23" s="21"/>
      <c r="NKO23" s="21"/>
      <c r="NKP23" s="21"/>
      <c r="NKQ23" s="21"/>
      <c r="NKR23" s="21"/>
      <c r="NKS23" s="21"/>
      <c r="NKT23" s="21"/>
      <c r="NKU23" s="21"/>
      <c r="NKV23" s="21"/>
      <c r="NKW23" s="21"/>
      <c r="NKX23" s="21"/>
      <c r="NKY23" s="21"/>
      <c r="NKZ23" s="21"/>
      <c r="NLA23" s="21"/>
      <c r="NLB23" s="21"/>
      <c r="NLC23" s="21"/>
      <c r="NLD23" s="21"/>
      <c r="NLE23" s="21"/>
      <c r="NLF23" s="21"/>
      <c r="NLG23" s="21"/>
      <c r="NLH23" s="21"/>
      <c r="NLI23" s="21"/>
      <c r="NLJ23" s="21"/>
      <c r="NLK23" s="21"/>
      <c r="NLL23" s="21"/>
      <c r="NLM23" s="21"/>
      <c r="NLN23" s="21"/>
      <c r="NLO23" s="21"/>
      <c r="NLP23" s="21"/>
      <c r="NLQ23" s="21"/>
      <c r="NLR23" s="21"/>
      <c r="NLS23" s="21"/>
      <c r="NLT23" s="21"/>
      <c r="NLU23" s="21"/>
      <c r="NLV23" s="21"/>
      <c r="NLW23" s="21"/>
      <c r="NLX23" s="21"/>
      <c r="NLY23" s="21"/>
      <c r="NLZ23" s="21"/>
      <c r="NMA23" s="21"/>
      <c r="NMB23" s="21"/>
      <c r="NMC23" s="21"/>
      <c r="NMD23" s="21"/>
      <c r="NME23" s="21"/>
      <c r="NMF23" s="21"/>
      <c r="NMG23" s="21"/>
      <c r="NMH23" s="21"/>
      <c r="NMI23" s="21"/>
      <c r="NMJ23" s="21"/>
      <c r="NMK23" s="21"/>
      <c r="NML23" s="21"/>
      <c r="NMM23" s="21"/>
      <c r="NMN23" s="21"/>
      <c r="NMO23" s="21"/>
      <c r="NMP23" s="21"/>
      <c r="NMQ23" s="21"/>
      <c r="NMR23" s="21"/>
      <c r="NMS23" s="21"/>
      <c r="NMT23" s="21"/>
      <c r="NMU23" s="21"/>
      <c r="NMV23" s="21"/>
      <c r="NMW23" s="21"/>
      <c r="NMX23" s="21"/>
      <c r="NMY23" s="21"/>
      <c r="NMZ23" s="21"/>
      <c r="NNA23" s="21"/>
      <c r="NNB23" s="21"/>
      <c r="NNC23" s="21"/>
      <c r="NND23" s="21"/>
      <c r="NNE23" s="21"/>
      <c r="NNF23" s="21"/>
      <c r="NNG23" s="21"/>
      <c r="NNH23" s="21"/>
      <c r="NNI23" s="21"/>
      <c r="NNJ23" s="21"/>
      <c r="NNK23" s="21"/>
      <c r="NNL23" s="21"/>
      <c r="NNM23" s="21"/>
      <c r="NNN23" s="21"/>
      <c r="NNO23" s="21"/>
      <c r="NNP23" s="21"/>
      <c r="NNQ23" s="21"/>
      <c r="NNR23" s="21"/>
      <c r="NNS23" s="21"/>
      <c r="NNT23" s="21"/>
      <c r="NNU23" s="21"/>
      <c r="NNV23" s="21"/>
      <c r="NNW23" s="21"/>
      <c r="NNX23" s="21"/>
      <c r="NNY23" s="21"/>
      <c r="NNZ23" s="21"/>
      <c r="NOA23" s="21"/>
      <c r="NOB23" s="21"/>
      <c r="NOC23" s="21"/>
      <c r="NOD23" s="21"/>
      <c r="NOE23" s="21"/>
      <c r="NOF23" s="21"/>
      <c r="NOG23" s="21"/>
      <c r="NOH23" s="21"/>
      <c r="NOI23" s="21"/>
      <c r="NOJ23" s="21"/>
      <c r="NOK23" s="21"/>
      <c r="NOL23" s="21"/>
      <c r="NOM23" s="21"/>
      <c r="NON23" s="21"/>
      <c r="NOO23" s="21"/>
      <c r="NOP23" s="21"/>
      <c r="NOQ23" s="21"/>
      <c r="NOR23" s="21"/>
      <c r="NOS23" s="21"/>
      <c r="NOT23" s="21"/>
      <c r="NOU23" s="21"/>
      <c r="NOV23" s="21"/>
      <c r="NOW23" s="21"/>
      <c r="NOX23" s="21"/>
      <c r="NOY23" s="21"/>
      <c r="NOZ23" s="21"/>
      <c r="NPA23" s="21"/>
      <c r="NPB23" s="21"/>
      <c r="NPC23" s="21"/>
      <c r="NPD23" s="21"/>
      <c r="NPE23" s="21"/>
      <c r="NPF23" s="21"/>
      <c r="NPG23" s="21"/>
      <c r="NPH23" s="21"/>
      <c r="NPI23" s="21"/>
      <c r="NPJ23" s="21"/>
      <c r="NPK23" s="21"/>
      <c r="NPL23" s="21"/>
      <c r="NPM23" s="21"/>
      <c r="NPN23" s="21"/>
      <c r="NPO23" s="21"/>
      <c r="NPP23" s="21"/>
      <c r="NPQ23" s="21"/>
      <c r="NPR23" s="21"/>
      <c r="NPS23" s="21"/>
      <c r="NPT23" s="21"/>
      <c r="NPU23" s="21"/>
      <c r="NPV23" s="21"/>
      <c r="NPW23" s="21"/>
      <c r="NPX23" s="21"/>
      <c r="NPY23" s="21"/>
      <c r="NPZ23" s="21"/>
      <c r="NQA23" s="21"/>
      <c r="NQB23" s="21"/>
      <c r="NQC23" s="21"/>
      <c r="NQD23" s="21"/>
      <c r="NQE23" s="21"/>
      <c r="NQF23" s="21"/>
      <c r="NQG23" s="21"/>
      <c r="NQH23" s="21"/>
      <c r="NQI23" s="21"/>
      <c r="NQJ23" s="21"/>
      <c r="NQK23" s="21"/>
      <c r="NQL23" s="21"/>
      <c r="NQM23" s="21"/>
      <c r="NQN23" s="21"/>
      <c r="NQO23" s="21"/>
      <c r="NQP23" s="21"/>
      <c r="NQQ23" s="21"/>
      <c r="NQR23" s="21"/>
      <c r="NQS23" s="21"/>
      <c r="NQT23" s="21"/>
      <c r="NQU23" s="21"/>
      <c r="NQV23" s="21"/>
      <c r="NQW23" s="21"/>
      <c r="NQX23" s="21"/>
      <c r="NQY23" s="21"/>
      <c r="NQZ23" s="21"/>
      <c r="NRA23" s="21"/>
      <c r="NRB23" s="21"/>
      <c r="NRC23" s="21"/>
      <c r="NRD23" s="21"/>
      <c r="NRE23" s="21"/>
      <c r="NRF23" s="21"/>
      <c r="NRG23" s="21"/>
      <c r="NRH23" s="21"/>
      <c r="NRI23" s="21"/>
      <c r="NRJ23" s="21"/>
      <c r="NRK23" s="21"/>
      <c r="NRL23" s="21"/>
      <c r="NRM23" s="21"/>
      <c r="NRN23" s="21"/>
      <c r="NRO23" s="21"/>
      <c r="NRP23" s="21"/>
      <c r="NRQ23" s="21"/>
      <c r="NRR23" s="21"/>
      <c r="NRS23" s="21"/>
      <c r="NRT23" s="21"/>
      <c r="NRU23" s="21"/>
      <c r="NRV23" s="21"/>
      <c r="NRW23" s="21"/>
      <c r="NRX23" s="21"/>
      <c r="NRY23" s="21"/>
      <c r="NRZ23" s="21"/>
      <c r="NSA23" s="21"/>
      <c r="NSB23" s="21"/>
      <c r="NSC23" s="21"/>
      <c r="NSD23" s="21"/>
      <c r="NSE23" s="21"/>
      <c r="NSF23" s="21"/>
      <c r="NSG23" s="21"/>
      <c r="NSH23" s="21"/>
      <c r="NSI23" s="21"/>
      <c r="NSJ23" s="21"/>
      <c r="NSK23" s="21"/>
      <c r="NSL23" s="21"/>
      <c r="NSM23" s="21"/>
      <c r="NSN23" s="21"/>
      <c r="NSO23" s="21"/>
      <c r="NSP23" s="21"/>
      <c r="NSQ23" s="21"/>
      <c r="NSR23" s="21"/>
      <c r="NSS23" s="21"/>
      <c r="NST23" s="21"/>
      <c r="NSU23" s="21"/>
      <c r="NSV23" s="21"/>
      <c r="NSW23" s="21"/>
      <c r="NSX23" s="21"/>
      <c r="NSY23" s="21"/>
      <c r="NSZ23" s="21"/>
      <c r="NTA23" s="21"/>
      <c r="NTB23" s="21"/>
      <c r="NTC23" s="21"/>
      <c r="NTD23" s="21"/>
      <c r="NTE23" s="21"/>
      <c r="NTF23" s="21"/>
      <c r="NTG23" s="21"/>
      <c r="NTH23" s="21"/>
      <c r="NTI23" s="21"/>
      <c r="NTJ23" s="21"/>
      <c r="NTK23" s="21"/>
      <c r="NTL23" s="21"/>
      <c r="NTM23" s="21"/>
      <c r="NTN23" s="21"/>
      <c r="NTO23" s="21"/>
      <c r="NTP23" s="21"/>
      <c r="NTQ23" s="21"/>
      <c r="NTR23" s="21"/>
      <c r="NTS23" s="21"/>
      <c r="NTT23" s="21"/>
      <c r="NTU23" s="21"/>
      <c r="NTV23" s="21"/>
      <c r="NTW23" s="21"/>
      <c r="NTX23" s="21"/>
      <c r="NTY23" s="21"/>
      <c r="NTZ23" s="21"/>
      <c r="NUA23" s="21"/>
      <c r="NUB23" s="21"/>
      <c r="NUC23" s="21"/>
      <c r="NUD23" s="21"/>
      <c r="NUE23" s="21"/>
      <c r="NUF23" s="21"/>
      <c r="NUG23" s="21"/>
      <c r="NUH23" s="21"/>
      <c r="NUI23" s="21"/>
      <c r="NUJ23" s="21"/>
      <c r="NUK23" s="21"/>
      <c r="NUL23" s="21"/>
      <c r="NUM23" s="21"/>
      <c r="NUN23" s="21"/>
      <c r="NUO23" s="21"/>
      <c r="NUP23" s="21"/>
      <c r="NUQ23" s="21"/>
      <c r="NUR23" s="21"/>
      <c r="NUS23" s="21"/>
      <c r="NUT23" s="21"/>
      <c r="NUU23" s="21"/>
      <c r="NUV23" s="21"/>
      <c r="NUW23" s="21"/>
      <c r="NUX23" s="21"/>
      <c r="NUY23" s="21"/>
      <c r="NUZ23" s="21"/>
      <c r="NVA23" s="21"/>
      <c r="NVB23" s="21"/>
      <c r="NVC23" s="21"/>
      <c r="NVD23" s="21"/>
      <c r="NVE23" s="21"/>
      <c r="NVF23" s="21"/>
      <c r="NVG23" s="21"/>
      <c r="NVH23" s="21"/>
      <c r="NVI23" s="21"/>
      <c r="NVJ23" s="21"/>
      <c r="NVK23" s="21"/>
      <c r="NVL23" s="21"/>
      <c r="NVM23" s="21"/>
      <c r="NVN23" s="21"/>
      <c r="NVO23" s="21"/>
      <c r="NVP23" s="21"/>
      <c r="NVQ23" s="21"/>
      <c r="NVR23" s="21"/>
      <c r="NVS23" s="21"/>
      <c r="NVT23" s="21"/>
      <c r="NVU23" s="21"/>
      <c r="NVV23" s="21"/>
      <c r="NVW23" s="21"/>
      <c r="NVX23" s="21"/>
      <c r="NVY23" s="21"/>
      <c r="NVZ23" s="21"/>
      <c r="NWA23" s="21"/>
      <c r="NWB23" s="21"/>
      <c r="NWC23" s="21"/>
      <c r="NWD23" s="21"/>
      <c r="NWE23" s="21"/>
      <c r="NWF23" s="21"/>
      <c r="NWG23" s="21"/>
      <c r="NWH23" s="21"/>
      <c r="NWI23" s="21"/>
      <c r="NWJ23" s="21"/>
      <c r="NWK23" s="21"/>
      <c r="NWL23" s="21"/>
      <c r="NWM23" s="21"/>
      <c r="NWN23" s="21"/>
      <c r="NWO23" s="21"/>
      <c r="NWP23" s="21"/>
      <c r="NWQ23" s="21"/>
      <c r="NWR23" s="21"/>
      <c r="NWS23" s="21"/>
      <c r="NWT23" s="21"/>
      <c r="NWU23" s="21"/>
      <c r="NWV23" s="21"/>
      <c r="NWW23" s="21"/>
      <c r="NWX23" s="21"/>
      <c r="NWY23" s="21"/>
      <c r="NWZ23" s="21"/>
      <c r="NXA23" s="21"/>
      <c r="NXB23" s="21"/>
      <c r="NXC23" s="21"/>
      <c r="NXD23" s="21"/>
      <c r="NXE23" s="21"/>
      <c r="NXF23" s="21"/>
      <c r="NXG23" s="21"/>
      <c r="NXH23" s="21"/>
      <c r="NXI23" s="21"/>
      <c r="NXJ23" s="21"/>
      <c r="NXK23" s="21"/>
      <c r="NXL23" s="21"/>
      <c r="NXM23" s="21"/>
      <c r="NXN23" s="21"/>
      <c r="NXO23" s="21"/>
      <c r="NXP23" s="21"/>
      <c r="NXQ23" s="21"/>
      <c r="NXR23" s="21"/>
      <c r="NXS23" s="21"/>
      <c r="NXT23" s="21"/>
      <c r="NXU23" s="21"/>
      <c r="NXV23" s="21"/>
      <c r="NXW23" s="21"/>
      <c r="NXX23" s="21"/>
      <c r="NXY23" s="21"/>
      <c r="NXZ23" s="21"/>
      <c r="NYA23" s="21"/>
      <c r="NYB23" s="21"/>
      <c r="NYC23" s="21"/>
      <c r="NYD23" s="21"/>
      <c r="NYE23" s="21"/>
      <c r="NYF23" s="21"/>
      <c r="NYG23" s="21"/>
      <c r="NYH23" s="21"/>
      <c r="NYI23" s="21"/>
      <c r="NYJ23" s="21"/>
      <c r="NYK23" s="21"/>
      <c r="NYL23" s="21"/>
      <c r="NYM23" s="21"/>
      <c r="NYN23" s="21"/>
      <c r="NYO23" s="21"/>
      <c r="NYP23" s="21"/>
      <c r="NYQ23" s="21"/>
      <c r="NYR23" s="21"/>
      <c r="NYS23" s="21"/>
      <c r="NYT23" s="21"/>
      <c r="NYU23" s="21"/>
      <c r="NYV23" s="21"/>
      <c r="NYW23" s="21"/>
      <c r="NYX23" s="21"/>
      <c r="NYY23" s="21"/>
      <c r="NYZ23" s="21"/>
      <c r="NZA23" s="21"/>
      <c r="NZB23" s="21"/>
      <c r="NZC23" s="21"/>
      <c r="NZD23" s="21"/>
      <c r="NZE23" s="21"/>
      <c r="NZF23" s="21"/>
      <c r="NZG23" s="21"/>
      <c r="NZH23" s="21"/>
      <c r="NZI23" s="21"/>
      <c r="NZJ23" s="21"/>
      <c r="NZK23" s="21"/>
      <c r="NZL23" s="21"/>
      <c r="NZM23" s="21"/>
      <c r="NZN23" s="21"/>
      <c r="NZO23" s="21"/>
      <c r="NZP23" s="21"/>
      <c r="NZQ23" s="21"/>
      <c r="NZR23" s="21"/>
      <c r="NZS23" s="21"/>
      <c r="NZT23" s="21"/>
      <c r="NZU23" s="21"/>
      <c r="NZV23" s="21"/>
      <c r="NZW23" s="21"/>
      <c r="NZX23" s="21"/>
      <c r="NZY23" s="21"/>
      <c r="NZZ23" s="21"/>
      <c r="OAA23" s="21"/>
      <c r="OAB23" s="21"/>
      <c r="OAC23" s="21"/>
      <c r="OAD23" s="21"/>
      <c r="OAE23" s="21"/>
      <c r="OAF23" s="21"/>
      <c r="OAG23" s="21"/>
      <c r="OAH23" s="21"/>
      <c r="OAI23" s="21"/>
      <c r="OAJ23" s="21"/>
      <c r="OAK23" s="21"/>
      <c r="OAL23" s="21"/>
      <c r="OAM23" s="21"/>
      <c r="OAN23" s="21"/>
      <c r="OAO23" s="21"/>
      <c r="OAP23" s="21"/>
      <c r="OAQ23" s="21"/>
      <c r="OAR23" s="21"/>
      <c r="OAS23" s="21"/>
      <c r="OAT23" s="21"/>
      <c r="OAU23" s="21"/>
      <c r="OAV23" s="21"/>
      <c r="OAW23" s="21"/>
      <c r="OAX23" s="21"/>
      <c r="OAY23" s="21"/>
      <c r="OAZ23" s="21"/>
      <c r="OBA23" s="21"/>
      <c r="OBB23" s="21"/>
      <c r="OBC23" s="21"/>
      <c r="OBD23" s="21"/>
      <c r="OBE23" s="21"/>
      <c r="OBF23" s="21"/>
      <c r="OBG23" s="21"/>
      <c r="OBH23" s="21"/>
      <c r="OBI23" s="21"/>
      <c r="OBJ23" s="21"/>
      <c r="OBK23" s="21"/>
      <c r="OBL23" s="21"/>
      <c r="OBM23" s="21"/>
      <c r="OBN23" s="21"/>
      <c r="OBO23" s="21"/>
      <c r="OBP23" s="21"/>
      <c r="OBQ23" s="21"/>
      <c r="OBR23" s="21"/>
      <c r="OBS23" s="21"/>
      <c r="OBT23" s="21"/>
      <c r="OBU23" s="21"/>
      <c r="OBV23" s="21"/>
      <c r="OBW23" s="21"/>
      <c r="OBX23" s="21"/>
      <c r="OBY23" s="21"/>
      <c r="OBZ23" s="21"/>
      <c r="OCA23" s="21"/>
      <c r="OCB23" s="21"/>
      <c r="OCC23" s="21"/>
      <c r="OCD23" s="21"/>
      <c r="OCE23" s="21"/>
      <c r="OCF23" s="21"/>
      <c r="OCG23" s="21"/>
      <c r="OCH23" s="21"/>
      <c r="OCI23" s="21"/>
      <c r="OCJ23" s="21"/>
      <c r="OCK23" s="21"/>
      <c r="OCL23" s="21"/>
      <c r="OCM23" s="21"/>
      <c r="OCN23" s="21"/>
      <c r="OCO23" s="21"/>
      <c r="OCP23" s="21"/>
      <c r="OCQ23" s="21"/>
      <c r="OCR23" s="21"/>
      <c r="OCS23" s="21"/>
      <c r="OCT23" s="21"/>
      <c r="OCU23" s="21"/>
      <c r="OCV23" s="21"/>
      <c r="OCW23" s="21"/>
      <c r="OCX23" s="21"/>
      <c r="OCY23" s="21"/>
      <c r="OCZ23" s="21"/>
      <c r="ODA23" s="21"/>
      <c r="ODB23" s="21"/>
      <c r="ODC23" s="21"/>
      <c r="ODD23" s="21"/>
      <c r="ODE23" s="21"/>
      <c r="ODF23" s="21"/>
      <c r="ODG23" s="21"/>
      <c r="ODH23" s="21"/>
      <c r="ODI23" s="21"/>
      <c r="ODJ23" s="21"/>
      <c r="ODK23" s="21"/>
      <c r="ODL23" s="21"/>
      <c r="ODM23" s="21"/>
      <c r="ODN23" s="21"/>
      <c r="ODO23" s="21"/>
      <c r="ODP23" s="21"/>
      <c r="ODQ23" s="21"/>
      <c r="ODR23" s="21"/>
      <c r="ODS23" s="21"/>
      <c r="ODT23" s="21"/>
      <c r="ODU23" s="21"/>
      <c r="ODV23" s="21"/>
      <c r="ODW23" s="21"/>
      <c r="ODX23" s="21"/>
      <c r="ODY23" s="21"/>
      <c r="ODZ23" s="21"/>
      <c r="OEA23" s="21"/>
      <c r="OEB23" s="21"/>
      <c r="OEC23" s="21"/>
      <c r="OED23" s="21"/>
      <c r="OEE23" s="21"/>
      <c r="OEF23" s="21"/>
      <c r="OEG23" s="21"/>
      <c r="OEH23" s="21"/>
      <c r="OEI23" s="21"/>
      <c r="OEJ23" s="21"/>
      <c r="OEK23" s="21"/>
      <c r="OEL23" s="21"/>
      <c r="OEM23" s="21"/>
      <c r="OEN23" s="21"/>
      <c r="OEO23" s="21"/>
      <c r="OEP23" s="21"/>
      <c r="OEQ23" s="21"/>
      <c r="OER23" s="21"/>
      <c r="OES23" s="21"/>
      <c r="OET23" s="21"/>
      <c r="OEU23" s="21"/>
      <c r="OEV23" s="21"/>
      <c r="OEW23" s="21"/>
      <c r="OEX23" s="21"/>
      <c r="OEY23" s="21"/>
      <c r="OEZ23" s="21"/>
      <c r="OFA23" s="21"/>
      <c r="OFB23" s="21"/>
      <c r="OFC23" s="21"/>
      <c r="OFD23" s="21"/>
      <c r="OFE23" s="21"/>
      <c r="OFF23" s="21"/>
      <c r="OFG23" s="21"/>
      <c r="OFH23" s="21"/>
      <c r="OFI23" s="21"/>
      <c r="OFJ23" s="21"/>
      <c r="OFK23" s="21"/>
      <c r="OFL23" s="21"/>
      <c r="OFM23" s="21"/>
      <c r="OFN23" s="21"/>
      <c r="OFO23" s="21"/>
      <c r="OFP23" s="21"/>
      <c r="OFQ23" s="21"/>
      <c r="OFR23" s="21"/>
      <c r="OFS23" s="21"/>
      <c r="OFT23" s="21"/>
      <c r="OFU23" s="21"/>
      <c r="OFV23" s="21"/>
      <c r="OFW23" s="21"/>
      <c r="OFX23" s="21"/>
      <c r="OFY23" s="21"/>
      <c r="OFZ23" s="21"/>
      <c r="OGA23" s="21"/>
      <c r="OGB23" s="21"/>
      <c r="OGC23" s="21"/>
      <c r="OGD23" s="21"/>
      <c r="OGE23" s="21"/>
      <c r="OGF23" s="21"/>
      <c r="OGG23" s="21"/>
      <c r="OGH23" s="21"/>
      <c r="OGI23" s="21"/>
      <c r="OGJ23" s="21"/>
      <c r="OGK23" s="21"/>
      <c r="OGL23" s="21"/>
      <c r="OGM23" s="21"/>
      <c r="OGN23" s="21"/>
      <c r="OGO23" s="21"/>
      <c r="OGP23" s="21"/>
      <c r="OGQ23" s="21"/>
      <c r="OGR23" s="21"/>
      <c r="OGS23" s="21"/>
      <c r="OGT23" s="21"/>
      <c r="OGU23" s="21"/>
      <c r="OGV23" s="21"/>
      <c r="OGW23" s="21"/>
      <c r="OGX23" s="21"/>
      <c r="OGY23" s="21"/>
      <c r="OGZ23" s="21"/>
      <c r="OHA23" s="21"/>
      <c r="OHB23" s="21"/>
      <c r="OHC23" s="21"/>
      <c r="OHD23" s="21"/>
      <c r="OHE23" s="21"/>
      <c r="OHF23" s="21"/>
      <c r="OHG23" s="21"/>
      <c r="OHH23" s="21"/>
      <c r="OHI23" s="21"/>
      <c r="OHJ23" s="21"/>
      <c r="OHK23" s="21"/>
      <c r="OHL23" s="21"/>
      <c r="OHM23" s="21"/>
      <c r="OHN23" s="21"/>
      <c r="OHO23" s="21"/>
      <c r="OHP23" s="21"/>
      <c r="OHQ23" s="21"/>
      <c r="OHR23" s="21"/>
      <c r="OHS23" s="21"/>
      <c r="OHT23" s="21"/>
      <c r="OHU23" s="21"/>
      <c r="OHV23" s="21"/>
      <c r="OHW23" s="21"/>
      <c r="OHX23" s="21"/>
      <c r="OHY23" s="21"/>
      <c r="OHZ23" s="21"/>
      <c r="OIA23" s="21"/>
      <c r="OIB23" s="21"/>
      <c r="OIC23" s="21"/>
      <c r="OID23" s="21"/>
      <c r="OIE23" s="21"/>
      <c r="OIF23" s="21"/>
      <c r="OIG23" s="21"/>
      <c r="OIH23" s="21"/>
      <c r="OII23" s="21"/>
      <c r="OIJ23" s="21"/>
      <c r="OIK23" s="21"/>
      <c r="OIL23" s="21"/>
      <c r="OIM23" s="21"/>
      <c r="OIN23" s="21"/>
      <c r="OIO23" s="21"/>
      <c r="OIP23" s="21"/>
      <c r="OIQ23" s="21"/>
      <c r="OIR23" s="21"/>
      <c r="OIS23" s="21"/>
      <c r="OIT23" s="21"/>
      <c r="OIU23" s="21"/>
      <c r="OIV23" s="21"/>
      <c r="OIW23" s="21"/>
      <c r="OIX23" s="21"/>
      <c r="OIY23" s="21"/>
      <c r="OIZ23" s="21"/>
      <c r="OJA23" s="21"/>
      <c r="OJB23" s="21"/>
      <c r="OJC23" s="21"/>
      <c r="OJD23" s="21"/>
      <c r="OJE23" s="21"/>
      <c r="OJF23" s="21"/>
      <c r="OJG23" s="21"/>
      <c r="OJH23" s="21"/>
      <c r="OJI23" s="21"/>
      <c r="OJJ23" s="21"/>
      <c r="OJK23" s="21"/>
      <c r="OJL23" s="21"/>
      <c r="OJM23" s="21"/>
      <c r="OJN23" s="21"/>
      <c r="OJO23" s="21"/>
      <c r="OJP23" s="21"/>
      <c r="OJQ23" s="21"/>
      <c r="OJR23" s="21"/>
      <c r="OJS23" s="21"/>
      <c r="OJT23" s="21"/>
      <c r="OJU23" s="21"/>
      <c r="OJV23" s="21"/>
      <c r="OJW23" s="21"/>
      <c r="OJX23" s="21"/>
      <c r="OJY23" s="21"/>
      <c r="OJZ23" s="21"/>
      <c r="OKA23" s="21"/>
      <c r="OKB23" s="21"/>
      <c r="OKC23" s="21"/>
      <c r="OKD23" s="21"/>
      <c r="OKE23" s="21"/>
      <c r="OKF23" s="21"/>
      <c r="OKG23" s="21"/>
      <c r="OKH23" s="21"/>
      <c r="OKI23" s="21"/>
      <c r="OKJ23" s="21"/>
      <c r="OKK23" s="21"/>
      <c r="OKL23" s="21"/>
      <c r="OKM23" s="21"/>
      <c r="OKN23" s="21"/>
      <c r="OKO23" s="21"/>
      <c r="OKP23" s="21"/>
      <c r="OKQ23" s="21"/>
      <c r="OKR23" s="21"/>
      <c r="OKS23" s="21"/>
      <c r="OKT23" s="21"/>
      <c r="OKU23" s="21"/>
      <c r="OKV23" s="21"/>
      <c r="OKW23" s="21"/>
      <c r="OKX23" s="21"/>
      <c r="OKY23" s="21"/>
      <c r="OKZ23" s="21"/>
      <c r="OLA23" s="21"/>
      <c r="OLB23" s="21"/>
      <c r="OLC23" s="21"/>
      <c r="OLD23" s="21"/>
      <c r="OLE23" s="21"/>
      <c r="OLF23" s="21"/>
      <c r="OLG23" s="21"/>
      <c r="OLH23" s="21"/>
      <c r="OLI23" s="21"/>
      <c r="OLJ23" s="21"/>
      <c r="OLK23" s="21"/>
      <c r="OLL23" s="21"/>
      <c r="OLM23" s="21"/>
      <c r="OLN23" s="21"/>
      <c r="OLO23" s="21"/>
      <c r="OLP23" s="21"/>
      <c r="OLQ23" s="21"/>
      <c r="OLR23" s="21"/>
      <c r="OLS23" s="21"/>
      <c r="OLT23" s="21"/>
      <c r="OLU23" s="21"/>
      <c r="OLV23" s="21"/>
      <c r="OLW23" s="21"/>
      <c r="OLX23" s="21"/>
      <c r="OLY23" s="21"/>
      <c r="OLZ23" s="21"/>
      <c r="OMA23" s="21"/>
      <c r="OMB23" s="21"/>
      <c r="OMC23" s="21"/>
      <c r="OMD23" s="21"/>
      <c r="OME23" s="21"/>
      <c r="OMF23" s="21"/>
      <c r="OMG23" s="21"/>
      <c r="OMH23" s="21"/>
      <c r="OMI23" s="21"/>
      <c r="OMJ23" s="21"/>
      <c r="OMK23" s="21"/>
      <c r="OML23" s="21"/>
      <c r="OMM23" s="21"/>
      <c r="OMN23" s="21"/>
      <c r="OMO23" s="21"/>
      <c r="OMP23" s="21"/>
      <c r="OMQ23" s="21"/>
      <c r="OMR23" s="21"/>
      <c r="OMS23" s="21"/>
      <c r="OMT23" s="21"/>
      <c r="OMU23" s="21"/>
      <c r="OMV23" s="21"/>
      <c r="OMW23" s="21"/>
      <c r="OMX23" s="21"/>
      <c r="OMY23" s="21"/>
      <c r="OMZ23" s="21"/>
      <c r="ONA23" s="21"/>
      <c r="ONB23" s="21"/>
      <c r="ONC23" s="21"/>
      <c r="OND23" s="21"/>
      <c r="ONE23" s="21"/>
      <c r="ONF23" s="21"/>
      <c r="ONG23" s="21"/>
      <c r="ONH23" s="21"/>
      <c r="ONI23" s="21"/>
      <c r="ONJ23" s="21"/>
      <c r="ONK23" s="21"/>
      <c r="ONL23" s="21"/>
      <c r="ONM23" s="21"/>
      <c r="ONN23" s="21"/>
      <c r="ONO23" s="21"/>
      <c r="ONP23" s="21"/>
      <c r="ONQ23" s="21"/>
      <c r="ONR23" s="21"/>
      <c r="ONS23" s="21"/>
      <c r="ONT23" s="21"/>
      <c r="ONU23" s="21"/>
      <c r="ONV23" s="21"/>
      <c r="ONW23" s="21"/>
      <c r="ONX23" s="21"/>
      <c r="ONY23" s="21"/>
      <c r="ONZ23" s="21"/>
      <c r="OOA23" s="21"/>
      <c r="OOB23" s="21"/>
      <c r="OOC23" s="21"/>
      <c r="OOD23" s="21"/>
      <c r="OOE23" s="21"/>
      <c r="OOF23" s="21"/>
      <c r="OOG23" s="21"/>
      <c r="OOH23" s="21"/>
      <c r="OOI23" s="21"/>
      <c r="OOJ23" s="21"/>
      <c r="OOK23" s="21"/>
      <c r="OOL23" s="21"/>
      <c r="OOM23" s="21"/>
      <c r="OON23" s="21"/>
      <c r="OOO23" s="21"/>
      <c r="OOP23" s="21"/>
      <c r="OOQ23" s="21"/>
      <c r="OOR23" s="21"/>
      <c r="OOS23" s="21"/>
      <c r="OOT23" s="21"/>
      <c r="OOU23" s="21"/>
      <c r="OOV23" s="21"/>
      <c r="OOW23" s="21"/>
      <c r="OOX23" s="21"/>
      <c r="OOY23" s="21"/>
      <c r="OOZ23" s="21"/>
      <c r="OPA23" s="21"/>
      <c r="OPB23" s="21"/>
      <c r="OPC23" s="21"/>
      <c r="OPD23" s="21"/>
      <c r="OPE23" s="21"/>
      <c r="OPF23" s="21"/>
      <c r="OPG23" s="21"/>
      <c r="OPH23" s="21"/>
      <c r="OPI23" s="21"/>
      <c r="OPJ23" s="21"/>
      <c r="OPK23" s="21"/>
      <c r="OPL23" s="21"/>
      <c r="OPM23" s="21"/>
      <c r="OPN23" s="21"/>
      <c r="OPO23" s="21"/>
      <c r="OPP23" s="21"/>
      <c r="OPQ23" s="21"/>
      <c r="OPR23" s="21"/>
      <c r="OPS23" s="21"/>
      <c r="OPT23" s="21"/>
      <c r="OPU23" s="21"/>
      <c r="OPV23" s="21"/>
      <c r="OPW23" s="21"/>
      <c r="OPX23" s="21"/>
      <c r="OPY23" s="21"/>
      <c r="OPZ23" s="21"/>
      <c r="OQA23" s="21"/>
      <c r="OQB23" s="21"/>
      <c r="OQC23" s="21"/>
      <c r="OQD23" s="21"/>
      <c r="OQE23" s="21"/>
      <c r="OQF23" s="21"/>
      <c r="OQG23" s="21"/>
      <c r="OQH23" s="21"/>
      <c r="OQI23" s="21"/>
      <c r="OQJ23" s="21"/>
      <c r="OQK23" s="21"/>
      <c r="OQL23" s="21"/>
      <c r="OQM23" s="21"/>
      <c r="OQN23" s="21"/>
      <c r="OQO23" s="21"/>
      <c r="OQP23" s="21"/>
      <c r="OQQ23" s="21"/>
      <c r="OQR23" s="21"/>
      <c r="OQS23" s="21"/>
      <c r="OQT23" s="21"/>
      <c r="OQU23" s="21"/>
      <c r="OQV23" s="21"/>
      <c r="OQW23" s="21"/>
      <c r="OQX23" s="21"/>
      <c r="OQY23" s="21"/>
      <c r="OQZ23" s="21"/>
      <c r="ORA23" s="21"/>
      <c r="ORB23" s="21"/>
      <c r="ORC23" s="21"/>
      <c r="ORD23" s="21"/>
      <c r="ORE23" s="21"/>
      <c r="ORF23" s="21"/>
      <c r="ORG23" s="21"/>
      <c r="ORH23" s="21"/>
      <c r="ORI23" s="21"/>
      <c r="ORJ23" s="21"/>
      <c r="ORK23" s="21"/>
      <c r="ORL23" s="21"/>
      <c r="ORM23" s="21"/>
      <c r="ORN23" s="21"/>
      <c r="ORO23" s="21"/>
      <c r="ORP23" s="21"/>
      <c r="ORQ23" s="21"/>
      <c r="ORR23" s="21"/>
      <c r="ORS23" s="21"/>
      <c r="ORT23" s="21"/>
      <c r="ORU23" s="21"/>
      <c r="ORV23" s="21"/>
      <c r="ORW23" s="21"/>
      <c r="ORX23" s="21"/>
      <c r="ORY23" s="21"/>
      <c r="ORZ23" s="21"/>
      <c r="OSA23" s="21"/>
      <c r="OSB23" s="21"/>
      <c r="OSC23" s="21"/>
      <c r="OSD23" s="21"/>
      <c r="OSE23" s="21"/>
      <c r="OSF23" s="21"/>
      <c r="OSG23" s="21"/>
      <c r="OSH23" s="21"/>
      <c r="OSI23" s="21"/>
      <c r="OSJ23" s="21"/>
      <c r="OSK23" s="21"/>
      <c r="OSL23" s="21"/>
      <c r="OSM23" s="21"/>
      <c r="OSN23" s="21"/>
      <c r="OSO23" s="21"/>
      <c r="OSP23" s="21"/>
      <c r="OSQ23" s="21"/>
      <c r="OSR23" s="21"/>
      <c r="OSS23" s="21"/>
      <c r="OST23" s="21"/>
      <c r="OSU23" s="21"/>
      <c r="OSV23" s="21"/>
      <c r="OSW23" s="21"/>
      <c r="OSX23" s="21"/>
      <c r="OSY23" s="21"/>
      <c r="OSZ23" s="21"/>
      <c r="OTA23" s="21"/>
      <c r="OTB23" s="21"/>
      <c r="OTC23" s="21"/>
      <c r="OTD23" s="21"/>
      <c r="OTE23" s="21"/>
      <c r="OTF23" s="21"/>
      <c r="OTG23" s="21"/>
      <c r="OTH23" s="21"/>
      <c r="OTI23" s="21"/>
      <c r="OTJ23" s="21"/>
      <c r="OTK23" s="21"/>
      <c r="OTL23" s="21"/>
      <c r="OTM23" s="21"/>
      <c r="OTN23" s="21"/>
      <c r="OTO23" s="21"/>
      <c r="OTP23" s="21"/>
      <c r="OTQ23" s="21"/>
      <c r="OTR23" s="21"/>
      <c r="OTS23" s="21"/>
      <c r="OTT23" s="21"/>
      <c r="OTU23" s="21"/>
      <c r="OTV23" s="21"/>
      <c r="OTW23" s="21"/>
      <c r="OTX23" s="21"/>
      <c r="OTY23" s="21"/>
      <c r="OTZ23" s="21"/>
      <c r="OUA23" s="21"/>
      <c r="OUB23" s="21"/>
      <c r="OUC23" s="21"/>
      <c r="OUD23" s="21"/>
      <c r="OUE23" s="21"/>
      <c r="OUF23" s="21"/>
      <c r="OUG23" s="21"/>
      <c r="OUH23" s="21"/>
      <c r="OUI23" s="21"/>
      <c r="OUJ23" s="21"/>
      <c r="OUK23" s="21"/>
      <c r="OUL23" s="21"/>
      <c r="OUM23" s="21"/>
      <c r="OUN23" s="21"/>
      <c r="OUO23" s="21"/>
      <c r="OUP23" s="21"/>
      <c r="OUQ23" s="21"/>
      <c r="OUR23" s="21"/>
      <c r="OUS23" s="21"/>
      <c r="OUT23" s="21"/>
      <c r="OUU23" s="21"/>
      <c r="OUV23" s="21"/>
      <c r="OUW23" s="21"/>
      <c r="OUX23" s="21"/>
      <c r="OUY23" s="21"/>
      <c r="OUZ23" s="21"/>
      <c r="OVA23" s="21"/>
      <c r="OVB23" s="21"/>
      <c r="OVC23" s="21"/>
      <c r="OVD23" s="21"/>
      <c r="OVE23" s="21"/>
      <c r="OVF23" s="21"/>
      <c r="OVG23" s="21"/>
      <c r="OVH23" s="21"/>
      <c r="OVI23" s="21"/>
      <c r="OVJ23" s="21"/>
      <c r="OVK23" s="21"/>
      <c r="OVL23" s="21"/>
      <c r="OVM23" s="21"/>
      <c r="OVN23" s="21"/>
      <c r="OVO23" s="21"/>
      <c r="OVP23" s="21"/>
      <c r="OVQ23" s="21"/>
      <c r="OVR23" s="21"/>
      <c r="OVS23" s="21"/>
      <c r="OVT23" s="21"/>
      <c r="OVU23" s="21"/>
      <c r="OVV23" s="21"/>
      <c r="OVW23" s="21"/>
      <c r="OVX23" s="21"/>
      <c r="OVY23" s="21"/>
      <c r="OVZ23" s="21"/>
      <c r="OWA23" s="21"/>
      <c r="OWB23" s="21"/>
      <c r="OWC23" s="21"/>
      <c r="OWD23" s="21"/>
      <c r="OWE23" s="21"/>
      <c r="OWF23" s="21"/>
      <c r="OWG23" s="21"/>
      <c r="OWH23" s="21"/>
      <c r="OWI23" s="21"/>
      <c r="OWJ23" s="21"/>
      <c r="OWK23" s="21"/>
      <c r="OWL23" s="21"/>
      <c r="OWM23" s="21"/>
      <c r="OWN23" s="21"/>
      <c r="OWO23" s="21"/>
      <c r="OWP23" s="21"/>
      <c r="OWQ23" s="21"/>
      <c r="OWR23" s="21"/>
      <c r="OWS23" s="21"/>
      <c r="OWT23" s="21"/>
      <c r="OWU23" s="21"/>
      <c r="OWV23" s="21"/>
      <c r="OWW23" s="21"/>
      <c r="OWX23" s="21"/>
      <c r="OWY23" s="21"/>
      <c r="OWZ23" s="21"/>
      <c r="OXA23" s="21"/>
      <c r="OXB23" s="21"/>
      <c r="OXC23" s="21"/>
      <c r="OXD23" s="21"/>
      <c r="OXE23" s="21"/>
      <c r="OXF23" s="21"/>
      <c r="OXG23" s="21"/>
      <c r="OXH23" s="21"/>
      <c r="OXI23" s="21"/>
      <c r="OXJ23" s="21"/>
      <c r="OXK23" s="21"/>
      <c r="OXL23" s="21"/>
      <c r="OXM23" s="21"/>
      <c r="OXN23" s="21"/>
      <c r="OXO23" s="21"/>
      <c r="OXP23" s="21"/>
      <c r="OXQ23" s="21"/>
      <c r="OXR23" s="21"/>
      <c r="OXS23" s="21"/>
      <c r="OXT23" s="21"/>
      <c r="OXU23" s="21"/>
      <c r="OXV23" s="21"/>
      <c r="OXW23" s="21"/>
      <c r="OXX23" s="21"/>
      <c r="OXY23" s="21"/>
      <c r="OXZ23" s="21"/>
      <c r="OYA23" s="21"/>
      <c r="OYB23" s="21"/>
      <c r="OYC23" s="21"/>
      <c r="OYD23" s="21"/>
      <c r="OYE23" s="21"/>
      <c r="OYF23" s="21"/>
      <c r="OYG23" s="21"/>
      <c r="OYH23" s="21"/>
      <c r="OYI23" s="21"/>
      <c r="OYJ23" s="21"/>
      <c r="OYK23" s="21"/>
      <c r="OYL23" s="21"/>
      <c r="OYM23" s="21"/>
      <c r="OYN23" s="21"/>
      <c r="OYO23" s="21"/>
      <c r="OYP23" s="21"/>
      <c r="OYQ23" s="21"/>
      <c r="OYR23" s="21"/>
      <c r="OYS23" s="21"/>
      <c r="OYT23" s="21"/>
      <c r="OYU23" s="21"/>
      <c r="OYV23" s="21"/>
      <c r="OYW23" s="21"/>
      <c r="OYX23" s="21"/>
      <c r="OYY23" s="21"/>
      <c r="OYZ23" s="21"/>
      <c r="OZA23" s="21"/>
      <c r="OZB23" s="21"/>
      <c r="OZC23" s="21"/>
      <c r="OZD23" s="21"/>
      <c r="OZE23" s="21"/>
      <c r="OZF23" s="21"/>
      <c r="OZG23" s="21"/>
      <c r="OZH23" s="21"/>
      <c r="OZI23" s="21"/>
      <c r="OZJ23" s="21"/>
      <c r="OZK23" s="21"/>
      <c r="OZL23" s="21"/>
      <c r="OZM23" s="21"/>
      <c r="OZN23" s="21"/>
      <c r="OZO23" s="21"/>
      <c r="OZP23" s="21"/>
      <c r="OZQ23" s="21"/>
      <c r="OZR23" s="21"/>
      <c r="OZS23" s="21"/>
      <c r="OZT23" s="21"/>
      <c r="OZU23" s="21"/>
      <c r="OZV23" s="21"/>
      <c r="OZW23" s="21"/>
      <c r="OZX23" s="21"/>
      <c r="OZY23" s="21"/>
      <c r="OZZ23" s="21"/>
      <c r="PAA23" s="21"/>
      <c r="PAB23" s="21"/>
      <c r="PAC23" s="21"/>
      <c r="PAD23" s="21"/>
      <c r="PAE23" s="21"/>
      <c r="PAF23" s="21"/>
      <c r="PAG23" s="21"/>
      <c r="PAH23" s="21"/>
      <c r="PAI23" s="21"/>
      <c r="PAJ23" s="21"/>
      <c r="PAK23" s="21"/>
      <c r="PAL23" s="21"/>
      <c r="PAM23" s="21"/>
      <c r="PAN23" s="21"/>
      <c r="PAO23" s="21"/>
      <c r="PAP23" s="21"/>
      <c r="PAQ23" s="21"/>
      <c r="PAR23" s="21"/>
      <c r="PAS23" s="21"/>
      <c r="PAT23" s="21"/>
      <c r="PAU23" s="21"/>
      <c r="PAV23" s="21"/>
      <c r="PAW23" s="21"/>
      <c r="PAX23" s="21"/>
      <c r="PAY23" s="21"/>
      <c r="PAZ23" s="21"/>
      <c r="PBA23" s="21"/>
      <c r="PBB23" s="21"/>
      <c r="PBC23" s="21"/>
      <c r="PBD23" s="21"/>
      <c r="PBE23" s="21"/>
      <c r="PBF23" s="21"/>
      <c r="PBG23" s="21"/>
      <c r="PBH23" s="21"/>
      <c r="PBI23" s="21"/>
      <c r="PBJ23" s="21"/>
      <c r="PBK23" s="21"/>
      <c r="PBL23" s="21"/>
      <c r="PBM23" s="21"/>
      <c r="PBN23" s="21"/>
      <c r="PBO23" s="21"/>
      <c r="PBP23" s="21"/>
      <c r="PBQ23" s="21"/>
      <c r="PBR23" s="21"/>
      <c r="PBS23" s="21"/>
      <c r="PBT23" s="21"/>
      <c r="PBU23" s="21"/>
      <c r="PBV23" s="21"/>
      <c r="PBW23" s="21"/>
      <c r="PBX23" s="21"/>
      <c r="PBY23" s="21"/>
      <c r="PBZ23" s="21"/>
      <c r="PCA23" s="21"/>
      <c r="PCB23" s="21"/>
      <c r="PCC23" s="21"/>
      <c r="PCD23" s="21"/>
      <c r="PCE23" s="21"/>
      <c r="PCF23" s="21"/>
      <c r="PCG23" s="21"/>
      <c r="PCH23" s="21"/>
      <c r="PCI23" s="21"/>
      <c r="PCJ23" s="21"/>
      <c r="PCK23" s="21"/>
      <c r="PCL23" s="21"/>
      <c r="PCM23" s="21"/>
      <c r="PCN23" s="21"/>
      <c r="PCO23" s="21"/>
      <c r="PCP23" s="21"/>
      <c r="PCQ23" s="21"/>
      <c r="PCR23" s="21"/>
      <c r="PCS23" s="21"/>
      <c r="PCT23" s="21"/>
      <c r="PCU23" s="21"/>
      <c r="PCV23" s="21"/>
      <c r="PCW23" s="21"/>
      <c r="PCX23" s="21"/>
      <c r="PCY23" s="21"/>
      <c r="PCZ23" s="21"/>
      <c r="PDA23" s="21"/>
      <c r="PDB23" s="21"/>
      <c r="PDC23" s="21"/>
      <c r="PDD23" s="21"/>
      <c r="PDE23" s="21"/>
      <c r="PDF23" s="21"/>
      <c r="PDG23" s="21"/>
      <c r="PDH23" s="21"/>
      <c r="PDI23" s="21"/>
      <c r="PDJ23" s="21"/>
      <c r="PDK23" s="21"/>
      <c r="PDL23" s="21"/>
      <c r="PDM23" s="21"/>
      <c r="PDN23" s="21"/>
      <c r="PDO23" s="21"/>
      <c r="PDP23" s="21"/>
      <c r="PDQ23" s="21"/>
      <c r="PDR23" s="21"/>
      <c r="PDS23" s="21"/>
      <c r="PDT23" s="21"/>
      <c r="PDU23" s="21"/>
      <c r="PDV23" s="21"/>
      <c r="PDW23" s="21"/>
      <c r="PDX23" s="21"/>
      <c r="PDY23" s="21"/>
      <c r="PDZ23" s="21"/>
      <c r="PEA23" s="21"/>
      <c r="PEB23" s="21"/>
      <c r="PEC23" s="21"/>
      <c r="PED23" s="21"/>
      <c r="PEE23" s="21"/>
      <c r="PEF23" s="21"/>
      <c r="PEG23" s="21"/>
      <c r="PEH23" s="21"/>
      <c r="PEI23" s="21"/>
      <c r="PEJ23" s="21"/>
      <c r="PEK23" s="21"/>
      <c r="PEL23" s="21"/>
      <c r="PEM23" s="21"/>
      <c r="PEN23" s="21"/>
      <c r="PEO23" s="21"/>
      <c r="PEP23" s="21"/>
      <c r="PEQ23" s="21"/>
      <c r="PER23" s="21"/>
      <c r="PES23" s="21"/>
      <c r="PET23" s="21"/>
      <c r="PEU23" s="21"/>
      <c r="PEV23" s="21"/>
      <c r="PEW23" s="21"/>
      <c r="PEX23" s="21"/>
      <c r="PEY23" s="21"/>
      <c r="PEZ23" s="21"/>
      <c r="PFA23" s="21"/>
      <c r="PFB23" s="21"/>
      <c r="PFC23" s="21"/>
      <c r="PFD23" s="21"/>
      <c r="PFE23" s="21"/>
      <c r="PFF23" s="21"/>
      <c r="PFG23" s="21"/>
      <c r="PFH23" s="21"/>
      <c r="PFI23" s="21"/>
      <c r="PFJ23" s="21"/>
      <c r="PFK23" s="21"/>
      <c r="PFL23" s="21"/>
      <c r="PFM23" s="21"/>
      <c r="PFN23" s="21"/>
      <c r="PFO23" s="21"/>
      <c r="PFP23" s="21"/>
      <c r="PFQ23" s="21"/>
      <c r="PFR23" s="21"/>
      <c r="PFS23" s="21"/>
      <c r="PFT23" s="21"/>
      <c r="PFU23" s="21"/>
      <c r="PFV23" s="21"/>
      <c r="PFW23" s="21"/>
      <c r="PFX23" s="21"/>
      <c r="PFY23" s="21"/>
      <c r="PFZ23" s="21"/>
      <c r="PGA23" s="21"/>
      <c r="PGB23" s="21"/>
      <c r="PGC23" s="21"/>
      <c r="PGD23" s="21"/>
      <c r="PGE23" s="21"/>
      <c r="PGF23" s="21"/>
      <c r="PGG23" s="21"/>
      <c r="PGH23" s="21"/>
      <c r="PGI23" s="21"/>
      <c r="PGJ23" s="21"/>
      <c r="PGK23" s="21"/>
      <c r="PGL23" s="21"/>
      <c r="PGM23" s="21"/>
      <c r="PGN23" s="21"/>
      <c r="PGO23" s="21"/>
      <c r="PGP23" s="21"/>
      <c r="PGQ23" s="21"/>
      <c r="PGR23" s="21"/>
      <c r="PGS23" s="21"/>
      <c r="PGT23" s="21"/>
      <c r="PGU23" s="21"/>
      <c r="PGV23" s="21"/>
      <c r="PGW23" s="21"/>
      <c r="PGX23" s="21"/>
      <c r="PGY23" s="21"/>
      <c r="PGZ23" s="21"/>
      <c r="PHA23" s="21"/>
      <c r="PHB23" s="21"/>
      <c r="PHC23" s="21"/>
      <c r="PHD23" s="21"/>
      <c r="PHE23" s="21"/>
      <c r="PHF23" s="21"/>
      <c r="PHG23" s="21"/>
      <c r="PHH23" s="21"/>
      <c r="PHI23" s="21"/>
      <c r="PHJ23" s="21"/>
      <c r="PHK23" s="21"/>
      <c r="PHL23" s="21"/>
      <c r="PHM23" s="21"/>
      <c r="PHN23" s="21"/>
      <c r="PHO23" s="21"/>
      <c r="PHP23" s="21"/>
      <c r="PHQ23" s="21"/>
      <c r="PHR23" s="21"/>
      <c r="PHS23" s="21"/>
      <c r="PHT23" s="21"/>
      <c r="PHU23" s="21"/>
      <c r="PHV23" s="21"/>
      <c r="PHW23" s="21"/>
      <c r="PHX23" s="21"/>
      <c r="PHY23" s="21"/>
      <c r="PHZ23" s="21"/>
      <c r="PIA23" s="21"/>
      <c r="PIB23" s="21"/>
      <c r="PIC23" s="21"/>
      <c r="PID23" s="21"/>
      <c r="PIE23" s="21"/>
      <c r="PIF23" s="21"/>
      <c r="PIG23" s="21"/>
      <c r="PIH23" s="21"/>
      <c r="PII23" s="21"/>
      <c r="PIJ23" s="21"/>
      <c r="PIK23" s="21"/>
      <c r="PIL23" s="21"/>
      <c r="PIM23" s="21"/>
      <c r="PIN23" s="21"/>
      <c r="PIO23" s="21"/>
      <c r="PIP23" s="21"/>
      <c r="PIQ23" s="21"/>
      <c r="PIR23" s="21"/>
      <c r="PIS23" s="21"/>
      <c r="PIT23" s="21"/>
      <c r="PIU23" s="21"/>
      <c r="PIV23" s="21"/>
      <c r="PIW23" s="21"/>
      <c r="PIX23" s="21"/>
      <c r="PIY23" s="21"/>
      <c r="PIZ23" s="21"/>
      <c r="PJA23" s="21"/>
      <c r="PJB23" s="21"/>
      <c r="PJC23" s="21"/>
      <c r="PJD23" s="21"/>
      <c r="PJE23" s="21"/>
      <c r="PJF23" s="21"/>
      <c r="PJG23" s="21"/>
      <c r="PJH23" s="21"/>
      <c r="PJI23" s="21"/>
      <c r="PJJ23" s="21"/>
      <c r="PJK23" s="21"/>
      <c r="PJL23" s="21"/>
      <c r="PJM23" s="21"/>
      <c r="PJN23" s="21"/>
      <c r="PJO23" s="21"/>
      <c r="PJP23" s="21"/>
      <c r="PJQ23" s="21"/>
      <c r="PJR23" s="21"/>
      <c r="PJS23" s="21"/>
      <c r="PJT23" s="21"/>
      <c r="PJU23" s="21"/>
      <c r="PJV23" s="21"/>
      <c r="PJW23" s="21"/>
      <c r="PJX23" s="21"/>
      <c r="PJY23" s="21"/>
      <c r="PJZ23" s="21"/>
      <c r="PKA23" s="21"/>
      <c r="PKB23" s="21"/>
      <c r="PKC23" s="21"/>
      <c r="PKD23" s="21"/>
      <c r="PKE23" s="21"/>
      <c r="PKF23" s="21"/>
      <c r="PKG23" s="21"/>
      <c r="PKH23" s="21"/>
      <c r="PKI23" s="21"/>
      <c r="PKJ23" s="21"/>
      <c r="PKK23" s="21"/>
      <c r="PKL23" s="21"/>
      <c r="PKM23" s="21"/>
      <c r="PKN23" s="21"/>
      <c r="PKO23" s="21"/>
      <c r="PKP23" s="21"/>
      <c r="PKQ23" s="21"/>
      <c r="PKR23" s="21"/>
      <c r="PKS23" s="21"/>
      <c r="PKT23" s="21"/>
      <c r="PKU23" s="21"/>
      <c r="PKV23" s="21"/>
      <c r="PKW23" s="21"/>
      <c r="PKX23" s="21"/>
      <c r="PKY23" s="21"/>
      <c r="PKZ23" s="21"/>
      <c r="PLA23" s="21"/>
      <c r="PLB23" s="21"/>
      <c r="PLC23" s="21"/>
      <c r="PLD23" s="21"/>
      <c r="PLE23" s="21"/>
      <c r="PLF23" s="21"/>
      <c r="PLG23" s="21"/>
      <c r="PLH23" s="21"/>
      <c r="PLI23" s="21"/>
      <c r="PLJ23" s="21"/>
      <c r="PLK23" s="21"/>
      <c r="PLL23" s="21"/>
      <c r="PLM23" s="21"/>
      <c r="PLN23" s="21"/>
      <c r="PLO23" s="21"/>
      <c r="PLP23" s="21"/>
      <c r="PLQ23" s="21"/>
      <c r="PLR23" s="21"/>
      <c r="PLS23" s="21"/>
      <c r="PLT23" s="21"/>
      <c r="PLU23" s="21"/>
      <c r="PLV23" s="21"/>
      <c r="PLW23" s="21"/>
      <c r="PLX23" s="21"/>
      <c r="PLY23" s="21"/>
      <c r="PLZ23" s="21"/>
      <c r="PMA23" s="21"/>
      <c r="PMB23" s="21"/>
      <c r="PMC23" s="21"/>
      <c r="PMD23" s="21"/>
      <c r="PME23" s="21"/>
      <c r="PMF23" s="21"/>
      <c r="PMG23" s="21"/>
      <c r="PMH23" s="21"/>
      <c r="PMI23" s="21"/>
      <c r="PMJ23" s="21"/>
      <c r="PMK23" s="21"/>
      <c r="PML23" s="21"/>
      <c r="PMM23" s="21"/>
      <c r="PMN23" s="21"/>
      <c r="PMO23" s="21"/>
      <c r="PMP23" s="21"/>
      <c r="PMQ23" s="21"/>
      <c r="PMR23" s="21"/>
      <c r="PMS23" s="21"/>
      <c r="PMT23" s="21"/>
      <c r="PMU23" s="21"/>
      <c r="PMV23" s="21"/>
      <c r="PMW23" s="21"/>
      <c r="PMX23" s="21"/>
      <c r="PMY23" s="21"/>
      <c r="PMZ23" s="21"/>
      <c r="PNA23" s="21"/>
      <c r="PNB23" s="21"/>
      <c r="PNC23" s="21"/>
      <c r="PND23" s="21"/>
      <c r="PNE23" s="21"/>
      <c r="PNF23" s="21"/>
      <c r="PNG23" s="21"/>
      <c r="PNH23" s="21"/>
      <c r="PNI23" s="21"/>
      <c r="PNJ23" s="21"/>
      <c r="PNK23" s="21"/>
      <c r="PNL23" s="21"/>
      <c r="PNM23" s="21"/>
      <c r="PNN23" s="21"/>
      <c r="PNO23" s="21"/>
      <c r="PNP23" s="21"/>
      <c r="PNQ23" s="21"/>
      <c r="PNR23" s="21"/>
      <c r="PNS23" s="21"/>
      <c r="PNT23" s="21"/>
      <c r="PNU23" s="21"/>
      <c r="PNV23" s="21"/>
      <c r="PNW23" s="21"/>
      <c r="PNX23" s="21"/>
      <c r="PNY23" s="21"/>
      <c r="PNZ23" s="21"/>
      <c r="POA23" s="21"/>
      <c r="POB23" s="21"/>
      <c r="POC23" s="21"/>
      <c r="POD23" s="21"/>
      <c r="POE23" s="21"/>
      <c r="POF23" s="21"/>
      <c r="POG23" s="21"/>
      <c r="POH23" s="21"/>
      <c r="POI23" s="21"/>
      <c r="POJ23" s="21"/>
      <c r="POK23" s="21"/>
      <c r="POL23" s="21"/>
      <c r="POM23" s="21"/>
      <c r="PON23" s="21"/>
      <c r="POO23" s="21"/>
      <c r="POP23" s="21"/>
      <c r="POQ23" s="21"/>
      <c r="POR23" s="21"/>
      <c r="POS23" s="21"/>
      <c r="POT23" s="21"/>
      <c r="POU23" s="21"/>
      <c r="POV23" s="21"/>
      <c r="POW23" s="21"/>
      <c r="POX23" s="21"/>
      <c r="POY23" s="21"/>
      <c r="POZ23" s="21"/>
      <c r="PPA23" s="21"/>
      <c r="PPB23" s="21"/>
      <c r="PPC23" s="21"/>
      <c r="PPD23" s="21"/>
      <c r="PPE23" s="21"/>
      <c r="PPF23" s="21"/>
      <c r="PPG23" s="21"/>
      <c r="PPH23" s="21"/>
      <c r="PPI23" s="21"/>
      <c r="PPJ23" s="21"/>
      <c r="PPK23" s="21"/>
      <c r="PPL23" s="21"/>
      <c r="PPM23" s="21"/>
      <c r="PPN23" s="21"/>
      <c r="PPO23" s="21"/>
      <c r="PPP23" s="21"/>
      <c r="PPQ23" s="21"/>
      <c r="PPR23" s="21"/>
      <c r="PPS23" s="21"/>
      <c r="PPT23" s="21"/>
      <c r="PPU23" s="21"/>
      <c r="PPV23" s="21"/>
      <c r="PPW23" s="21"/>
      <c r="PPX23" s="21"/>
      <c r="PPY23" s="21"/>
      <c r="PPZ23" s="21"/>
      <c r="PQA23" s="21"/>
      <c r="PQB23" s="21"/>
      <c r="PQC23" s="21"/>
      <c r="PQD23" s="21"/>
      <c r="PQE23" s="21"/>
      <c r="PQF23" s="21"/>
      <c r="PQG23" s="21"/>
      <c r="PQH23" s="21"/>
      <c r="PQI23" s="21"/>
      <c r="PQJ23" s="21"/>
      <c r="PQK23" s="21"/>
      <c r="PQL23" s="21"/>
      <c r="PQM23" s="21"/>
      <c r="PQN23" s="21"/>
      <c r="PQO23" s="21"/>
      <c r="PQP23" s="21"/>
      <c r="PQQ23" s="21"/>
      <c r="PQR23" s="21"/>
      <c r="PQS23" s="21"/>
      <c r="PQT23" s="21"/>
      <c r="PQU23" s="21"/>
      <c r="PQV23" s="21"/>
      <c r="PQW23" s="21"/>
      <c r="PQX23" s="21"/>
      <c r="PQY23" s="21"/>
      <c r="PQZ23" s="21"/>
      <c r="PRA23" s="21"/>
      <c r="PRB23" s="21"/>
      <c r="PRC23" s="21"/>
      <c r="PRD23" s="21"/>
      <c r="PRE23" s="21"/>
      <c r="PRF23" s="21"/>
      <c r="PRG23" s="21"/>
      <c r="PRH23" s="21"/>
      <c r="PRI23" s="21"/>
      <c r="PRJ23" s="21"/>
      <c r="PRK23" s="21"/>
      <c r="PRL23" s="21"/>
      <c r="PRM23" s="21"/>
      <c r="PRN23" s="21"/>
      <c r="PRO23" s="21"/>
      <c r="PRP23" s="21"/>
      <c r="PRQ23" s="21"/>
      <c r="PRR23" s="21"/>
      <c r="PRS23" s="21"/>
      <c r="PRT23" s="21"/>
      <c r="PRU23" s="21"/>
      <c r="PRV23" s="21"/>
      <c r="PRW23" s="21"/>
      <c r="PRX23" s="21"/>
      <c r="PRY23" s="21"/>
      <c r="PRZ23" s="21"/>
      <c r="PSA23" s="21"/>
      <c r="PSB23" s="21"/>
      <c r="PSC23" s="21"/>
      <c r="PSD23" s="21"/>
      <c r="PSE23" s="21"/>
      <c r="PSF23" s="21"/>
      <c r="PSG23" s="21"/>
      <c r="PSH23" s="21"/>
      <c r="PSI23" s="21"/>
      <c r="PSJ23" s="21"/>
      <c r="PSK23" s="21"/>
      <c r="PSL23" s="21"/>
      <c r="PSM23" s="21"/>
      <c r="PSN23" s="21"/>
      <c r="PSO23" s="21"/>
      <c r="PSP23" s="21"/>
      <c r="PSQ23" s="21"/>
      <c r="PSR23" s="21"/>
      <c r="PSS23" s="21"/>
      <c r="PST23" s="21"/>
      <c r="PSU23" s="21"/>
      <c r="PSV23" s="21"/>
      <c r="PSW23" s="21"/>
      <c r="PSX23" s="21"/>
      <c r="PSY23" s="21"/>
      <c r="PSZ23" s="21"/>
      <c r="PTA23" s="21"/>
      <c r="PTB23" s="21"/>
      <c r="PTC23" s="21"/>
      <c r="PTD23" s="21"/>
      <c r="PTE23" s="21"/>
      <c r="PTF23" s="21"/>
      <c r="PTG23" s="21"/>
      <c r="PTH23" s="21"/>
      <c r="PTI23" s="21"/>
      <c r="PTJ23" s="21"/>
      <c r="PTK23" s="21"/>
      <c r="PTL23" s="21"/>
      <c r="PTM23" s="21"/>
      <c r="PTN23" s="21"/>
      <c r="PTO23" s="21"/>
      <c r="PTP23" s="21"/>
      <c r="PTQ23" s="21"/>
      <c r="PTR23" s="21"/>
      <c r="PTS23" s="21"/>
      <c r="PTT23" s="21"/>
      <c r="PTU23" s="21"/>
      <c r="PTV23" s="21"/>
      <c r="PTW23" s="21"/>
      <c r="PTX23" s="21"/>
      <c r="PTY23" s="21"/>
      <c r="PTZ23" s="21"/>
      <c r="PUA23" s="21"/>
      <c r="PUB23" s="21"/>
      <c r="PUC23" s="21"/>
      <c r="PUD23" s="21"/>
      <c r="PUE23" s="21"/>
      <c r="PUF23" s="21"/>
      <c r="PUG23" s="21"/>
      <c r="PUH23" s="21"/>
      <c r="PUI23" s="21"/>
      <c r="PUJ23" s="21"/>
      <c r="PUK23" s="21"/>
      <c r="PUL23" s="21"/>
      <c r="PUM23" s="21"/>
      <c r="PUN23" s="21"/>
      <c r="PUO23" s="21"/>
      <c r="PUP23" s="21"/>
      <c r="PUQ23" s="21"/>
      <c r="PUR23" s="21"/>
      <c r="PUS23" s="21"/>
      <c r="PUT23" s="21"/>
      <c r="PUU23" s="21"/>
      <c r="PUV23" s="21"/>
      <c r="PUW23" s="21"/>
      <c r="PUX23" s="21"/>
      <c r="PUY23" s="21"/>
      <c r="PUZ23" s="21"/>
      <c r="PVA23" s="21"/>
      <c r="PVB23" s="21"/>
      <c r="PVC23" s="21"/>
      <c r="PVD23" s="21"/>
      <c r="PVE23" s="21"/>
      <c r="PVF23" s="21"/>
      <c r="PVG23" s="21"/>
      <c r="PVH23" s="21"/>
      <c r="PVI23" s="21"/>
      <c r="PVJ23" s="21"/>
      <c r="PVK23" s="21"/>
      <c r="PVL23" s="21"/>
      <c r="PVM23" s="21"/>
      <c r="PVN23" s="21"/>
      <c r="PVO23" s="21"/>
      <c r="PVP23" s="21"/>
      <c r="PVQ23" s="21"/>
      <c r="PVR23" s="21"/>
      <c r="PVS23" s="21"/>
      <c r="PVT23" s="21"/>
      <c r="PVU23" s="21"/>
      <c r="PVV23" s="21"/>
      <c r="PVW23" s="21"/>
      <c r="PVX23" s="21"/>
      <c r="PVY23" s="21"/>
      <c r="PVZ23" s="21"/>
      <c r="PWA23" s="21"/>
      <c r="PWB23" s="21"/>
      <c r="PWC23" s="21"/>
      <c r="PWD23" s="21"/>
      <c r="PWE23" s="21"/>
      <c r="PWF23" s="21"/>
      <c r="PWG23" s="21"/>
      <c r="PWH23" s="21"/>
      <c r="PWI23" s="21"/>
      <c r="PWJ23" s="21"/>
      <c r="PWK23" s="21"/>
      <c r="PWL23" s="21"/>
      <c r="PWM23" s="21"/>
      <c r="PWN23" s="21"/>
      <c r="PWO23" s="21"/>
      <c r="PWP23" s="21"/>
      <c r="PWQ23" s="21"/>
      <c r="PWR23" s="21"/>
      <c r="PWS23" s="21"/>
      <c r="PWT23" s="21"/>
      <c r="PWU23" s="21"/>
      <c r="PWV23" s="21"/>
      <c r="PWW23" s="21"/>
      <c r="PWX23" s="21"/>
      <c r="PWY23" s="21"/>
      <c r="PWZ23" s="21"/>
      <c r="PXA23" s="21"/>
      <c r="PXB23" s="21"/>
      <c r="PXC23" s="21"/>
      <c r="PXD23" s="21"/>
      <c r="PXE23" s="21"/>
      <c r="PXF23" s="21"/>
      <c r="PXG23" s="21"/>
      <c r="PXH23" s="21"/>
      <c r="PXI23" s="21"/>
      <c r="PXJ23" s="21"/>
      <c r="PXK23" s="21"/>
      <c r="PXL23" s="21"/>
      <c r="PXM23" s="21"/>
      <c r="PXN23" s="21"/>
      <c r="PXO23" s="21"/>
      <c r="PXP23" s="21"/>
      <c r="PXQ23" s="21"/>
      <c r="PXR23" s="21"/>
      <c r="PXS23" s="21"/>
      <c r="PXT23" s="21"/>
      <c r="PXU23" s="21"/>
      <c r="PXV23" s="21"/>
      <c r="PXW23" s="21"/>
      <c r="PXX23" s="21"/>
      <c r="PXY23" s="21"/>
      <c r="PXZ23" s="21"/>
      <c r="PYA23" s="21"/>
      <c r="PYB23" s="21"/>
      <c r="PYC23" s="21"/>
      <c r="PYD23" s="21"/>
      <c r="PYE23" s="21"/>
      <c r="PYF23" s="21"/>
      <c r="PYG23" s="21"/>
      <c r="PYH23" s="21"/>
      <c r="PYI23" s="21"/>
      <c r="PYJ23" s="21"/>
      <c r="PYK23" s="21"/>
      <c r="PYL23" s="21"/>
      <c r="PYM23" s="21"/>
      <c r="PYN23" s="21"/>
      <c r="PYO23" s="21"/>
      <c r="PYP23" s="21"/>
      <c r="PYQ23" s="21"/>
      <c r="PYR23" s="21"/>
      <c r="PYS23" s="21"/>
      <c r="PYT23" s="21"/>
      <c r="PYU23" s="21"/>
      <c r="PYV23" s="21"/>
      <c r="PYW23" s="21"/>
      <c r="PYX23" s="21"/>
      <c r="PYY23" s="21"/>
      <c r="PYZ23" s="21"/>
      <c r="PZA23" s="21"/>
      <c r="PZB23" s="21"/>
      <c r="PZC23" s="21"/>
      <c r="PZD23" s="21"/>
      <c r="PZE23" s="21"/>
      <c r="PZF23" s="21"/>
      <c r="PZG23" s="21"/>
      <c r="PZH23" s="21"/>
      <c r="PZI23" s="21"/>
      <c r="PZJ23" s="21"/>
      <c r="PZK23" s="21"/>
      <c r="PZL23" s="21"/>
      <c r="PZM23" s="21"/>
      <c r="PZN23" s="21"/>
      <c r="PZO23" s="21"/>
      <c r="PZP23" s="21"/>
      <c r="PZQ23" s="21"/>
      <c r="PZR23" s="21"/>
      <c r="PZS23" s="21"/>
      <c r="PZT23" s="21"/>
      <c r="PZU23" s="21"/>
      <c r="PZV23" s="21"/>
      <c r="PZW23" s="21"/>
      <c r="PZX23" s="21"/>
      <c r="PZY23" s="21"/>
      <c r="PZZ23" s="21"/>
      <c r="QAA23" s="21"/>
      <c r="QAB23" s="21"/>
      <c r="QAC23" s="21"/>
      <c r="QAD23" s="21"/>
      <c r="QAE23" s="21"/>
      <c r="QAF23" s="21"/>
      <c r="QAG23" s="21"/>
      <c r="QAH23" s="21"/>
      <c r="QAI23" s="21"/>
      <c r="QAJ23" s="21"/>
      <c r="QAK23" s="21"/>
      <c r="QAL23" s="21"/>
      <c r="QAM23" s="21"/>
      <c r="QAN23" s="21"/>
      <c r="QAO23" s="21"/>
      <c r="QAP23" s="21"/>
      <c r="QAQ23" s="21"/>
      <c r="QAR23" s="21"/>
      <c r="QAS23" s="21"/>
      <c r="QAT23" s="21"/>
      <c r="QAU23" s="21"/>
      <c r="QAV23" s="21"/>
      <c r="QAW23" s="21"/>
      <c r="QAX23" s="21"/>
      <c r="QAY23" s="21"/>
      <c r="QAZ23" s="21"/>
      <c r="QBA23" s="21"/>
      <c r="QBB23" s="21"/>
      <c r="QBC23" s="21"/>
      <c r="QBD23" s="21"/>
      <c r="QBE23" s="21"/>
      <c r="QBF23" s="21"/>
      <c r="QBG23" s="21"/>
      <c r="QBH23" s="21"/>
      <c r="QBI23" s="21"/>
      <c r="QBJ23" s="21"/>
      <c r="QBK23" s="21"/>
      <c r="QBL23" s="21"/>
      <c r="QBM23" s="21"/>
      <c r="QBN23" s="21"/>
      <c r="QBO23" s="21"/>
      <c r="QBP23" s="21"/>
      <c r="QBQ23" s="21"/>
      <c r="QBR23" s="21"/>
      <c r="QBS23" s="21"/>
      <c r="QBT23" s="21"/>
      <c r="QBU23" s="21"/>
      <c r="QBV23" s="21"/>
      <c r="QBW23" s="21"/>
      <c r="QBX23" s="21"/>
      <c r="QBY23" s="21"/>
      <c r="QBZ23" s="21"/>
      <c r="QCA23" s="21"/>
      <c r="QCB23" s="21"/>
      <c r="QCC23" s="21"/>
      <c r="QCD23" s="21"/>
      <c r="QCE23" s="21"/>
      <c r="QCF23" s="21"/>
      <c r="QCG23" s="21"/>
      <c r="QCH23" s="21"/>
      <c r="QCI23" s="21"/>
      <c r="QCJ23" s="21"/>
      <c r="QCK23" s="21"/>
      <c r="QCL23" s="21"/>
      <c r="QCM23" s="21"/>
      <c r="QCN23" s="21"/>
      <c r="QCO23" s="21"/>
      <c r="QCP23" s="21"/>
      <c r="QCQ23" s="21"/>
      <c r="QCR23" s="21"/>
      <c r="QCS23" s="21"/>
      <c r="QCT23" s="21"/>
      <c r="QCU23" s="21"/>
      <c r="QCV23" s="21"/>
      <c r="QCW23" s="21"/>
      <c r="QCX23" s="21"/>
      <c r="QCY23" s="21"/>
      <c r="QCZ23" s="21"/>
      <c r="QDA23" s="21"/>
      <c r="QDB23" s="21"/>
      <c r="QDC23" s="21"/>
      <c r="QDD23" s="21"/>
      <c r="QDE23" s="21"/>
      <c r="QDF23" s="21"/>
      <c r="QDG23" s="21"/>
      <c r="QDH23" s="21"/>
      <c r="QDI23" s="21"/>
      <c r="QDJ23" s="21"/>
      <c r="QDK23" s="21"/>
      <c r="QDL23" s="21"/>
      <c r="QDM23" s="21"/>
      <c r="QDN23" s="21"/>
      <c r="QDO23" s="21"/>
      <c r="QDP23" s="21"/>
      <c r="QDQ23" s="21"/>
      <c r="QDR23" s="21"/>
      <c r="QDS23" s="21"/>
      <c r="QDT23" s="21"/>
      <c r="QDU23" s="21"/>
      <c r="QDV23" s="21"/>
      <c r="QDW23" s="21"/>
      <c r="QDX23" s="21"/>
      <c r="QDY23" s="21"/>
      <c r="QDZ23" s="21"/>
      <c r="QEA23" s="21"/>
      <c r="QEB23" s="21"/>
      <c r="QEC23" s="21"/>
      <c r="QED23" s="21"/>
      <c r="QEE23" s="21"/>
      <c r="QEF23" s="21"/>
      <c r="QEG23" s="21"/>
      <c r="QEH23" s="21"/>
      <c r="QEI23" s="21"/>
      <c r="QEJ23" s="21"/>
      <c r="QEK23" s="21"/>
      <c r="QEL23" s="21"/>
      <c r="QEM23" s="21"/>
      <c r="QEN23" s="21"/>
      <c r="QEO23" s="21"/>
      <c r="QEP23" s="21"/>
      <c r="QEQ23" s="21"/>
      <c r="QER23" s="21"/>
      <c r="QES23" s="21"/>
      <c r="QET23" s="21"/>
      <c r="QEU23" s="21"/>
      <c r="QEV23" s="21"/>
      <c r="QEW23" s="21"/>
      <c r="QEX23" s="21"/>
      <c r="QEY23" s="21"/>
      <c r="QEZ23" s="21"/>
      <c r="QFA23" s="21"/>
      <c r="QFB23" s="21"/>
      <c r="QFC23" s="21"/>
      <c r="QFD23" s="21"/>
      <c r="QFE23" s="21"/>
      <c r="QFF23" s="21"/>
      <c r="QFG23" s="21"/>
      <c r="QFH23" s="21"/>
      <c r="QFI23" s="21"/>
      <c r="QFJ23" s="21"/>
      <c r="QFK23" s="21"/>
      <c r="QFL23" s="21"/>
      <c r="QFM23" s="21"/>
      <c r="QFN23" s="21"/>
      <c r="QFO23" s="21"/>
      <c r="QFP23" s="21"/>
      <c r="QFQ23" s="21"/>
      <c r="QFR23" s="21"/>
      <c r="QFS23" s="21"/>
      <c r="QFT23" s="21"/>
      <c r="QFU23" s="21"/>
      <c r="QFV23" s="21"/>
      <c r="QFW23" s="21"/>
      <c r="QFX23" s="21"/>
      <c r="QFY23" s="21"/>
      <c r="QFZ23" s="21"/>
      <c r="QGA23" s="21"/>
      <c r="QGB23" s="21"/>
      <c r="QGC23" s="21"/>
      <c r="QGD23" s="21"/>
      <c r="QGE23" s="21"/>
      <c r="QGF23" s="21"/>
      <c r="QGG23" s="21"/>
      <c r="QGH23" s="21"/>
      <c r="QGI23" s="21"/>
      <c r="QGJ23" s="21"/>
      <c r="QGK23" s="21"/>
      <c r="QGL23" s="21"/>
      <c r="QGM23" s="21"/>
      <c r="QGN23" s="21"/>
      <c r="QGO23" s="21"/>
      <c r="QGP23" s="21"/>
      <c r="QGQ23" s="21"/>
      <c r="QGR23" s="21"/>
      <c r="QGS23" s="21"/>
      <c r="QGT23" s="21"/>
      <c r="QGU23" s="21"/>
      <c r="QGV23" s="21"/>
      <c r="QGW23" s="21"/>
      <c r="QGX23" s="21"/>
      <c r="QGY23" s="21"/>
      <c r="QGZ23" s="21"/>
      <c r="QHA23" s="21"/>
      <c r="QHB23" s="21"/>
      <c r="QHC23" s="21"/>
      <c r="QHD23" s="21"/>
      <c r="QHE23" s="21"/>
      <c r="QHF23" s="21"/>
      <c r="QHG23" s="21"/>
      <c r="QHH23" s="21"/>
      <c r="QHI23" s="21"/>
      <c r="QHJ23" s="21"/>
      <c r="QHK23" s="21"/>
      <c r="QHL23" s="21"/>
      <c r="QHM23" s="21"/>
      <c r="QHN23" s="21"/>
      <c r="QHO23" s="21"/>
      <c r="QHP23" s="21"/>
      <c r="QHQ23" s="21"/>
      <c r="QHR23" s="21"/>
      <c r="QHS23" s="21"/>
      <c r="QHT23" s="21"/>
      <c r="QHU23" s="21"/>
      <c r="QHV23" s="21"/>
      <c r="QHW23" s="21"/>
      <c r="QHX23" s="21"/>
      <c r="QHY23" s="21"/>
      <c r="QHZ23" s="21"/>
      <c r="QIA23" s="21"/>
      <c r="QIB23" s="21"/>
      <c r="QIC23" s="21"/>
      <c r="QID23" s="21"/>
      <c r="QIE23" s="21"/>
      <c r="QIF23" s="21"/>
      <c r="QIG23" s="21"/>
      <c r="QIH23" s="21"/>
      <c r="QII23" s="21"/>
      <c r="QIJ23" s="21"/>
      <c r="QIK23" s="21"/>
      <c r="QIL23" s="21"/>
      <c r="QIM23" s="21"/>
      <c r="QIN23" s="21"/>
      <c r="QIO23" s="21"/>
      <c r="QIP23" s="21"/>
      <c r="QIQ23" s="21"/>
      <c r="QIR23" s="21"/>
      <c r="QIS23" s="21"/>
      <c r="QIT23" s="21"/>
      <c r="QIU23" s="21"/>
      <c r="QIV23" s="21"/>
      <c r="QIW23" s="21"/>
      <c r="QIX23" s="21"/>
      <c r="QIY23" s="21"/>
      <c r="QIZ23" s="21"/>
      <c r="QJA23" s="21"/>
      <c r="QJB23" s="21"/>
      <c r="QJC23" s="21"/>
      <c r="QJD23" s="21"/>
      <c r="QJE23" s="21"/>
      <c r="QJF23" s="21"/>
      <c r="QJG23" s="21"/>
      <c r="QJH23" s="21"/>
      <c r="QJI23" s="21"/>
      <c r="QJJ23" s="21"/>
      <c r="QJK23" s="21"/>
      <c r="QJL23" s="21"/>
      <c r="QJM23" s="21"/>
      <c r="QJN23" s="21"/>
      <c r="QJO23" s="21"/>
      <c r="QJP23" s="21"/>
      <c r="QJQ23" s="21"/>
      <c r="QJR23" s="21"/>
      <c r="QJS23" s="21"/>
      <c r="QJT23" s="21"/>
      <c r="QJU23" s="21"/>
      <c r="QJV23" s="21"/>
      <c r="QJW23" s="21"/>
      <c r="QJX23" s="21"/>
      <c r="QJY23" s="21"/>
      <c r="QJZ23" s="21"/>
      <c r="QKA23" s="21"/>
      <c r="QKB23" s="21"/>
      <c r="QKC23" s="21"/>
      <c r="QKD23" s="21"/>
      <c r="QKE23" s="21"/>
      <c r="QKF23" s="21"/>
      <c r="QKG23" s="21"/>
      <c r="QKH23" s="21"/>
      <c r="QKI23" s="21"/>
      <c r="QKJ23" s="21"/>
      <c r="QKK23" s="21"/>
      <c r="QKL23" s="21"/>
      <c r="QKM23" s="21"/>
      <c r="QKN23" s="21"/>
      <c r="QKO23" s="21"/>
      <c r="QKP23" s="21"/>
      <c r="QKQ23" s="21"/>
      <c r="QKR23" s="21"/>
      <c r="QKS23" s="21"/>
      <c r="QKT23" s="21"/>
      <c r="QKU23" s="21"/>
      <c r="QKV23" s="21"/>
      <c r="QKW23" s="21"/>
      <c r="QKX23" s="21"/>
      <c r="QKY23" s="21"/>
      <c r="QKZ23" s="21"/>
      <c r="QLA23" s="21"/>
      <c r="QLB23" s="21"/>
      <c r="QLC23" s="21"/>
      <c r="QLD23" s="21"/>
      <c r="QLE23" s="21"/>
      <c r="QLF23" s="21"/>
      <c r="QLG23" s="21"/>
      <c r="QLH23" s="21"/>
      <c r="QLI23" s="21"/>
      <c r="QLJ23" s="21"/>
      <c r="QLK23" s="21"/>
      <c r="QLL23" s="21"/>
      <c r="QLM23" s="21"/>
      <c r="QLN23" s="21"/>
      <c r="QLO23" s="21"/>
      <c r="QLP23" s="21"/>
      <c r="QLQ23" s="21"/>
      <c r="QLR23" s="21"/>
      <c r="QLS23" s="21"/>
      <c r="QLT23" s="21"/>
      <c r="QLU23" s="21"/>
      <c r="QLV23" s="21"/>
      <c r="QLW23" s="21"/>
      <c r="QLX23" s="21"/>
      <c r="QLY23" s="21"/>
      <c r="QLZ23" s="21"/>
      <c r="QMA23" s="21"/>
      <c r="QMB23" s="21"/>
      <c r="QMC23" s="21"/>
      <c r="QMD23" s="21"/>
      <c r="QME23" s="21"/>
      <c r="QMF23" s="21"/>
      <c r="QMG23" s="21"/>
      <c r="QMH23" s="21"/>
      <c r="QMI23" s="21"/>
      <c r="QMJ23" s="21"/>
      <c r="QMK23" s="21"/>
      <c r="QML23" s="21"/>
      <c r="QMM23" s="21"/>
      <c r="QMN23" s="21"/>
      <c r="QMO23" s="21"/>
      <c r="QMP23" s="21"/>
      <c r="QMQ23" s="21"/>
      <c r="QMR23" s="21"/>
      <c r="QMS23" s="21"/>
      <c r="QMT23" s="21"/>
      <c r="QMU23" s="21"/>
      <c r="QMV23" s="21"/>
      <c r="QMW23" s="21"/>
      <c r="QMX23" s="21"/>
      <c r="QMY23" s="21"/>
      <c r="QMZ23" s="21"/>
      <c r="QNA23" s="21"/>
      <c r="QNB23" s="21"/>
      <c r="QNC23" s="21"/>
      <c r="QND23" s="21"/>
      <c r="QNE23" s="21"/>
      <c r="QNF23" s="21"/>
      <c r="QNG23" s="21"/>
      <c r="QNH23" s="21"/>
      <c r="QNI23" s="21"/>
      <c r="QNJ23" s="21"/>
      <c r="QNK23" s="21"/>
      <c r="QNL23" s="21"/>
      <c r="QNM23" s="21"/>
      <c r="QNN23" s="21"/>
      <c r="QNO23" s="21"/>
      <c r="QNP23" s="21"/>
      <c r="QNQ23" s="21"/>
      <c r="QNR23" s="21"/>
      <c r="QNS23" s="21"/>
      <c r="QNT23" s="21"/>
      <c r="QNU23" s="21"/>
      <c r="QNV23" s="21"/>
      <c r="QNW23" s="21"/>
      <c r="QNX23" s="21"/>
      <c r="QNY23" s="21"/>
      <c r="QNZ23" s="21"/>
      <c r="QOA23" s="21"/>
      <c r="QOB23" s="21"/>
      <c r="QOC23" s="21"/>
      <c r="QOD23" s="21"/>
      <c r="QOE23" s="21"/>
      <c r="QOF23" s="21"/>
      <c r="QOG23" s="21"/>
      <c r="QOH23" s="21"/>
      <c r="QOI23" s="21"/>
      <c r="QOJ23" s="21"/>
      <c r="QOK23" s="21"/>
      <c r="QOL23" s="21"/>
      <c r="QOM23" s="21"/>
      <c r="QON23" s="21"/>
      <c r="QOO23" s="21"/>
      <c r="QOP23" s="21"/>
      <c r="QOQ23" s="21"/>
      <c r="QOR23" s="21"/>
      <c r="QOS23" s="21"/>
      <c r="QOT23" s="21"/>
      <c r="QOU23" s="21"/>
      <c r="QOV23" s="21"/>
      <c r="QOW23" s="21"/>
      <c r="QOX23" s="21"/>
      <c r="QOY23" s="21"/>
      <c r="QOZ23" s="21"/>
      <c r="QPA23" s="21"/>
      <c r="QPB23" s="21"/>
      <c r="QPC23" s="21"/>
      <c r="QPD23" s="21"/>
      <c r="QPE23" s="21"/>
      <c r="QPF23" s="21"/>
      <c r="QPG23" s="21"/>
      <c r="QPH23" s="21"/>
      <c r="QPI23" s="21"/>
      <c r="QPJ23" s="21"/>
      <c r="QPK23" s="21"/>
      <c r="QPL23" s="21"/>
      <c r="QPM23" s="21"/>
      <c r="QPN23" s="21"/>
      <c r="QPO23" s="21"/>
      <c r="QPP23" s="21"/>
      <c r="QPQ23" s="21"/>
      <c r="QPR23" s="21"/>
      <c r="QPS23" s="21"/>
      <c r="QPT23" s="21"/>
      <c r="QPU23" s="21"/>
      <c r="QPV23" s="21"/>
      <c r="QPW23" s="21"/>
      <c r="QPX23" s="21"/>
      <c r="QPY23" s="21"/>
      <c r="QPZ23" s="21"/>
      <c r="QQA23" s="21"/>
      <c r="QQB23" s="21"/>
      <c r="QQC23" s="21"/>
      <c r="QQD23" s="21"/>
      <c r="QQE23" s="21"/>
      <c r="QQF23" s="21"/>
      <c r="QQG23" s="21"/>
      <c r="QQH23" s="21"/>
      <c r="QQI23" s="21"/>
      <c r="QQJ23" s="21"/>
      <c r="QQK23" s="21"/>
      <c r="QQL23" s="21"/>
      <c r="QQM23" s="21"/>
      <c r="QQN23" s="21"/>
      <c r="QQO23" s="21"/>
      <c r="QQP23" s="21"/>
      <c r="QQQ23" s="21"/>
      <c r="QQR23" s="21"/>
      <c r="QQS23" s="21"/>
      <c r="QQT23" s="21"/>
      <c r="QQU23" s="21"/>
      <c r="QQV23" s="21"/>
      <c r="QQW23" s="21"/>
      <c r="QQX23" s="21"/>
      <c r="QQY23" s="21"/>
      <c r="QQZ23" s="21"/>
      <c r="QRA23" s="21"/>
      <c r="QRB23" s="21"/>
      <c r="QRC23" s="21"/>
      <c r="QRD23" s="21"/>
      <c r="QRE23" s="21"/>
      <c r="QRF23" s="21"/>
      <c r="QRG23" s="21"/>
      <c r="QRH23" s="21"/>
      <c r="QRI23" s="21"/>
      <c r="QRJ23" s="21"/>
      <c r="QRK23" s="21"/>
      <c r="QRL23" s="21"/>
      <c r="QRM23" s="21"/>
      <c r="QRN23" s="21"/>
      <c r="QRO23" s="21"/>
      <c r="QRP23" s="21"/>
      <c r="QRQ23" s="21"/>
      <c r="QRR23" s="21"/>
      <c r="QRS23" s="21"/>
      <c r="QRT23" s="21"/>
      <c r="QRU23" s="21"/>
      <c r="QRV23" s="21"/>
      <c r="QRW23" s="21"/>
      <c r="QRX23" s="21"/>
      <c r="QRY23" s="21"/>
      <c r="QRZ23" s="21"/>
      <c r="QSA23" s="21"/>
      <c r="QSB23" s="21"/>
      <c r="QSC23" s="21"/>
      <c r="QSD23" s="21"/>
      <c r="QSE23" s="21"/>
      <c r="QSF23" s="21"/>
      <c r="QSG23" s="21"/>
      <c r="QSH23" s="21"/>
      <c r="QSI23" s="21"/>
      <c r="QSJ23" s="21"/>
      <c r="QSK23" s="21"/>
      <c r="QSL23" s="21"/>
      <c r="QSM23" s="21"/>
      <c r="QSN23" s="21"/>
      <c r="QSO23" s="21"/>
      <c r="QSP23" s="21"/>
      <c r="QSQ23" s="21"/>
      <c r="QSR23" s="21"/>
      <c r="QSS23" s="21"/>
      <c r="QST23" s="21"/>
      <c r="QSU23" s="21"/>
      <c r="QSV23" s="21"/>
      <c r="QSW23" s="21"/>
      <c r="QSX23" s="21"/>
      <c r="QSY23" s="21"/>
      <c r="QSZ23" s="21"/>
      <c r="QTA23" s="21"/>
      <c r="QTB23" s="21"/>
      <c r="QTC23" s="21"/>
      <c r="QTD23" s="21"/>
      <c r="QTE23" s="21"/>
      <c r="QTF23" s="21"/>
      <c r="QTG23" s="21"/>
      <c r="QTH23" s="21"/>
      <c r="QTI23" s="21"/>
      <c r="QTJ23" s="21"/>
      <c r="QTK23" s="21"/>
      <c r="QTL23" s="21"/>
      <c r="QTM23" s="21"/>
      <c r="QTN23" s="21"/>
      <c r="QTO23" s="21"/>
      <c r="QTP23" s="21"/>
      <c r="QTQ23" s="21"/>
      <c r="QTR23" s="21"/>
      <c r="QTS23" s="21"/>
      <c r="QTT23" s="21"/>
      <c r="QTU23" s="21"/>
      <c r="QTV23" s="21"/>
      <c r="QTW23" s="21"/>
      <c r="QTX23" s="21"/>
      <c r="QTY23" s="21"/>
      <c r="QTZ23" s="21"/>
      <c r="QUA23" s="21"/>
      <c r="QUB23" s="21"/>
      <c r="QUC23" s="21"/>
      <c r="QUD23" s="21"/>
      <c r="QUE23" s="21"/>
      <c r="QUF23" s="21"/>
      <c r="QUG23" s="21"/>
      <c r="QUH23" s="21"/>
      <c r="QUI23" s="21"/>
      <c r="QUJ23" s="21"/>
      <c r="QUK23" s="21"/>
      <c r="QUL23" s="21"/>
      <c r="QUM23" s="21"/>
      <c r="QUN23" s="21"/>
      <c r="QUO23" s="21"/>
      <c r="QUP23" s="21"/>
      <c r="QUQ23" s="21"/>
      <c r="QUR23" s="21"/>
      <c r="QUS23" s="21"/>
      <c r="QUT23" s="21"/>
      <c r="QUU23" s="21"/>
      <c r="QUV23" s="21"/>
      <c r="QUW23" s="21"/>
      <c r="QUX23" s="21"/>
      <c r="QUY23" s="21"/>
      <c r="QUZ23" s="21"/>
      <c r="QVA23" s="21"/>
      <c r="QVB23" s="21"/>
      <c r="QVC23" s="21"/>
      <c r="QVD23" s="21"/>
      <c r="QVE23" s="21"/>
      <c r="QVF23" s="21"/>
      <c r="QVG23" s="21"/>
      <c r="QVH23" s="21"/>
      <c r="QVI23" s="21"/>
      <c r="QVJ23" s="21"/>
      <c r="QVK23" s="21"/>
      <c r="QVL23" s="21"/>
      <c r="QVM23" s="21"/>
      <c r="QVN23" s="21"/>
      <c r="QVO23" s="21"/>
      <c r="QVP23" s="21"/>
      <c r="QVQ23" s="21"/>
      <c r="QVR23" s="21"/>
      <c r="QVS23" s="21"/>
      <c r="QVT23" s="21"/>
      <c r="QVU23" s="21"/>
      <c r="QVV23" s="21"/>
      <c r="QVW23" s="21"/>
      <c r="QVX23" s="21"/>
      <c r="QVY23" s="21"/>
      <c r="QVZ23" s="21"/>
      <c r="QWA23" s="21"/>
      <c r="QWB23" s="21"/>
      <c r="QWC23" s="21"/>
      <c r="QWD23" s="21"/>
      <c r="QWE23" s="21"/>
      <c r="QWF23" s="21"/>
      <c r="QWG23" s="21"/>
      <c r="QWH23" s="21"/>
      <c r="QWI23" s="21"/>
      <c r="QWJ23" s="21"/>
      <c r="QWK23" s="21"/>
      <c r="QWL23" s="21"/>
      <c r="QWM23" s="21"/>
      <c r="QWN23" s="21"/>
      <c r="QWO23" s="21"/>
      <c r="QWP23" s="21"/>
      <c r="QWQ23" s="21"/>
      <c r="QWR23" s="21"/>
      <c r="QWS23" s="21"/>
      <c r="QWT23" s="21"/>
      <c r="QWU23" s="21"/>
      <c r="QWV23" s="21"/>
      <c r="QWW23" s="21"/>
      <c r="QWX23" s="21"/>
      <c r="QWY23" s="21"/>
      <c r="QWZ23" s="21"/>
      <c r="QXA23" s="21"/>
      <c r="QXB23" s="21"/>
      <c r="QXC23" s="21"/>
      <c r="QXD23" s="21"/>
      <c r="QXE23" s="21"/>
      <c r="QXF23" s="21"/>
      <c r="QXG23" s="21"/>
      <c r="QXH23" s="21"/>
      <c r="QXI23" s="21"/>
      <c r="QXJ23" s="21"/>
      <c r="QXK23" s="21"/>
      <c r="QXL23" s="21"/>
      <c r="QXM23" s="21"/>
      <c r="QXN23" s="21"/>
      <c r="QXO23" s="21"/>
      <c r="QXP23" s="21"/>
      <c r="QXQ23" s="21"/>
      <c r="QXR23" s="21"/>
      <c r="QXS23" s="21"/>
      <c r="QXT23" s="21"/>
      <c r="QXU23" s="21"/>
      <c r="QXV23" s="21"/>
      <c r="QXW23" s="21"/>
      <c r="QXX23" s="21"/>
      <c r="QXY23" s="21"/>
      <c r="QXZ23" s="21"/>
      <c r="QYA23" s="21"/>
      <c r="QYB23" s="21"/>
      <c r="QYC23" s="21"/>
      <c r="QYD23" s="21"/>
      <c r="QYE23" s="21"/>
      <c r="QYF23" s="21"/>
      <c r="QYG23" s="21"/>
      <c r="QYH23" s="21"/>
      <c r="QYI23" s="21"/>
      <c r="QYJ23" s="21"/>
      <c r="QYK23" s="21"/>
      <c r="QYL23" s="21"/>
      <c r="QYM23" s="21"/>
      <c r="QYN23" s="21"/>
      <c r="QYO23" s="21"/>
      <c r="QYP23" s="21"/>
      <c r="QYQ23" s="21"/>
      <c r="QYR23" s="21"/>
      <c r="QYS23" s="21"/>
      <c r="QYT23" s="21"/>
      <c r="QYU23" s="21"/>
      <c r="QYV23" s="21"/>
      <c r="QYW23" s="21"/>
      <c r="QYX23" s="21"/>
      <c r="QYY23" s="21"/>
      <c r="QYZ23" s="21"/>
      <c r="QZA23" s="21"/>
      <c r="QZB23" s="21"/>
      <c r="QZC23" s="21"/>
      <c r="QZD23" s="21"/>
      <c r="QZE23" s="21"/>
      <c r="QZF23" s="21"/>
      <c r="QZG23" s="21"/>
      <c r="QZH23" s="21"/>
      <c r="QZI23" s="21"/>
      <c r="QZJ23" s="21"/>
      <c r="QZK23" s="21"/>
      <c r="QZL23" s="21"/>
      <c r="QZM23" s="21"/>
      <c r="QZN23" s="21"/>
      <c r="QZO23" s="21"/>
      <c r="QZP23" s="21"/>
      <c r="QZQ23" s="21"/>
      <c r="QZR23" s="21"/>
      <c r="QZS23" s="21"/>
      <c r="QZT23" s="21"/>
      <c r="QZU23" s="21"/>
      <c r="QZV23" s="21"/>
      <c r="QZW23" s="21"/>
      <c r="QZX23" s="21"/>
      <c r="QZY23" s="21"/>
      <c r="QZZ23" s="21"/>
      <c r="RAA23" s="21"/>
      <c r="RAB23" s="21"/>
      <c r="RAC23" s="21"/>
      <c r="RAD23" s="21"/>
      <c r="RAE23" s="21"/>
      <c r="RAF23" s="21"/>
      <c r="RAG23" s="21"/>
      <c r="RAH23" s="21"/>
      <c r="RAI23" s="21"/>
      <c r="RAJ23" s="21"/>
      <c r="RAK23" s="21"/>
      <c r="RAL23" s="21"/>
      <c r="RAM23" s="21"/>
      <c r="RAN23" s="21"/>
      <c r="RAO23" s="21"/>
      <c r="RAP23" s="21"/>
      <c r="RAQ23" s="21"/>
      <c r="RAR23" s="21"/>
      <c r="RAS23" s="21"/>
      <c r="RAT23" s="21"/>
      <c r="RAU23" s="21"/>
      <c r="RAV23" s="21"/>
      <c r="RAW23" s="21"/>
      <c r="RAX23" s="21"/>
      <c r="RAY23" s="21"/>
      <c r="RAZ23" s="21"/>
      <c r="RBA23" s="21"/>
      <c r="RBB23" s="21"/>
      <c r="RBC23" s="21"/>
      <c r="RBD23" s="21"/>
      <c r="RBE23" s="21"/>
      <c r="RBF23" s="21"/>
      <c r="RBG23" s="21"/>
      <c r="RBH23" s="21"/>
      <c r="RBI23" s="21"/>
      <c r="RBJ23" s="21"/>
      <c r="RBK23" s="21"/>
      <c r="RBL23" s="21"/>
      <c r="RBM23" s="21"/>
      <c r="RBN23" s="21"/>
      <c r="RBO23" s="21"/>
      <c r="RBP23" s="21"/>
      <c r="RBQ23" s="21"/>
      <c r="RBR23" s="21"/>
      <c r="RBS23" s="21"/>
      <c r="RBT23" s="21"/>
      <c r="RBU23" s="21"/>
      <c r="RBV23" s="21"/>
      <c r="RBW23" s="21"/>
      <c r="RBX23" s="21"/>
      <c r="RBY23" s="21"/>
      <c r="RBZ23" s="21"/>
      <c r="RCA23" s="21"/>
      <c r="RCB23" s="21"/>
      <c r="RCC23" s="21"/>
      <c r="RCD23" s="21"/>
      <c r="RCE23" s="21"/>
      <c r="RCF23" s="21"/>
      <c r="RCG23" s="21"/>
      <c r="RCH23" s="21"/>
      <c r="RCI23" s="21"/>
      <c r="RCJ23" s="21"/>
      <c r="RCK23" s="21"/>
      <c r="RCL23" s="21"/>
      <c r="RCM23" s="21"/>
      <c r="RCN23" s="21"/>
      <c r="RCO23" s="21"/>
      <c r="RCP23" s="21"/>
      <c r="RCQ23" s="21"/>
      <c r="RCR23" s="21"/>
      <c r="RCS23" s="21"/>
      <c r="RCT23" s="21"/>
      <c r="RCU23" s="21"/>
      <c r="RCV23" s="21"/>
      <c r="RCW23" s="21"/>
      <c r="RCX23" s="21"/>
      <c r="RCY23" s="21"/>
      <c r="RCZ23" s="21"/>
      <c r="RDA23" s="21"/>
      <c r="RDB23" s="21"/>
      <c r="RDC23" s="21"/>
      <c r="RDD23" s="21"/>
      <c r="RDE23" s="21"/>
      <c r="RDF23" s="21"/>
      <c r="RDG23" s="21"/>
      <c r="RDH23" s="21"/>
      <c r="RDI23" s="21"/>
      <c r="RDJ23" s="21"/>
      <c r="RDK23" s="21"/>
      <c r="RDL23" s="21"/>
      <c r="RDM23" s="21"/>
      <c r="RDN23" s="21"/>
      <c r="RDO23" s="21"/>
      <c r="RDP23" s="21"/>
      <c r="RDQ23" s="21"/>
      <c r="RDR23" s="21"/>
      <c r="RDS23" s="21"/>
      <c r="RDT23" s="21"/>
      <c r="RDU23" s="21"/>
      <c r="RDV23" s="21"/>
      <c r="RDW23" s="21"/>
      <c r="RDX23" s="21"/>
      <c r="RDY23" s="21"/>
      <c r="RDZ23" s="21"/>
      <c r="REA23" s="21"/>
      <c r="REB23" s="21"/>
      <c r="REC23" s="21"/>
      <c r="RED23" s="21"/>
      <c r="REE23" s="21"/>
      <c r="REF23" s="21"/>
      <c r="REG23" s="21"/>
      <c r="REH23" s="21"/>
      <c r="REI23" s="21"/>
      <c r="REJ23" s="21"/>
      <c r="REK23" s="21"/>
      <c r="REL23" s="21"/>
      <c r="REM23" s="21"/>
      <c r="REN23" s="21"/>
      <c r="REO23" s="21"/>
      <c r="REP23" s="21"/>
      <c r="REQ23" s="21"/>
      <c r="RER23" s="21"/>
      <c r="RES23" s="21"/>
      <c r="RET23" s="21"/>
      <c r="REU23" s="21"/>
      <c r="REV23" s="21"/>
      <c r="REW23" s="21"/>
      <c r="REX23" s="21"/>
      <c r="REY23" s="21"/>
      <c r="REZ23" s="21"/>
      <c r="RFA23" s="21"/>
      <c r="RFB23" s="21"/>
      <c r="RFC23" s="21"/>
      <c r="RFD23" s="21"/>
      <c r="RFE23" s="21"/>
      <c r="RFF23" s="21"/>
      <c r="RFG23" s="21"/>
      <c r="RFH23" s="21"/>
      <c r="RFI23" s="21"/>
      <c r="RFJ23" s="21"/>
      <c r="RFK23" s="21"/>
      <c r="RFL23" s="21"/>
      <c r="RFM23" s="21"/>
      <c r="RFN23" s="21"/>
      <c r="RFO23" s="21"/>
      <c r="RFP23" s="21"/>
      <c r="RFQ23" s="21"/>
      <c r="RFR23" s="21"/>
      <c r="RFS23" s="21"/>
      <c r="RFT23" s="21"/>
      <c r="RFU23" s="21"/>
      <c r="RFV23" s="21"/>
      <c r="RFW23" s="21"/>
      <c r="RFX23" s="21"/>
      <c r="RFY23" s="21"/>
      <c r="RFZ23" s="21"/>
      <c r="RGA23" s="21"/>
      <c r="RGB23" s="21"/>
      <c r="RGC23" s="21"/>
      <c r="RGD23" s="21"/>
      <c r="RGE23" s="21"/>
      <c r="RGF23" s="21"/>
      <c r="RGG23" s="21"/>
      <c r="RGH23" s="21"/>
      <c r="RGI23" s="21"/>
      <c r="RGJ23" s="21"/>
      <c r="RGK23" s="21"/>
      <c r="RGL23" s="21"/>
      <c r="RGM23" s="21"/>
      <c r="RGN23" s="21"/>
      <c r="RGO23" s="21"/>
      <c r="RGP23" s="21"/>
      <c r="RGQ23" s="21"/>
      <c r="RGR23" s="21"/>
      <c r="RGS23" s="21"/>
      <c r="RGT23" s="21"/>
      <c r="RGU23" s="21"/>
      <c r="RGV23" s="21"/>
      <c r="RGW23" s="21"/>
      <c r="RGX23" s="21"/>
      <c r="RGY23" s="21"/>
      <c r="RGZ23" s="21"/>
      <c r="RHA23" s="21"/>
      <c r="RHB23" s="21"/>
      <c r="RHC23" s="21"/>
      <c r="RHD23" s="21"/>
      <c r="RHE23" s="21"/>
      <c r="RHF23" s="21"/>
      <c r="RHG23" s="21"/>
      <c r="RHH23" s="21"/>
      <c r="RHI23" s="21"/>
      <c r="RHJ23" s="21"/>
      <c r="RHK23" s="21"/>
      <c r="RHL23" s="21"/>
      <c r="RHM23" s="21"/>
      <c r="RHN23" s="21"/>
      <c r="RHO23" s="21"/>
      <c r="RHP23" s="21"/>
      <c r="RHQ23" s="21"/>
      <c r="RHR23" s="21"/>
      <c r="RHS23" s="21"/>
      <c r="RHT23" s="21"/>
      <c r="RHU23" s="21"/>
      <c r="RHV23" s="21"/>
      <c r="RHW23" s="21"/>
      <c r="RHX23" s="21"/>
      <c r="RHY23" s="21"/>
      <c r="RHZ23" s="21"/>
      <c r="RIA23" s="21"/>
      <c r="RIB23" s="21"/>
      <c r="RIC23" s="21"/>
      <c r="RID23" s="21"/>
      <c r="RIE23" s="21"/>
      <c r="RIF23" s="21"/>
      <c r="RIG23" s="21"/>
      <c r="RIH23" s="21"/>
      <c r="RII23" s="21"/>
      <c r="RIJ23" s="21"/>
      <c r="RIK23" s="21"/>
      <c r="RIL23" s="21"/>
      <c r="RIM23" s="21"/>
      <c r="RIN23" s="21"/>
      <c r="RIO23" s="21"/>
      <c r="RIP23" s="21"/>
      <c r="RIQ23" s="21"/>
      <c r="RIR23" s="21"/>
      <c r="RIS23" s="21"/>
      <c r="RIT23" s="21"/>
      <c r="RIU23" s="21"/>
      <c r="RIV23" s="21"/>
      <c r="RIW23" s="21"/>
      <c r="RIX23" s="21"/>
      <c r="RIY23" s="21"/>
      <c r="RIZ23" s="21"/>
      <c r="RJA23" s="21"/>
      <c r="RJB23" s="21"/>
      <c r="RJC23" s="21"/>
      <c r="RJD23" s="21"/>
      <c r="RJE23" s="21"/>
      <c r="RJF23" s="21"/>
      <c r="RJG23" s="21"/>
      <c r="RJH23" s="21"/>
      <c r="RJI23" s="21"/>
      <c r="RJJ23" s="21"/>
      <c r="RJK23" s="21"/>
      <c r="RJL23" s="21"/>
      <c r="RJM23" s="21"/>
      <c r="RJN23" s="21"/>
      <c r="RJO23" s="21"/>
      <c r="RJP23" s="21"/>
      <c r="RJQ23" s="21"/>
      <c r="RJR23" s="21"/>
      <c r="RJS23" s="21"/>
      <c r="RJT23" s="21"/>
      <c r="RJU23" s="21"/>
      <c r="RJV23" s="21"/>
      <c r="RJW23" s="21"/>
      <c r="RJX23" s="21"/>
      <c r="RJY23" s="21"/>
      <c r="RJZ23" s="21"/>
      <c r="RKA23" s="21"/>
      <c r="RKB23" s="21"/>
      <c r="RKC23" s="21"/>
      <c r="RKD23" s="21"/>
      <c r="RKE23" s="21"/>
      <c r="RKF23" s="21"/>
      <c r="RKG23" s="21"/>
      <c r="RKH23" s="21"/>
      <c r="RKI23" s="21"/>
      <c r="RKJ23" s="21"/>
      <c r="RKK23" s="21"/>
      <c r="RKL23" s="21"/>
      <c r="RKM23" s="21"/>
      <c r="RKN23" s="21"/>
      <c r="RKO23" s="21"/>
      <c r="RKP23" s="21"/>
      <c r="RKQ23" s="21"/>
      <c r="RKR23" s="21"/>
      <c r="RKS23" s="21"/>
      <c r="RKT23" s="21"/>
      <c r="RKU23" s="21"/>
      <c r="RKV23" s="21"/>
      <c r="RKW23" s="21"/>
      <c r="RKX23" s="21"/>
      <c r="RKY23" s="21"/>
      <c r="RKZ23" s="21"/>
      <c r="RLA23" s="21"/>
      <c r="RLB23" s="21"/>
      <c r="RLC23" s="21"/>
      <c r="RLD23" s="21"/>
      <c r="RLE23" s="21"/>
      <c r="RLF23" s="21"/>
      <c r="RLG23" s="21"/>
      <c r="RLH23" s="21"/>
      <c r="RLI23" s="21"/>
      <c r="RLJ23" s="21"/>
      <c r="RLK23" s="21"/>
      <c r="RLL23" s="21"/>
      <c r="RLM23" s="21"/>
      <c r="RLN23" s="21"/>
      <c r="RLO23" s="21"/>
      <c r="RLP23" s="21"/>
      <c r="RLQ23" s="21"/>
      <c r="RLR23" s="21"/>
      <c r="RLS23" s="21"/>
      <c r="RLT23" s="21"/>
      <c r="RLU23" s="21"/>
      <c r="RLV23" s="21"/>
      <c r="RLW23" s="21"/>
      <c r="RLX23" s="21"/>
      <c r="RLY23" s="21"/>
      <c r="RLZ23" s="21"/>
      <c r="RMA23" s="21"/>
      <c r="RMB23" s="21"/>
      <c r="RMC23" s="21"/>
      <c r="RMD23" s="21"/>
      <c r="RME23" s="21"/>
      <c r="RMF23" s="21"/>
      <c r="RMG23" s="21"/>
      <c r="RMH23" s="21"/>
      <c r="RMI23" s="21"/>
      <c r="RMJ23" s="21"/>
      <c r="RMK23" s="21"/>
      <c r="RML23" s="21"/>
      <c r="RMM23" s="21"/>
      <c r="RMN23" s="21"/>
      <c r="RMO23" s="21"/>
      <c r="RMP23" s="21"/>
      <c r="RMQ23" s="21"/>
      <c r="RMR23" s="21"/>
      <c r="RMS23" s="21"/>
      <c r="RMT23" s="21"/>
      <c r="RMU23" s="21"/>
      <c r="RMV23" s="21"/>
      <c r="RMW23" s="21"/>
      <c r="RMX23" s="21"/>
      <c r="RMY23" s="21"/>
      <c r="RMZ23" s="21"/>
      <c r="RNA23" s="21"/>
      <c r="RNB23" s="21"/>
      <c r="RNC23" s="21"/>
      <c r="RND23" s="21"/>
      <c r="RNE23" s="21"/>
      <c r="RNF23" s="21"/>
      <c r="RNG23" s="21"/>
      <c r="RNH23" s="21"/>
      <c r="RNI23" s="21"/>
      <c r="RNJ23" s="21"/>
      <c r="RNK23" s="21"/>
      <c r="RNL23" s="21"/>
      <c r="RNM23" s="21"/>
      <c r="RNN23" s="21"/>
      <c r="RNO23" s="21"/>
      <c r="RNP23" s="21"/>
      <c r="RNQ23" s="21"/>
      <c r="RNR23" s="21"/>
      <c r="RNS23" s="21"/>
      <c r="RNT23" s="21"/>
      <c r="RNU23" s="21"/>
      <c r="RNV23" s="21"/>
      <c r="RNW23" s="21"/>
      <c r="RNX23" s="21"/>
      <c r="RNY23" s="21"/>
      <c r="RNZ23" s="21"/>
      <c r="ROA23" s="21"/>
      <c r="ROB23" s="21"/>
      <c r="ROC23" s="21"/>
      <c r="ROD23" s="21"/>
      <c r="ROE23" s="21"/>
      <c r="ROF23" s="21"/>
      <c r="ROG23" s="21"/>
      <c r="ROH23" s="21"/>
      <c r="ROI23" s="21"/>
      <c r="ROJ23" s="21"/>
      <c r="ROK23" s="21"/>
      <c r="ROL23" s="21"/>
      <c r="ROM23" s="21"/>
      <c r="RON23" s="21"/>
      <c r="ROO23" s="21"/>
      <c r="ROP23" s="21"/>
      <c r="ROQ23" s="21"/>
      <c r="ROR23" s="21"/>
      <c r="ROS23" s="21"/>
      <c r="ROT23" s="21"/>
      <c r="ROU23" s="21"/>
      <c r="ROV23" s="21"/>
      <c r="ROW23" s="21"/>
      <c r="ROX23" s="21"/>
      <c r="ROY23" s="21"/>
      <c r="ROZ23" s="21"/>
      <c r="RPA23" s="21"/>
      <c r="RPB23" s="21"/>
      <c r="RPC23" s="21"/>
      <c r="RPD23" s="21"/>
      <c r="RPE23" s="21"/>
      <c r="RPF23" s="21"/>
      <c r="RPG23" s="21"/>
      <c r="RPH23" s="21"/>
      <c r="RPI23" s="21"/>
      <c r="RPJ23" s="21"/>
      <c r="RPK23" s="21"/>
      <c r="RPL23" s="21"/>
      <c r="RPM23" s="21"/>
      <c r="RPN23" s="21"/>
      <c r="RPO23" s="21"/>
      <c r="RPP23" s="21"/>
      <c r="RPQ23" s="21"/>
      <c r="RPR23" s="21"/>
      <c r="RPS23" s="21"/>
      <c r="RPT23" s="21"/>
      <c r="RPU23" s="21"/>
      <c r="RPV23" s="21"/>
      <c r="RPW23" s="21"/>
      <c r="RPX23" s="21"/>
      <c r="RPY23" s="21"/>
      <c r="RPZ23" s="21"/>
      <c r="RQA23" s="21"/>
      <c r="RQB23" s="21"/>
      <c r="RQC23" s="21"/>
      <c r="RQD23" s="21"/>
      <c r="RQE23" s="21"/>
      <c r="RQF23" s="21"/>
      <c r="RQG23" s="21"/>
      <c r="RQH23" s="21"/>
      <c r="RQI23" s="21"/>
      <c r="RQJ23" s="21"/>
      <c r="RQK23" s="21"/>
      <c r="RQL23" s="21"/>
      <c r="RQM23" s="21"/>
      <c r="RQN23" s="21"/>
      <c r="RQO23" s="21"/>
      <c r="RQP23" s="21"/>
      <c r="RQQ23" s="21"/>
      <c r="RQR23" s="21"/>
      <c r="RQS23" s="21"/>
      <c r="RQT23" s="21"/>
      <c r="RQU23" s="21"/>
      <c r="RQV23" s="21"/>
      <c r="RQW23" s="21"/>
      <c r="RQX23" s="21"/>
      <c r="RQY23" s="21"/>
      <c r="RQZ23" s="21"/>
      <c r="RRA23" s="21"/>
      <c r="RRB23" s="21"/>
      <c r="RRC23" s="21"/>
      <c r="RRD23" s="21"/>
      <c r="RRE23" s="21"/>
      <c r="RRF23" s="21"/>
      <c r="RRG23" s="21"/>
      <c r="RRH23" s="21"/>
      <c r="RRI23" s="21"/>
      <c r="RRJ23" s="21"/>
      <c r="RRK23" s="21"/>
      <c r="RRL23" s="21"/>
      <c r="RRM23" s="21"/>
      <c r="RRN23" s="21"/>
      <c r="RRO23" s="21"/>
      <c r="RRP23" s="21"/>
      <c r="RRQ23" s="21"/>
      <c r="RRR23" s="21"/>
      <c r="RRS23" s="21"/>
      <c r="RRT23" s="21"/>
      <c r="RRU23" s="21"/>
      <c r="RRV23" s="21"/>
      <c r="RRW23" s="21"/>
      <c r="RRX23" s="21"/>
      <c r="RRY23" s="21"/>
      <c r="RRZ23" s="21"/>
      <c r="RSA23" s="21"/>
      <c r="RSB23" s="21"/>
      <c r="RSC23" s="21"/>
      <c r="RSD23" s="21"/>
      <c r="RSE23" s="21"/>
      <c r="RSF23" s="21"/>
      <c r="RSG23" s="21"/>
      <c r="RSH23" s="21"/>
      <c r="RSI23" s="21"/>
      <c r="RSJ23" s="21"/>
      <c r="RSK23" s="21"/>
      <c r="RSL23" s="21"/>
      <c r="RSM23" s="21"/>
      <c r="RSN23" s="21"/>
      <c r="RSO23" s="21"/>
      <c r="RSP23" s="21"/>
      <c r="RSQ23" s="21"/>
      <c r="RSR23" s="21"/>
      <c r="RSS23" s="21"/>
      <c r="RST23" s="21"/>
      <c r="RSU23" s="21"/>
      <c r="RSV23" s="21"/>
      <c r="RSW23" s="21"/>
      <c r="RSX23" s="21"/>
      <c r="RSY23" s="21"/>
      <c r="RSZ23" s="21"/>
      <c r="RTA23" s="21"/>
      <c r="RTB23" s="21"/>
      <c r="RTC23" s="21"/>
      <c r="RTD23" s="21"/>
      <c r="RTE23" s="21"/>
      <c r="RTF23" s="21"/>
      <c r="RTG23" s="21"/>
      <c r="RTH23" s="21"/>
      <c r="RTI23" s="21"/>
      <c r="RTJ23" s="21"/>
      <c r="RTK23" s="21"/>
      <c r="RTL23" s="21"/>
      <c r="RTM23" s="21"/>
      <c r="RTN23" s="21"/>
      <c r="RTO23" s="21"/>
      <c r="RTP23" s="21"/>
      <c r="RTQ23" s="21"/>
      <c r="RTR23" s="21"/>
      <c r="RTS23" s="21"/>
      <c r="RTT23" s="21"/>
      <c r="RTU23" s="21"/>
      <c r="RTV23" s="21"/>
      <c r="RTW23" s="21"/>
      <c r="RTX23" s="21"/>
      <c r="RTY23" s="21"/>
      <c r="RTZ23" s="21"/>
      <c r="RUA23" s="21"/>
      <c r="RUB23" s="21"/>
      <c r="RUC23" s="21"/>
      <c r="RUD23" s="21"/>
      <c r="RUE23" s="21"/>
      <c r="RUF23" s="21"/>
      <c r="RUG23" s="21"/>
      <c r="RUH23" s="21"/>
      <c r="RUI23" s="21"/>
      <c r="RUJ23" s="21"/>
      <c r="RUK23" s="21"/>
      <c r="RUL23" s="21"/>
      <c r="RUM23" s="21"/>
      <c r="RUN23" s="21"/>
      <c r="RUO23" s="21"/>
      <c r="RUP23" s="21"/>
      <c r="RUQ23" s="21"/>
      <c r="RUR23" s="21"/>
      <c r="RUS23" s="21"/>
      <c r="RUT23" s="21"/>
      <c r="RUU23" s="21"/>
      <c r="RUV23" s="21"/>
      <c r="RUW23" s="21"/>
      <c r="RUX23" s="21"/>
      <c r="RUY23" s="21"/>
      <c r="RUZ23" s="21"/>
      <c r="RVA23" s="21"/>
      <c r="RVB23" s="21"/>
      <c r="RVC23" s="21"/>
      <c r="RVD23" s="21"/>
      <c r="RVE23" s="21"/>
      <c r="RVF23" s="21"/>
      <c r="RVG23" s="21"/>
      <c r="RVH23" s="21"/>
      <c r="RVI23" s="21"/>
      <c r="RVJ23" s="21"/>
      <c r="RVK23" s="21"/>
      <c r="RVL23" s="21"/>
      <c r="RVM23" s="21"/>
      <c r="RVN23" s="21"/>
      <c r="RVO23" s="21"/>
      <c r="RVP23" s="21"/>
      <c r="RVQ23" s="21"/>
      <c r="RVR23" s="21"/>
      <c r="RVS23" s="21"/>
      <c r="RVT23" s="21"/>
      <c r="RVU23" s="21"/>
      <c r="RVV23" s="21"/>
      <c r="RVW23" s="21"/>
      <c r="RVX23" s="21"/>
      <c r="RVY23" s="21"/>
      <c r="RVZ23" s="21"/>
      <c r="RWA23" s="21"/>
      <c r="RWB23" s="21"/>
      <c r="RWC23" s="21"/>
      <c r="RWD23" s="21"/>
      <c r="RWE23" s="21"/>
      <c r="RWF23" s="21"/>
      <c r="RWG23" s="21"/>
      <c r="RWH23" s="21"/>
      <c r="RWI23" s="21"/>
      <c r="RWJ23" s="21"/>
      <c r="RWK23" s="21"/>
      <c r="RWL23" s="21"/>
      <c r="RWM23" s="21"/>
      <c r="RWN23" s="21"/>
      <c r="RWO23" s="21"/>
      <c r="RWP23" s="21"/>
      <c r="RWQ23" s="21"/>
      <c r="RWR23" s="21"/>
      <c r="RWS23" s="21"/>
      <c r="RWT23" s="21"/>
      <c r="RWU23" s="21"/>
      <c r="RWV23" s="21"/>
      <c r="RWW23" s="21"/>
      <c r="RWX23" s="21"/>
      <c r="RWY23" s="21"/>
      <c r="RWZ23" s="21"/>
      <c r="RXA23" s="21"/>
      <c r="RXB23" s="21"/>
      <c r="RXC23" s="21"/>
      <c r="RXD23" s="21"/>
      <c r="RXE23" s="21"/>
      <c r="RXF23" s="21"/>
      <c r="RXG23" s="21"/>
      <c r="RXH23" s="21"/>
      <c r="RXI23" s="21"/>
      <c r="RXJ23" s="21"/>
      <c r="RXK23" s="21"/>
      <c r="RXL23" s="21"/>
      <c r="RXM23" s="21"/>
      <c r="RXN23" s="21"/>
      <c r="RXO23" s="21"/>
      <c r="RXP23" s="21"/>
      <c r="RXQ23" s="21"/>
      <c r="RXR23" s="21"/>
      <c r="RXS23" s="21"/>
      <c r="RXT23" s="21"/>
      <c r="RXU23" s="21"/>
      <c r="RXV23" s="21"/>
      <c r="RXW23" s="21"/>
      <c r="RXX23" s="21"/>
      <c r="RXY23" s="21"/>
      <c r="RXZ23" s="21"/>
      <c r="RYA23" s="21"/>
      <c r="RYB23" s="21"/>
      <c r="RYC23" s="21"/>
      <c r="RYD23" s="21"/>
      <c r="RYE23" s="21"/>
      <c r="RYF23" s="21"/>
      <c r="RYG23" s="21"/>
      <c r="RYH23" s="21"/>
      <c r="RYI23" s="21"/>
      <c r="RYJ23" s="21"/>
      <c r="RYK23" s="21"/>
      <c r="RYL23" s="21"/>
      <c r="RYM23" s="21"/>
      <c r="RYN23" s="21"/>
      <c r="RYO23" s="21"/>
      <c r="RYP23" s="21"/>
      <c r="RYQ23" s="21"/>
      <c r="RYR23" s="21"/>
      <c r="RYS23" s="21"/>
      <c r="RYT23" s="21"/>
      <c r="RYU23" s="21"/>
      <c r="RYV23" s="21"/>
      <c r="RYW23" s="21"/>
      <c r="RYX23" s="21"/>
      <c r="RYY23" s="21"/>
      <c r="RYZ23" s="21"/>
      <c r="RZA23" s="21"/>
      <c r="RZB23" s="21"/>
      <c r="RZC23" s="21"/>
      <c r="RZD23" s="21"/>
      <c r="RZE23" s="21"/>
      <c r="RZF23" s="21"/>
      <c r="RZG23" s="21"/>
      <c r="RZH23" s="21"/>
      <c r="RZI23" s="21"/>
      <c r="RZJ23" s="21"/>
      <c r="RZK23" s="21"/>
      <c r="RZL23" s="21"/>
      <c r="RZM23" s="21"/>
      <c r="RZN23" s="21"/>
      <c r="RZO23" s="21"/>
      <c r="RZP23" s="21"/>
      <c r="RZQ23" s="21"/>
      <c r="RZR23" s="21"/>
      <c r="RZS23" s="21"/>
      <c r="RZT23" s="21"/>
      <c r="RZU23" s="21"/>
      <c r="RZV23" s="21"/>
      <c r="RZW23" s="21"/>
      <c r="RZX23" s="21"/>
      <c r="RZY23" s="21"/>
      <c r="RZZ23" s="21"/>
      <c r="SAA23" s="21"/>
      <c r="SAB23" s="21"/>
      <c r="SAC23" s="21"/>
      <c r="SAD23" s="21"/>
      <c r="SAE23" s="21"/>
      <c r="SAF23" s="21"/>
      <c r="SAG23" s="21"/>
      <c r="SAH23" s="21"/>
      <c r="SAI23" s="21"/>
      <c r="SAJ23" s="21"/>
      <c r="SAK23" s="21"/>
      <c r="SAL23" s="21"/>
      <c r="SAM23" s="21"/>
      <c r="SAN23" s="21"/>
      <c r="SAO23" s="21"/>
      <c r="SAP23" s="21"/>
      <c r="SAQ23" s="21"/>
      <c r="SAR23" s="21"/>
      <c r="SAS23" s="21"/>
      <c r="SAT23" s="21"/>
      <c r="SAU23" s="21"/>
      <c r="SAV23" s="21"/>
      <c r="SAW23" s="21"/>
      <c r="SAX23" s="21"/>
      <c r="SAY23" s="21"/>
      <c r="SAZ23" s="21"/>
      <c r="SBA23" s="21"/>
      <c r="SBB23" s="21"/>
      <c r="SBC23" s="21"/>
      <c r="SBD23" s="21"/>
      <c r="SBE23" s="21"/>
      <c r="SBF23" s="21"/>
      <c r="SBG23" s="21"/>
      <c r="SBH23" s="21"/>
      <c r="SBI23" s="21"/>
      <c r="SBJ23" s="21"/>
      <c r="SBK23" s="21"/>
      <c r="SBL23" s="21"/>
      <c r="SBM23" s="21"/>
      <c r="SBN23" s="21"/>
      <c r="SBO23" s="21"/>
      <c r="SBP23" s="21"/>
      <c r="SBQ23" s="21"/>
      <c r="SBR23" s="21"/>
      <c r="SBS23" s="21"/>
      <c r="SBT23" s="21"/>
      <c r="SBU23" s="21"/>
      <c r="SBV23" s="21"/>
      <c r="SBW23" s="21"/>
      <c r="SBX23" s="21"/>
      <c r="SBY23" s="21"/>
      <c r="SBZ23" s="21"/>
      <c r="SCA23" s="21"/>
      <c r="SCB23" s="21"/>
      <c r="SCC23" s="21"/>
      <c r="SCD23" s="21"/>
      <c r="SCE23" s="21"/>
      <c r="SCF23" s="21"/>
      <c r="SCG23" s="21"/>
      <c r="SCH23" s="21"/>
      <c r="SCI23" s="21"/>
      <c r="SCJ23" s="21"/>
      <c r="SCK23" s="21"/>
      <c r="SCL23" s="21"/>
      <c r="SCM23" s="21"/>
      <c r="SCN23" s="21"/>
      <c r="SCO23" s="21"/>
      <c r="SCP23" s="21"/>
      <c r="SCQ23" s="21"/>
      <c r="SCR23" s="21"/>
      <c r="SCS23" s="21"/>
      <c r="SCT23" s="21"/>
      <c r="SCU23" s="21"/>
      <c r="SCV23" s="21"/>
      <c r="SCW23" s="21"/>
      <c r="SCX23" s="21"/>
      <c r="SCY23" s="21"/>
      <c r="SCZ23" s="21"/>
      <c r="SDA23" s="21"/>
      <c r="SDB23" s="21"/>
      <c r="SDC23" s="21"/>
      <c r="SDD23" s="21"/>
      <c r="SDE23" s="21"/>
      <c r="SDF23" s="21"/>
      <c r="SDG23" s="21"/>
      <c r="SDH23" s="21"/>
      <c r="SDI23" s="21"/>
      <c r="SDJ23" s="21"/>
      <c r="SDK23" s="21"/>
      <c r="SDL23" s="21"/>
      <c r="SDM23" s="21"/>
      <c r="SDN23" s="21"/>
      <c r="SDO23" s="21"/>
      <c r="SDP23" s="21"/>
      <c r="SDQ23" s="21"/>
      <c r="SDR23" s="21"/>
      <c r="SDS23" s="21"/>
      <c r="SDT23" s="21"/>
      <c r="SDU23" s="21"/>
      <c r="SDV23" s="21"/>
      <c r="SDW23" s="21"/>
      <c r="SDX23" s="21"/>
      <c r="SDY23" s="21"/>
      <c r="SDZ23" s="21"/>
      <c r="SEA23" s="21"/>
      <c r="SEB23" s="21"/>
      <c r="SEC23" s="21"/>
      <c r="SED23" s="21"/>
      <c r="SEE23" s="21"/>
      <c r="SEF23" s="21"/>
      <c r="SEG23" s="21"/>
      <c r="SEH23" s="21"/>
      <c r="SEI23" s="21"/>
      <c r="SEJ23" s="21"/>
      <c r="SEK23" s="21"/>
      <c r="SEL23" s="21"/>
      <c r="SEM23" s="21"/>
      <c r="SEN23" s="21"/>
      <c r="SEO23" s="21"/>
      <c r="SEP23" s="21"/>
      <c r="SEQ23" s="21"/>
      <c r="SER23" s="21"/>
      <c r="SES23" s="21"/>
      <c r="SET23" s="21"/>
      <c r="SEU23" s="21"/>
      <c r="SEV23" s="21"/>
      <c r="SEW23" s="21"/>
      <c r="SEX23" s="21"/>
      <c r="SEY23" s="21"/>
      <c r="SEZ23" s="21"/>
      <c r="SFA23" s="21"/>
      <c r="SFB23" s="21"/>
      <c r="SFC23" s="21"/>
      <c r="SFD23" s="21"/>
      <c r="SFE23" s="21"/>
      <c r="SFF23" s="21"/>
      <c r="SFG23" s="21"/>
      <c r="SFH23" s="21"/>
      <c r="SFI23" s="21"/>
      <c r="SFJ23" s="21"/>
      <c r="SFK23" s="21"/>
      <c r="SFL23" s="21"/>
      <c r="SFM23" s="21"/>
      <c r="SFN23" s="21"/>
      <c r="SFO23" s="21"/>
      <c r="SFP23" s="21"/>
      <c r="SFQ23" s="21"/>
      <c r="SFR23" s="21"/>
      <c r="SFS23" s="21"/>
      <c r="SFT23" s="21"/>
      <c r="SFU23" s="21"/>
      <c r="SFV23" s="21"/>
      <c r="SFW23" s="21"/>
      <c r="SFX23" s="21"/>
      <c r="SFY23" s="21"/>
      <c r="SFZ23" s="21"/>
      <c r="SGA23" s="21"/>
      <c r="SGB23" s="21"/>
      <c r="SGC23" s="21"/>
      <c r="SGD23" s="21"/>
      <c r="SGE23" s="21"/>
      <c r="SGF23" s="21"/>
      <c r="SGG23" s="21"/>
      <c r="SGH23" s="21"/>
      <c r="SGI23" s="21"/>
      <c r="SGJ23" s="21"/>
      <c r="SGK23" s="21"/>
      <c r="SGL23" s="21"/>
      <c r="SGM23" s="21"/>
      <c r="SGN23" s="21"/>
      <c r="SGO23" s="21"/>
      <c r="SGP23" s="21"/>
      <c r="SGQ23" s="21"/>
      <c r="SGR23" s="21"/>
      <c r="SGS23" s="21"/>
      <c r="SGT23" s="21"/>
      <c r="SGU23" s="21"/>
      <c r="SGV23" s="21"/>
      <c r="SGW23" s="21"/>
      <c r="SGX23" s="21"/>
      <c r="SGY23" s="21"/>
      <c r="SGZ23" s="21"/>
      <c r="SHA23" s="21"/>
      <c r="SHB23" s="21"/>
      <c r="SHC23" s="21"/>
      <c r="SHD23" s="21"/>
      <c r="SHE23" s="21"/>
      <c r="SHF23" s="21"/>
      <c r="SHG23" s="21"/>
      <c r="SHH23" s="21"/>
      <c r="SHI23" s="21"/>
      <c r="SHJ23" s="21"/>
      <c r="SHK23" s="21"/>
      <c r="SHL23" s="21"/>
      <c r="SHM23" s="21"/>
      <c r="SHN23" s="21"/>
      <c r="SHO23" s="21"/>
      <c r="SHP23" s="21"/>
      <c r="SHQ23" s="21"/>
      <c r="SHR23" s="21"/>
      <c r="SHS23" s="21"/>
      <c r="SHT23" s="21"/>
      <c r="SHU23" s="21"/>
      <c r="SHV23" s="21"/>
      <c r="SHW23" s="21"/>
      <c r="SHX23" s="21"/>
      <c r="SHY23" s="21"/>
      <c r="SHZ23" s="21"/>
      <c r="SIA23" s="21"/>
      <c r="SIB23" s="21"/>
      <c r="SIC23" s="21"/>
      <c r="SID23" s="21"/>
      <c r="SIE23" s="21"/>
      <c r="SIF23" s="21"/>
      <c r="SIG23" s="21"/>
      <c r="SIH23" s="21"/>
      <c r="SII23" s="21"/>
      <c r="SIJ23" s="21"/>
      <c r="SIK23" s="21"/>
      <c r="SIL23" s="21"/>
      <c r="SIM23" s="21"/>
      <c r="SIN23" s="21"/>
      <c r="SIO23" s="21"/>
      <c r="SIP23" s="21"/>
      <c r="SIQ23" s="21"/>
      <c r="SIR23" s="21"/>
      <c r="SIS23" s="21"/>
      <c r="SIT23" s="21"/>
      <c r="SIU23" s="21"/>
      <c r="SIV23" s="21"/>
      <c r="SIW23" s="21"/>
      <c r="SIX23" s="21"/>
      <c r="SIY23" s="21"/>
      <c r="SIZ23" s="21"/>
      <c r="SJA23" s="21"/>
      <c r="SJB23" s="21"/>
      <c r="SJC23" s="21"/>
      <c r="SJD23" s="21"/>
      <c r="SJE23" s="21"/>
      <c r="SJF23" s="21"/>
      <c r="SJG23" s="21"/>
      <c r="SJH23" s="21"/>
      <c r="SJI23" s="21"/>
      <c r="SJJ23" s="21"/>
      <c r="SJK23" s="21"/>
      <c r="SJL23" s="21"/>
      <c r="SJM23" s="21"/>
      <c r="SJN23" s="21"/>
      <c r="SJO23" s="21"/>
      <c r="SJP23" s="21"/>
      <c r="SJQ23" s="21"/>
      <c r="SJR23" s="21"/>
      <c r="SJS23" s="21"/>
      <c r="SJT23" s="21"/>
      <c r="SJU23" s="21"/>
      <c r="SJV23" s="21"/>
      <c r="SJW23" s="21"/>
      <c r="SJX23" s="21"/>
      <c r="SJY23" s="21"/>
      <c r="SJZ23" s="21"/>
      <c r="SKA23" s="21"/>
      <c r="SKB23" s="21"/>
      <c r="SKC23" s="21"/>
      <c r="SKD23" s="21"/>
      <c r="SKE23" s="21"/>
      <c r="SKF23" s="21"/>
      <c r="SKG23" s="21"/>
      <c r="SKH23" s="21"/>
      <c r="SKI23" s="21"/>
      <c r="SKJ23" s="21"/>
      <c r="SKK23" s="21"/>
      <c r="SKL23" s="21"/>
      <c r="SKM23" s="21"/>
      <c r="SKN23" s="21"/>
      <c r="SKO23" s="21"/>
      <c r="SKP23" s="21"/>
      <c r="SKQ23" s="21"/>
      <c r="SKR23" s="21"/>
      <c r="SKS23" s="21"/>
      <c r="SKT23" s="21"/>
      <c r="SKU23" s="21"/>
      <c r="SKV23" s="21"/>
      <c r="SKW23" s="21"/>
      <c r="SKX23" s="21"/>
      <c r="SKY23" s="21"/>
      <c r="SKZ23" s="21"/>
      <c r="SLA23" s="21"/>
      <c r="SLB23" s="21"/>
      <c r="SLC23" s="21"/>
      <c r="SLD23" s="21"/>
      <c r="SLE23" s="21"/>
      <c r="SLF23" s="21"/>
      <c r="SLG23" s="21"/>
      <c r="SLH23" s="21"/>
      <c r="SLI23" s="21"/>
      <c r="SLJ23" s="21"/>
      <c r="SLK23" s="21"/>
      <c r="SLL23" s="21"/>
      <c r="SLM23" s="21"/>
      <c r="SLN23" s="21"/>
      <c r="SLO23" s="21"/>
      <c r="SLP23" s="21"/>
      <c r="SLQ23" s="21"/>
      <c r="SLR23" s="21"/>
      <c r="SLS23" s="21"/>
      <c r="SLT23" s="21"/>
      <c r="SLU23" s="21"/>
      <c r="SLV23" s="21"/>
      <c r="SLW23" s="21"/>
      <c r="SLX23" s="21"/>
      <c r="SLY23" s="21"/>
      <c r="SLZ23" s="21"/>
      <c r="SMA23" s="21"/>
      <c r="SMB23" s="21"/>
      <c r="SMC23" s="21"/>
      <c r="SMD23" s="21"/>
      <c r="SME23" s="21"/>
      <c r="SMF23" s="21"/>
      <c r="SMG23" s="21"/>
      <c r="SMH23" s="21"/>
      <c r="SMI23" s="21"/>
      <c r="SMJ23" s="21"/>
      <c r="SMK23" s="21"/>
      <c r="SML23" s="21"/>
      <c r="SMM23" s="21"/>
      <c r="SMN23" s="21"/>
      <c r="SMO23" s="21"/>
      <c r="SMP23" s="21"/>
      <c r="SMQ23" s="21"/>
      <c r="SMR23" s="21"/>
      <c r="SMS23" s="21"/>
      <c r="SMT23" s="21"/>
      <c r="SMU23" s="21"/>
      <c r="SMV23" s="21"/>
      <c r="SMW23" s="21"/>
      <c r="SMX23" s="21"/>
      <c r="SMY23" s="21"/>
      <c r="SMZ23" s="21"/>
      <c r="SNA23" s="21"/>
      <c r="SNB23" s="21"/>
      <c r="SNC23" s="21"/>
      <c r="SND23" s="21"/>
      <c r="SNE23" s="21"/>
      <c r="SNF23" s="21"/>
      <c r="SNG23" s="21"/>
      <c r="SNH23" s="21"/>
      <c r="SNI23" s="21"/>
      <c r="SNJ23" s="21"/>
      <c r="SNK23" s="21"/>
      <c r="SNL23" s="21"/>
      <c r="SNM23" s="21"/>
      <c r="SNN23" s="21"/>
      <c r="SNO23" s="21"/>
      <c r="SNP23" s="21"/>
      <c r="SNQ23" s="21"/>
      <c r="SNR23" s="21"/>
      <c r="SNS23" s="21"/>
      <c r="SNT23" s="21"/>
      <c r="SNU23" s="21"/>
      <c r="SNV23" s="21"/>
      <c r="SNW23" s="21"/>
      <c r="SNX23" s="21"/>
      <c r="SNY23" s="21"/>
      <c r="SNZ23" s="21"/>
      <c r="SOA23" s="21"/>
      <c r="SOB23" s="21"/>
      <c r="SOC23" s="21"/>
      <c r="SOD23" s="21"/>
      <c r="SOE23" s="21"/>
      <c r="SOF23" s="21"/>
      <c r="SOG23" s="21"/>
      <c r="SOH23" s="21"/>
      <c r="SOI23" s="21"/>
      <c r="SOJ23" s="21"/>
      <c r="SOK23" s="21"/>
      <c r="SOL23" s="21"/>
      <c r="SOM23" s="21"/>
      <c r="SON23" s="21"/>
      <c r="SOO23" s="21"/>
      <c r="SOP23" s="21"/>
      <c r="SOQ23" s="21"/>
      <c r="SOR23" s="21"/>
      <c r="SOS23" s="21"/>
      <c r="SOT23" s="21"/>
      <c r="SOU23" s="21"/>
      <c r="SOV23" s="21"/>
      <c r="SOW23" s="21"/>
      <c r="SOX23" s="21"/>
      <c r="SOY23" s="21"/>
      <c r="SOZ23" s="21"/>
      <c r="SPA23" s="21"/>
      <c r="SPB23" s="21"/>
      <c r="SPC23" s="21"/>
      <c r="SPD23" s="21"/>
      <c r="SPE23" s="21"/>
      <c r="SPF23" s="21"/>
      <c r="SPG23" s="21"/>
      <c r="SPH23" s="21"/>
      <c r="SPI23" s="21"/>
      <c r="SPJ23" s="21"/>
      <c r="SPK23" s="21"/>
      <c r="SPL23" s="21"/>
      <c r="SPM23" s="21"/>
      <c r="SPN23" s="21"/>
      <c r="SPO23" s="21"/>
      <c r="SPP23" s="21"/>
      <c r="SPQ23" s="21"/>
      <c r="SPR23" s="21"/>
      <c r="SPS23" s="21"/>
      <c r="SPT23" s="21"/>
      <c r="SPU23" s="21"/>
      <c r="SPV23" s="21"/>
      <c r="SPW23" s="21"/>
      <c r="SPX23" s="21"/>
      <c r="SPY23" s="21"/>
      <c r="SPZ23" s="21"/>
      <c r="SQA23" s="21"/>
      <c r="SQB23" s="21"/>
      <c r="SQC23" s="21"/>
      <c r="SQD23" s="21"/>
      <c r="SQE23" s="21"/>
      <c r="SQF23" s="21"/>
      <c r="SQG23" s="21"/>
      <c r="SQH23" s="21"/>
      <c r="SQI23" s="21"/>
      <c r="SQJ23" s="21"/>
      <c r="SQK23" s="21"/>
      <c r="SQL23" s="21"/>
      <c r="SQM23" s="21"/>
      <c r="SQN23" s="21"/>
      <c r="SQO23" s="21"/>
      <c r="SQP23" s="21"/>
      <c r="SQQ23" s="21"/>
      <c r="SQR23" s="21"/>
      <c r="SQS23" s="21"/>
      <c r="SQT23" s="21"/>
      <c r="SQU23" s="21"/>
      <c r="SQV23" s="21"/>
      <c r="SQW23" s="21"/>
      <c r="SQX23" s="21"/>
      <c r="SQY23" s="21"/>
      <c r="SQZ23" s="21"/>
      <c r="SRA23" s="21"/>
      <c r="SRB23" s="21"/>
      <c r="SRC23" s="21"/>
      <c r="SRD23" s="21"/>
      <c r="SRE23" s="21"/>
      <c r="SRF23" s="21"/>
      <c r="SRG23" s="21"/>
      <c r="SRH23" s="21"/>
      <c r="SRI23" s="21"/>
      <c r="SRJ23" s="21"/>
      <c r="SRK23" s="21"/>
      <c r="SRL23" s="21"/>
      <c r="SRM23" s="21"/>
      <c r="SRN23" s="21"/>
      <c r="SRO23" s="21"/>
      <c r="SRP23" s="21"/>
      <c r="SRQ23" s="21"/>
      <c r="SRR23" s="21"/>
      <c r="SRS23" s="21"/>
      <c r="SRT23" s="21"/>
      <c r="SRU23" s="21"/>
      <c r="SRV23" s="21"/>
      <c r="SRW23" s="21"/>
      <c r="SRX23" s="21"/>
      <c r="SRY23" s="21"/>
      <c r="SRZ23" s="21"/>
      <c r="SSA23" s="21"/>
      <c r="SSB23" s="21"/>
      <c r="SSC23" s="21"/>
      <c r="SSD23" s="21"/>
      <c r="SSE23" s="21"/>
      <c r="SSF23" s="21"/>
      <c r="SSG23" s="21"/>
      <c r="SSH23" s="21"/>
      <c r="SSI23" s="21"/>
      <c r="SSJ23" s="21"/>
      <c r="SSK23" s="21"/>
      <c r="SSL23" s="21"/>
      <c r="SSM23" s="21"/>
      <c r="SSN23" s="21"/>
      <c r="SSO23" s="21"/>
      <c r="SSP23" s="21"/>
      <c r="SSQ23" s="21"/>
      <c r="SSR23" s="21"/>
      <c r="SSS23" s="21"/>
      <c r="SST23" s="21"/>
      <c r="SSU23" s="21"/>
      <c r="SSV23" s="21"/>
      <c r="SSW23" s="21"/>
      <c r="SSX23" s="21"/>
      <c r="SSY23" s="21"/>
      <c r="SSZ23" s="21"/>
      <c r="STA23" s="21"/>
      <c r="STB23" s="21"/>
      <c r="STC23" s="21"/>
      <c r="STD23" s="21"/>
      <c r="STE23" s="21"/>
      <c r="STF23" s="21"/>
      <c r="STG23" s="21"/>
      <c r="STH23" s="21"/>
      <c r="STI23" s="21"/>
      <c r="STJ23" s="21"/>
      <c r="STK23" s="21"/>
      <c r="STL23" s="21"/>
      <c r="STM23" s="21"/>
      <c r="STN23" s="21"/>
      <c r="STO23" s="21"/>
      <c r="STP23" s="21"/>
      <c r="STQ23" s="21"/>
      <c r="STR23" s="21"/>
      <c r="STS23" s="21"/>
      <c r="STT23" s="21"/>
      <c r="STU23" s="21"/>
      <c r="STV23" s="21"/>
      <c r="STW23" s="21"/>
      <c r="STX23" s="21"/>
      <c r="STY23" s="21"/>
      <c r="STZ23" s="21"/>
      <c r="SUA23" s="21"/>
      <c r="SUB23" s="21"/>
      <c r="SUC23" s="21"/>
      <c r="SUD23" s="21"/>
      <c r="SUE23" s="21"/>
      <c r="SUF23" s="21"/>
      <c r="SUG23" s="21"/>
      <c r="SUH23" s="21"/>
      <c r="SUI23" s="21"/>
      <c r="SUJ23" s="21"/>
      <c r="SUK23" s="21"/>
      <c r="SUL23" s="21"/>
      <c r="SUM23" s="21"/>
      <c r="SUN23" s="21"/>
      <c r="SUO23" s="21"/>
      <c r="SUP23" s="21"/>
      <c r="SUQ23" s="21"/>
      <c r="SUR23" s="21"/>
      <c r="SUS23" s="21"/>
      <c r="SUT23" s="21"/>
      <c r="SUU23" s="21"/>
      <c r="SUV23" s="21"/>
      <c r="SUW23" s="21"/>
      <c r="SUX23" s="21"/>
      <c r="SUY23" s="21"/>
      <c r="SUZ23" s="21"/>
      <c r="SVA23" s="21"/>
      <c r="SVB23" s="21"/>
      <c r="SVC23" s="21"/>
      <c r="SVD23" s="21"/>
      <c r="SVE23" s="21"/>
      <c r="SVF23" s="21"/>
      <c r="SVG23" s="21"/>
      <c r="SVH23" s="21"/>
      <c r="SVI23" s="21"/>
      <c r="SVJ23" s="21"/>
      <c r="SVK23" s="21"/>
      <c r="SVL23" s="21"/>
      <c r="SVM23" s="21"/>
      <c r="SVN23" s="21"/>
      <c r="SVO23" s="21"/>
      <c r="SVP23" s="21"/>
      <c r="SVQ23" s="21"/>
      <c r="SVR23" s="21"/>
      <c r="SVS23" s="21"/>
      <c r="SVT23" s="21"/>
      <c r="SVU23" s="21"/>
      <c r="SVV23" s="21"/>
      <c r="SVW23" s="21"/>
      <c r="SVX23" s="21"/>
      <c r="SVY23" s="21"/>
      <c r="SVZ23" s="21"/>
      <c r="SWA23" s="21"/>
      <c r="SWB23" s="21"/>
      <c r="SWC23" s="21"/>
      <c r="SWD23" s="21"/>
      <c r="SWE23" s="21"/>
      <c r="SWF23" s="21"/>
      <c r="SWG23" s="21"/>
      <c r="SWH23" s="21"/>
      <c r="SWI23" s="21"/>
      <c r="SWJ23" s="21"/>
      <c r="SWK23" s="21"/>
      <c r="SWL23" s="21"/>
      <c r="SWM23" s="21"/>
      <c r="SWN23" s="21"/>
      <c r="SWO23" s="21"/>
      <c r="SWP23" s="21"/>
      <c r="SWQ23" s="21"/>
      <c r="SWR23" s="21"/>
      <c r="SWS23" s="21"/>
      <c r="SWT23" s="21"/>
      <c r="SWU23" s="21"/>
      <c r="SWV23" s="21"/>
      <c r="SWW23" s="21"/>
      <c r="SWX23" s="21"/>
      <c r="SWY23" s="21"/>
      <c r="SWZ23" s="21"/>
      <c r="SXA23" s="21"/>
      <c r="SXB23" s="21"/>
      <c r="SXC23" s="21"/>
      <c r="SXD23" s="21"/>
      <c r="SXE23" s="21"/>
      <c r="SXF23" s="21"/>
      <c r="SXG23" s="21"/>
      <c r="SXH23" s="21"/>
      <c r="SXI23" s="21"/>
      <c r="SXJ23" s="21"/>
      <c r="SXK23" s="21"/>
      <c r="SXL23" s="21"/>
      <c r="SXM23" s="21"/>
      <c r="SXN23" s="21"/>
      <c r="SXO23" s="21"/>
      <c r="SXP23" s="21"/>
      <c r="SXQ23" s="21"/>
      <c r="SXR23" s="21"/>
      <c r="SXS23" s="21"/>
      <c r="SXT23" s="21"/>
      <c r="SXU23" s="21"/>
      <c r="SXV23" s="21"/>
      <c r="SXW23" s="21"/>
      <c r="SXX23" s="21"/>
      <c r="SXY23" s="21"/>
      <c r="SXZ23" s="21"/>
      <c r="SYA23" s="21"/>
      <c r="SYB23" s="21"/>
      <c r="SYC23" s="21"/>
      <c r="SYD23" s="21"/>
      <c r="SYE23" s="21"/>
      <c r="SYF23" s="21"/>
      <c r="SYG23" s="21"/>
      <c r="SYH23" s="21"/>
      <c r="SYI23" s="21"/>
      <c r="SYJ23" s="21"/>
      <c r="SYK23" s="21"/>
      <c r="SYL23" s="21"/>
      <c r="SYM23" s="21"/>
      <c r="SYN23" s="21"/>
      <c r="SYO23" s="21"/>
      <c r="SYP23" s="21"/>
      <c r="SYQ23" s="21"/>
      <c r="SYR23" s="21"/>
      <c r="SYS23" s="21"/>
      <c r="SYT23" s="21"/>
      <c r="SYU23" s="21"/>
      <c r="SYV23" s="21"/>
      <c r="SYW23" s="21"/>
      <c r="SYX23" s="21"/>
      <c r="SYY23" s="21"/>
      <c r="SYZ23" s="21"/>
      <c r="SZA23" s="21"/>
      <c r="SZB23" s="21"/>
      <c r="SZC23" s="21"/>
      <c r="SZD23" s="21"/>
      <c r="SZE23" s="21"/>
      <c r="SZF23" s="21"/>
      <c r="SZG23" s="21"/>
      <c r="SZH23" s="21"/>
      <c r="SZI23" s="21"/>
      <c r="SZJ23" s="21"/>
      <c r="SZK23" s="21"/>
      <c r="SZL23" s="21"/>
      <c r="SZM23" s="21"/>
      <c r="SZN23" s="21"/>
      <c r="SZO23" s="21"/>
      <c r="SZP23" s="21"/>
      <c r="SZQ23" s="21"/>
      <c r="SZR23" s="21"/>
      <c r="SZS23" s="21"/>
      <c r="SZT23" s="21"/>
      <c r="SZU23" s="21"/>
      <c r="SZV23" s="21"/>
      <c r="SZW23" s="21"/>
      <c r="SZX23" s="21"/>
      <c r="SZY23" s="21"/>
      <c r="SZZ23" s="21"/>
      <c r="TAA23" s="21"/>
      <c r="TAB23" s="21"/>
      <c r="TAC23" s="21"/>
      <c r="TAD23" s="21"/>
      <c r="TAE23" s="21"/>
      <c r="TAF23" s="21"/>
      <c r="TAG23" s="21"/>
      <c r="TAH23" s="21"/>
      <c r="TAI23" s="21"/>
      <c r="TAJ23" s="21"/>
      <c r="TAK23" s="21"/>
      <c r="TAL23" s="21"/>
      <c r="TAM23" s="21"/>
      <c r="TAN23" s="21"/>
      <c r="TAO23" s="21"/>
      <c r="TAP23" s="21"/>
      <c r="TAQ23" s="21"/>
      <c r="TAR23" s="21"/>
      <c r="TAS23" s="21"/>
      <c r="TAT23" s="21"/>
      <c r="TAU23" s="21"/>
      <c r="TAV23" s="21"/>
      <c r="TAW23" s="21"/>
      <c r="TAX23" s="21"/>
      <c r="TAY23" s="21"/>
      <c r="TAZ23" s="21"/>
      <c r="TBA23" s="21"/>
      <c r="TBB23" s="21"/>
      <c r="TBC23" s="21"/>
      <c r="TBD23" s="21"/>
      <c r="TBE23" s="21"/>
      <c r="TBF23" s="21"/>
      <c r="TBG23" s="21"/>
      <c r="TBH23" s="21"/>
      <c r="TBI23" s="21"/>
      <c r="TBJ23" s="21"/>
      <c r="TBK23" s="21"/>
      <c r="TBL23" s="21"/>
      <c r="TBM23" s="21"/>
      <c r="TBN23" s="21"/>
      <c r="TBO23" s="21"/>
      <c r="TBP23" s="21"/>
      <c r="TBQ23" s="21"/>
      <c r="TBR23" s="21"/>
      <c r="TBS23" s="21"/>
      <c r="TBT23" s="21"/>
      <c r="TBU23" s="21"/>
      <c r="TBV23" s="21"/>
      <c r="TBW23" s="21"/>
      <c r="TBX23" s="21"/>
      <c r="TBY23" s="21"/>
      <c r="TBZ23" s="21"/>
      <c r="TCA23" s="21"/>
      <c r="TCB23" s="21"/>
      <c r="TCC23" s="21"/>
      <c r="TCD23" s="21"/>
      <c r="TCE23" s="21"/>
      <c r="TCF23" s="21"/>
      <c r="TCG23" s="21"/>
      <c r="TCH23" s="21"/>
      <c r="TCI23" s="21"/>
      <c r="TCJ23" s="21"/>
      <c r="TCK23" s="21"/>
      <c r="TCL23" s="21"/>
      <c r="TCM23" s="21"/>
      <c r="TCN23" s="21"/>
      <c r="TCO23" s="21"/>
      <c r="TCP23" s="21"/>
      <c r="TCQ23" s="21"/>
      <c r="TCR23" s="21"/>
      <c r="TCS23" s="21"/>
      <c r="TCT23" s="21"/>
      <c r="TCU23" s="21"/>
      <c r="TCV23" s="21"/>
      <c r="TCW23" s="21"/>
      <c r="TCX23" s="21"/>
      <c r="TCY23" s="21"/>
      <c r="TCZ23" s="21"/>
      <c r="TDA23" s="21"/>
      <c r="TDB23" s="21"/>
      <c r="TDC23" s="21"/>
      <c r="TDD23" s="21"/>
      <c r="TDE23" s="21"/>
      <c r="TDF23" s="21"/>
      <c r="TDG23" s="21"/>
      <c r="TDH23" s="21"/>
      <c r="TDI23" s="21"/>
      <c r="TDJ23" s="21"/>
      <c r="TDK23" s="21"/>
      <c r="TDL23" s="21"/>
      <c r="TDM23" s="21"/>
      <c r="TDN23" s="21"/>
      <c r="TDO23" s="21"/>
      <c r="TDP23" s="21"/>
      <c r="TDQ23" s="21"/>
      <c r="TDR23" s="21"/>
      <c r="TDS23" s="21"/>
      <c r="TDT23" s="21"/>
      <c r="TDU23" s="21"/>
      <c r="TDV23" s="21"/>
      <c r="TDW23" s="21"/>
      <c r="TDX23" s="21"/>
      <c r="TDY23" s="21"/>
      <c r="TDZ23" s="21"/>
      <c r="TEA23" s="21"/>
      <c r="TEB23" s="21"/>
      <c r="TEC23" s="21"/>
      <c r="TED23" s="21"/>
      <c r="TEE23" s="21"/>
      <c r="TEF23" s="21"/>
      <c r="TEG23" s="21"/>
      <c r="TEH23" s="21"/>
      <c r="TEI23" s="21"/>
      <c r="TEJ23" s="21"/>
      <c r="TEK23" s="21"/>
      <c r="TEL23" s="21"/>
      <c r="TEM23" s="21"/>
      <c r="TEN23" s="21"/>
      <c r="TEO23" s="21"/>
      <c r="TEP23" s="21"/>
      <c r="TEQ23" s="21"/>
      <c r="TER23" s="21"/>
      <c r="TES23" s="21"/>
      <c r="TET23" s="21"/>
      <c r="TEU23" s="21"/>
      <c r="TEV23" s="21"/>
      <c r="TEW23" s="21"/>
      <c r="TEX23" s="21"/>
      <c r="TEY23" s="21"/>
      <c r="TEZ23" s="21"/>
      <c r="TFA23" s="21"/>
      <c r="TFB23" s="21"/>
      <c r="TFC23" s="21"/>
      <c r="TFD23" s="21"/>
      <c r="TFE23" s="21"/>
      <c r="TFF23" s="21"/>
      <c r="TFG23" s="21"/>
      <c r="TFH23" s="21"/>
      <c r="TFI23" s="21"/>
      <c r="TFJ23" s="21"/>
      <c r="TFK23" s="21"/>
      <c r="TFL23" s="21"/>
      <c r="TFM23" s="21"/>
      <c r="TFN23" s="21"/>
      <c r="TFO23" s="21"/>
      <c r="TFP23" s="21"/>
      <c r="TFQ23" s="21"/>
      <c r="TFR23" s="21"/>
      <c r="TFS23" s="21"/>
      <c r="TFT23" s="21"/>
      <c r="TFU23" s="21"/>
      <c r="TFV23" s="21"/>
      <c r="TFW23" s="21"/>
      <c r="TFX23" s="21"/>
      <c r="TFY23" s="21"/>
      <c r="TFZ23" s="21"/>
      <c r="TGA23" s="21"/>
      <c r="TGB23" s="21"/>
      <c r="TGC23" s="21"/>
      <c r="TGD23" s="21"/>
      <c r="TGE23" s="21"/>
      <c r="TGF23" s="21"/>
      <c r="TGG23" s="21"/>
      <c r="TGH23" s="21"/>
      <c r="TGI23" s="21"/>
      <c r="TGJ23" s="21"/>
      <c r="TGK23" s="21"/>
      <c r="TGL23" s="21"/>
      <c r="TGM23" s="21"/>
      <c r="TGN23" s="21"/>
      <c r="TGO23" s="21"/>
      <c r="TGP23" s="21"/>
      <c r="TGQ23" s="21"/>
      <c r="TGR23" s="21"/>
      <c r="TGS23" s="21"/>
      <c r="TGT23" s="21"/>
      <c r="TGU23" s="21"/>
      <c r="TGV23" s="21"/>
      <c r="TGW23" s="21"/>
      <c r="TGX23" s="21"/>
      <c r="TGY23" s="21"/>
      <c r="TGZ23" s="21"/>
      <c r="THA23" s="21"/>
      <c r="THB23" s="21"/>
      <c r="THC23" s="21"/>
      <c r="THD23" s="21"/>
      <c r="THE23" s="21"/>
      <c r="THF23" s="21"/>
      <c r="THG23" s="21"/>
      <c r="THH23" s="21"/>
      <c r="THI23" s="21"/>
      <c r="THJ23" s="21"/>
      <c r="THK23" s="21"/>
      <c r="THL23" s="21"/>
      <c r="THM23" s="21"/>
      <c r="THN23" s="21"/>
      <c r="THO23" s="21"/>
      <c r="THP23" s="21"/>
      <c r="THQ23" s="21"/>
      <c r="THR23" s="21"/>
      <c r="THS23" s="21"/>
      <c r="THT23" s="21"/>
      <c r="THU23" s="21"/>
      <c r="THV23" s="21"/>
      <c r="THW23" s="21"/>
      <c r="THX23" s="21"/>
      <c r="THY23" s="21"/>
      <c r="THZ23" s="21"/>
      <c r="TIA23" s="21"/>
      <c r="TIB23" s="21"/>
      <c r="TIC23" s="21"/>
      <c r="TID23" s="21"/>
      <c r="TIE23" s="21"/>
      <c r="TIF23" s="21"/>
      <c r="TIG23" s="21"/>
      <c r="TIH23" s="21"/>
      <c r="TII23" s="21"/>
      <c r="TIJ23" s="21"/>
      <c r="TIK23" s="21"/>
      <c r="TIL23" s="21"/>
      <c r="TIM23" s="21"/>
      <c r="TIN23" s="21"/>
      <c r="TIO23" s="21"/>
      <c r="TIP23" s="21"/>
      <c r="TIQ23" s="21"/>
      <c r="TIR23" s="21"/>
      <c r="TIS23" s="21"/>
      <c r="TIT23" s="21"/>
      <c r="TIU23" s="21"/>
      <c r="TIV23" s="21"/>
      <c r="TIW23" s="21"/>
      <c r="TIX23" s="21"/>
      <c r="TIY23" s="21"/>
      <c r="TIZ23" s="21"/>
      <c r="TJA23" s="21"/>
      <c r="TJB23" s="21"/>
      <c r="TJC23" s="21"/>
      <c r="TJD23" s="21"/>
      <c r="TJE23" s="21"/>
      <c r="TJF23" s="21"/>
      <c r="TJG23" s="21"/>
      <c r="TJH23" s="21"/>
      <c r="TJI23" s="21"/>
      <c r="TJJ23" s="21"/>
      <c r="TJK23" s="21"/>
      <c r="TJL23" s="21"/>
      <c r="TJM23" s="21"/>
      <c r="TJN23" s="21"/>
      <c r="TJO23" s="21"/>
      <c r="TJP23" s="21"/>
      <c r="TJQ23" s="21"/>
      <c r="TJR23" s="21"/>
      <c r="TJS23" s="21"/>
      <c r="TJT23" s="21"/>
      <c r="TJU23" s="21"/>
      <c r="TJV23" s="21"/>
      <c r="TJW23" s="21"/>
      <c r="TJX23" s="21"/>
      <c r="TJY23" s="21"/>
      <c r="TJZ23" s="21"/>
      <c r="TKA23" s="21"/>
      <c r="TKB23" s="21"/>
      <c r="TKC23" s="21"/>
      <c r="TKD23" s="21"/>
      <c r="TKE23" s="21"/>
      <c r="TKF23" s="21"/>
      <c r="TKG23" s="21"/>
      <c r="TKH23" s="21"/>
      <c r="TKI23" s="21"/>
      <c r="TKJ23" s="21"/>
      <c r="TKK23" s="21"/>
      <c r="TKL23" s="21"/>
      <c r="TKM23" s="21"/>
      <c r="TKN23" s="21"/>
      <c r="TKO23" s="21"/>
      <c r="TKP23" s="21"/>
      <c r="TKQ23" s="21"/>
      <c r="TKR23" s="21"/>
      <c r="TKS23" s="21"/>
      <c r="TKT23" s="21"/>
      <c r="TKU23" s="21"/>
      <c r="TKV23" s="21"/>
      <c r="TKW23" s="21"/>
      <c r="TKX23" s="21"/>
      <c r="TKY23" s="21"/>
      <c r="TKZ23" s="21"/>
      <c r="TLA23" s="21"/>
      <c r="TLB23" s="21"/>
      <c r="TLC23" s="21"/>
      <c r="TLD23" s="21"/>
      <c r="TLE23" s="21"/>
      <c r="TLF23" s="21"/>
      <c r="TLG23" s="21"/>
      <c r="TLH23" s="21"/>
      <c r="TLI23" s="21"/>
      <c r="TLJ23" s="21"/>
      <c r="TLK23" s="21"/>
      <c r="TLL23" s="21"/>
      <c r="TLM23" s="21"/>
      <c r="TLN23" s="21"/>
      <c r="TLO23" s="21"/>
      <c r="TLP23" s="21"/>
      <c r="TLQ23" s="21"/>
      <c r="TLR23" s="21"/>
      <c r="TLS23" s="21"/>
      <c r="TLT23" s="21"/>
      <c r="TLU23" s="21"/>
      <c r="TLV23" s="21"/>
      <c r="TLW23" s="21"/>
      <c r="TLX23" s="21"/>
      <c r="TLY23" s="21"/>
      <c r="TLZ23" s="21"/>
      <c r="TMA23" s="21"/>
      <c r="TMB23" s="21"/>
      <c r="TMC23" s="21"/>
      <c r="TMD23" s="21"/>
      <c r="TME23" s="21"/>
      <c r="TMF23" s="21"/>
      <c r="TMG23" s="21"/>
      <c r="TMH23" s="21"/>
      <c r="TMI23" s="21"/>
      <c r="TMJ23" s="21"/>
      <c r="TMK23" s="21"/>
      <c r="TML23" s="21"/>
      <c r="TMM23" s="21"/>
      <c r="TMN23" s="21"/>
      <c r="TMO23" s="21"/>
      <c r="TMP23" s="21"/>
      <c r="TMQ23" s="21"/>
      <c r="TMR23" s="21"/>
      <c r="TMS23" s="21"/>
      <c r="TMT23" s="21"/>
      <c r="TMU23" s="21"/>
      <c r="TMV23" s="21"/>
      <c r="TMW23" s="21"/>
      <c r="TMX23" s="21"/>
      <c r="TMY23" s="21"/>
      <c r="TMZ23" s="21"/>
      <c r="TNA23" s="21"/>
      <c r="TNB23" s="21"/>
      <c r="TNC23" s="21"/>
      <c r="TND23" s="21"/>
      <c r="TNE23" s="21"/>
      <c r="TNF23" s="21"/>
      <c r="TNG23" s="21"/>
      <c r="TNH23" s="21"/>
      <c r="TNI23" s="21"/>
      <c r="TNJ23" s="21"/>
      <c r="TNK23" s="21"/>
      <c r="TNL23" s="21"/>
      <c r="TNM23" s="21"/>
      <c r="TNN23" s="21"/>
      <c r="TNO23" s="21"/>
      <c r="TNP23" s="21"/>
      <c r="TNQ23" s="21"/>
      <c r="TNR23" s="21"/>
      <c r="TNS23" s="21"/>
      <c r="TNT23" s="21"/>
      <c r="TNU23" s="21"/>
      <c r="TNV23" s="21"/>
      <c r="TNW23" s="21"/>
      <c r="TNX23" s="21"/>
      <c r="TNY23" s="21"/>
      <c r="TNZ23" s="21"/>
      <c r="TOA23" s="21"/>
      <c r="TOB23" s="21"/>
      <c r="TOC23" s="21"/>
      <c r="TOD23" s="21"/>
      <c r="TOE23" s="21"/>
      <c r="TOF23" s="21"/>
      <c r="TOG23" s="21"/>
      <c r="TOH23" s="21"/>
      <c r="TOI23" s="21"/>
      <c r="TOJ23" s="21"/>
      <c r="TOK23" s="21"/>
      <c r="TOL23" s="21"/>
      <c r="TOM23" s="21"/>
      <c r="TON23" s="21"/>
      <c r="TOO23" s="21"/>
      <c r="TOP23" s="21"/>
      <c r="TOQ23" s="21"/>
      <c r="TOR23" s="21"/>
      <c r="TOS23" s="21"/>
      <c r="TOT23" s="21"/>
      <c r="TOU23" s="21"/>
      <c r="TOV23" s="21"/>
      <c r="TOW23" s="21"/>
      <c r="TOX23" s="21"/>
      <c r="TOY23" s="21"/>
      <c r="TOZ23" s="21"/>
      <c r="TPA23" s="21"/>
      <c r="TPB23" s="21"/>
      <c r="TPC23" s="21"/>
      <c r="TPD23" s="21"/>
      <c r="TPE23" s="21"/>
      <c r="TPF23" s="21"/>
      <c r="TPG23" s="21"/>
      <c r="TPH23" s="21"/>
      <c r="TPI23" s="21"/>
      <c r="TPJ23" s="21"/>
      <c r="TPK23" s="21"/>
      <c r="TPL23" s="21"/>
      <c r="TPM23" s="21"/>
      <c r="TPN23" s="21"/>
      <c r="TPO23" s="21"/>
      <c r="TPP23" s="21"/>
      <c r="TPQ23" s="21"/>
      <c r="TPR23" s="21"/>
      <c r="TPS23" s="21"/>
      <c r="TPT23" s="21"/>
      <c r="TPU23" s="21"/>
      <c r="TPV23" s="21"/>
      <c r="TPW23" s="21"/>
      <c r="TPX23" s="21"/>
      <c r="TPY23" s="21"/>
      <c r="TPZ23" s="21"/>
      <c r="TQA23" s="21"/>
      <c r="TQB23" s="21"/>
      <c r="TQC23" s="21"/>
      <c r="TQD23" s="21"/>
      <c r="TQE23" s="21"/>
      <c r="TQF23" s="21"/>
      <c r="TQG23" s="21"/>
      <c r="TQH23" s="21"/>
      <c r="TQI23" s="21"/>
      <c r="TQJ23" s="21"/>
      <c r="TQK23" s="21"/>
      <c r="TQL23" s="21"/>
      <c r="TQM23" s="21"/>
      <c r="TQN23" s="21"/>
      <c r="TQO23" s="21"/>
      <c r="TQP23" s="21"/>
      <c r="TQQ23" s="21"/>
      <c r="TQR23" s="21"/>
      <c r="TQS23" s="21"/>
      <c r="TQT23" s="21"/>
      <c r="TQU23" s="21"/>
      <c r="TQV23" s="21"/>
      <c r="TQW23" s="21"/>
      <c r="TQX23" s="21"/>
      <c r="TQY23" s="21"/>
      <c r="TQZ23" s="21"/>
      <c r="TRA23" s="21"/>
      <c r="TRB23" s="21"/>
      <c r="TRC23" s="21"/>
      <c r="TRD23" s="21"/>
      <c r="TRE23" s="21"/>
      <c r="TRF23" s="21"/>
      <c r="TRG23" s="21"/>
      <c r="TRH23" s="21"/>
      <c r="TRI23" s="21"/>
      <c r="TRJ23" s="21"/>
      <c r="TRK23" s="21"/>
      <c r="TRL23" s="21"/>
      <c r="TRM23" s="21"/>
      <c r="TRN23" s="21"/>
      <c r="TRO23" s="21"/>
      <c r="TRP23" s="21"/>
      <c r="TRQ23" s="21"/>
      <c r="TRR23" s="21"/>
      <c r="TRS23" s="21"/>
      <c r="TRT23" s="21"/>
      <c r="TRU23" s="21"/>
      <c r="TRV23" s="21"/>
      <c r="TRW23" s="21"/>
      <c r="TRX23" s="21"/>
      <c r="TRY23" s="21"/>
      <c r="TRZ23" s="21"/>
      <c r="TSA23" s="21"/>
      <c r="TSB23" s="21"/>
      <c r="TSC23" s="21"/>
      <c r="TSD23" s="21"/>
      <c r="TSE23" s="21"/>
      <c r="TSF23" s="21"/>
      <c r="TSG23" s="21"/>
      <c r="TSH23" s="21"/>
      <c r="TSI23" s="21"/>
      <c r="TSJ23" s="21"/>
      <c r="TSK23" s="21"/>
      <c r="TSL23" s="21"/>
      <c r="TSM23" s="21"/>
      <c r="TSN23" s="21"/>
      <c r="TSO23" s="21"/>
      <c r="TSP23" s="21"/>
      <c r="TSQ23" s="21"/>
      <c r="TSR23" s="21"/>
      <c r="TSS23" s="21"/>
      <c r="TST23" s="21"/>
      <c r="TSU23" s="21"/>
      <c r="TSV23" s="21"/>
      <c r="TSW23" s="21"/>
      <c r="TSX23" s="21"/>
      <c r="TSY23" s="21"/>
      <c r="TSZ23" s="21"/>
      <c r="TTA23" s="21"/>
      <c r="TTB23" s="21"/>
      <c r="TTC23" s="21"/>
      <c r="TTD23" s="21"/>
      <c r="TTE23" s="21"/>
      <c r="TTF23" s="21"/>
      <c r="TTG23" s="21"/>
      <c r="TTH23" s="21"/>
      <c r="TTI23" s="21"/>
      <c r="TTJ23" s="21"/>
      <c r="TTK23" s="21"/>
      <c r="TTL23" s="21"/>
      <c r="TTM23" s="21"/>
      <c r="TTN23" s="21"/>
      <c r="TTO23" s="21"/>
      <c r="TTP23" s="21"/>
      <c r="TTQ23" s="21"/>
      <c r="TTR23" s="21"/>
      <c r="TTS23" s="21"/>
      <c r="TTT23" s="21"/>
      <c r="TTU23" s="21"/>
      <c r="TTV23" s="21"/>
      <c r="TTW23" s="21"/>
      <c r="TTX23" s="21"/>
      <c r="TTY23" s="21"/>
      <c r="TTZ23" s="21"/>
      <c r="TUA23" s="21"/>
      <c r="TUB23" s="21"/>
      <c r="TUC23" s="21"/>
      <c r="TUD23" s="21"/>
      <c r="TUE23" s="21"/>
      <c r="TUF23" s="21"/>
      <c r="TUG23" s="21"/>
      <c r="TUH23" s="21"/>
      <c r="TUI23" s="21"/>
      <c r="TUJ23" s="21"/>
      <c r="TUK23" s="21"/>
      <c r="TUL23" s="21"/>
      <c r="TUM23" s="21"/>
      <c r="TUN23" s="21"/>
      <c r="TUO23" s="21"/>
      <c r="TUP23" s="21"/>
      <c r="TUQ23" s="21"/>
      <c r="TUR23" s="21"/>
      <c r="TUS23" s="21"/>
      <c r="TUT23" s="21"/>
      <c r="TUU23" s="21"/>
      <c r="TUV23" s="21"/>
      <c r="TUW23" s="21"/>
      <c r="TUX23" s="21"/>
      <c r="TUY23" s="21"/>
      <c r="TUZ23" s="21"/>
      <c r="TVA23" s="21"/>
      <c r="TVB23" s="21"/>
      <c r="TVC23" s="21"/>
      <c r="TVD23" s="21"/>
      <c r="TVE23" s="21"/>
      <c r="TVF23" s="21"/>
      <c r="TVG23" s="21"/>
      <c r="TVH23" s="21"/>
      <c r="TVI23" s="21"/>
      <c r="TVJ23" s="21"/>
      <c r="TVK23" s="21"/>
      <c r="TVL23" s="21"/>
      <c r="TVM23" s="21"/>
      <c r="TVN23" s="21"/>
      <c r="TVO23" s="21"/>
      <c r="TVP23" s="21"/>
      <c r="TVQ23" s="21"/>
      <c r="TVR23" s="21"/>
      <c r="TVS23" s="21"/>
      <c r="TVT23" s="21"/>
      <c r="TVU23" s="21"/>
      <c r="TVV23" s="21"/>
      <c r="TVW23" s="21"/>
      <c r="TVX23" s="21"/>
      <c r="TVY23" s="21"/>
      <c r="TVZ23" s="21"/>
      <c r="TWA23" s="21"/>
      <c r="TWB23" s="21"/>
      <c r="TWC23" s="21"/>
      <c r="TWD23" s="21"/>
      <c r="TWE23" s="21"/>
      <c r="TWF23" s="21"/>
      <c r="TWG23" s="21"/>
      <c r="TWH23" s="21"/>
      <c r="TWI23" s="21"/>
      <c r="TWJ23" s="21"/>
      <c r="TWK23" s="21"/>
      <c r="TWL23" s="21"/>
      <c r="TWM23" s="21"/>
      <c r="TWN23" s="21"/>
      <c r="TWO23" s="21"/>
      <c r="TWP23" s="21"/>
      <c r="TWQ23" s="21"/>
      <c r="TWR23" s="21"/>
      <c r="TWS23" s="21"/>
      <c r="TWT23" s="21"/>
      <c r="TWU23" s="21"/>
      <c r="TWV23" s="21"/>
      <c r="TWW23" s="21"/>
      <c r="TWX23" s="21"/>
      <c r="TWY23" s="21"/>
      <c r="TWZ23" s="21"/>
      <c r="TXA23" s="21"/>
      <c r="TXB23" s="21"/>
      <c r="TXC23" s="21"/>
      <c r="TXD23" s="21"/>
      <c r="TXE23" s="21"/>
      <c r="TXF23" s="21"/>
      <c r="TXG23" s="21"/>
      <c r="TXH23" s="21"/>
      <c r="TXI23" s="21"/>
      <c r="TXJ23" s="21"/>
      <c r="TXK23" s="21"/>
      <c r="TXL23" s="21"/>
      <c r="TXM23" s="21"/>
      <c r="TXN23" s="21"/>
      <c r="TXO23" s="21"/>
      <c r="TXP23" s="21"/>
      <c r="TXQ23" s="21"/>
      <c r="TXR23" s="21"/>
      <c r="TXS23" s="21"/>
      <c r="TXT23" s="21"/>
      <c r="TXU23" s="21"/>
      <c r="TXV23" s="21"/>
      <c r="TXW23" s="21"/>
      <c r="TXX23" s="21"/>
      <c r="TXY23" s="21"/>
      <c r="TXZ23" s="21"/>
      <c r="TYA23" s="21"/>
      <c r="TYB23" s="21"/>
      <c r="TYC23" s="21"/>
      <c r="TYD23" s="21"/>
      <c r="TYE23" s="21"/>
      <c r="TYF23" s="21"/>
      <c r="TYG23" s="21"/>
      <c r="TYH23" s="21"/>
      <c r="TYI23" s="21"/>
      <c r="TYJ23" s="21"/>
      <c r="TYK23" s="21"/>
      <c r="TYL23" s="21"/>
      <c r="TYM23" s="21"/>
      <c r="TYN23" s="21"/>
      <c r="TYO23" s="21"/>
      <c r="TYP23" s="21"/>
      <c r="TYQ23" s="21"/>
      <c r="TYR23" s="21"/>
      <c r="TYS23" s="21"/>
      <c r="TYT23" s="21"/>
      <c r="TYU23" s="21"/>
      <c r="TYV23" s="21"/>
      <c r="TYW23" s="21"/>
      <c r="TYX23" s="21"/>
      <c r="TYY23" s="21"/>
      <c r="TYZ23" s="21"/>
      <c r="TZA23" s="21"/>
      <c r="TZB23" s="21"/>
      <c r="TZC23" s="21"/>
      <c r="TZD23" s="21"/>
      <c r="TZE23" s="21"/>
      <c r="TZF23" s="21"/>
      <c r="TZG23" s="21"/>
      <c r="TZH23" s="21"/>
      <c r="TZI23" s="21"/>
      <c r="TZJ23" s="21"/>
      <c r="TZK23" s="21"/>
      <c r="TZL23" s="21"/>
      <c r="TZM23" s="21"/>
      <c r="TZN23" s="21"/>
      <c r="TZO23" s="21"/>
      <c r="TZP23" s="21"/>
      <c r="TZQ23" s="21"/>
      <c r="TZR23" s="21"/>
      <c r="TZS23" s="21"/>
      <c r="TZT23" s="21"/>
      <c r="TZU23" s="21"/>
      <c r="TZV23" s="21"/>
      <c r="TZW23" s="21"/>
      <c r="TZX23" s="21"/>
      <c r="TZY23" s="21"/>
      <c r="TZZ23" s="21"/>
      <c r="UAA23" s="21"/>
      <c r="UAB23" s="21"/>
      <c r="UAC23" s="21"/>
      <c r="UAD23" s="21"/>
      <c r="UAE23" s="21"/>
      <c r="UAF23" s="21"/>
      <c r="UAG23" s="21"/>
      <c r="UAH23" s="21"/>
      <c r="UAI23" s="21"/>
      <c r="UAJ23" s="21"/>
      <c r="UAK23" s="21"/>
      <c r="UAL23" s="21"/>
      <c r="UAM23" s="21"/>
      <c r="UAN23" s="21"/>
      <c r="UAO23" s="21"/>
      <c r="UAP23" s="21"/>
      <c r="UAQ23" s="21"/>
      <c r="UAR23" s="21"/>
      <c r="UAS23" s="21"/>
      <c r="UAT23" s="21"/>
      <c r="UAU23" s="21"/>
      <c r="UAV23" s="21"/>
      <c r="UAW23" s="21"/>
      <c r="UAX23" s="21"/>
      <c r="UAY23" s="21"/>
      <c r="UAZ23" s="21"/>
      <c r="UBA23" s="21"/>
      <c r="UBB23" s="21"/>
      <c r="UBC23" s="21"/>
      <c r="UBD23" s="21"/>
      <c r="UBE23" s="21"/>
      <c r="UBF23" s="21"/>
      <c r="UBG23" s="21"/>
      <c r="UBH23" s="21"/>
      <c r="UBI23" s="21"/>
      <c r="UBJ23" s="21"/>
      <c r="UBK23" s="21"/>
      <c r="UBL23" s="21"/>
      <c r="UBM23" s="21"/>
      <c r="UBN23" s="21"/>
      <c r="UBO23" s="21"/>
      <c r="UBP23" s="21"/>
      <c r="UBQ23" s="21"/>
      <c r="UBR23" s="21"/>
      <c r="UBS23" s="21"/>
      <c r="UBT23" s="21"/>
      <c r="UBU23" s="21"/>
      <c r="UBV23" s="21"/>
      <c r="UBW23" s="21"/>
      <c r="UBX23" s="21"/>
      <c r="UBY23" s="21"/>
      <c r="UBZ23" s="21"/>
      <c r="UCA23" s="21"/>
      <c r="UCB23" s="21"/>
      <c r="UCC23" s="21"/>
      <c r="UCD23" s="21"/>
      <c r="UCE23" s="21"/>
      <c r="UCF23" s="21"/>
      <c r="UCG23" s="21"/>
      <c r="UCH23" s="21"/>
      <c r="UCI23" s="21"/>
      <c r="UCJ23" s="21"/>
      <c r="UCK23" s="21"/>
      <c r="UCL23" s="21"/>
      <c r="UCM23" s="21"/>
      <c r="UCN23" s="21"/>
      <c r="UCO23" s="21"/>
      <c r="UCP23" s="21"/>
      <c r="UCQ23" s="21"/>
      <c r="UCR23" s="21"/>
      <c r="UCS23" s="21"/>
      <c r="UCT23" s="21"/>
      <c r="UCU23" s="21"/>
      <c r="UCV23" s="21"/>
      <c r="UCW23" s="21"/>
      <c r="UCX23" s="21"/>
      <c r="UCY23" s="21"/>
      <c r="UCZ23" s="21"/>
      <c r="UDA23" s="21"/>
      <c r="UDB23" s="21"/>
      <c r="UDC23" s="21"/>
      <c r="UDD23" s="21"/>
      <c r="UDE23" s="21"/>
      <c r="UDF23" s="21"/>
      <c r="UDG23" s="21"/>
      <c r="UDH23" s="21"/>
      <c r="UDI23" s="21"/>
      <c r="UDJ23" s="21"/>
      <c r="UDK23" s="21"/>
      <c r="UDL23" s="21"/>
      <c r="UDM23" s="21"/>
      <c r="UDN23" s="21"/>
      <c r="UDO23" s="21"/>
      <c r="UDP23" s="21"/>
      <c r="UDQ23" s="21"/>
      <c r="UDR23" s="21"/>
      <c r="UDS23" s="21"/>
      <c r="UDT23" s="21"/>
      <c r="UDU23" s="21"/>
      <c r="UDV23" s="21"/>
      <c r="UDW23" s="21"/>
      <c r="UDX23" s="21"/>
      <c r="UDY23" s="21"/>
      <c r="UDZ23" s="21"/>
      <c r="UEA23" s="21"/>
      <c r="UEB23" s="21"/>
      <c r="UEC23" s="21"/>
      <c r="UED23" s="21"/>
      <c r="UEE23" s="21"/>
      <c r="UEF23" s="21"/>
      <c r="UEG23" s="21"/>
      <c r="UEH23" s="21"/>
      <c r="UEI23" s="21"/>
      <c r="UEJ23" s="21"/>
      <c r="UEK23" s="21"/>
      <c r="UEL23" s="21"/>
      <c r="UEM23" s="21"/>
      <c r="UEN23" s="21"/>
      <c r="UEO23" s="21"/>
      <c r="UEP23" s="21"/>
      <c r="UEQ23" s="21"/>
      <c r="UER23" s="21"/>
      <c r="UES23" s="21"/>
      <c r="UET23" s="21"/>
      <c r="UEU23" s="21"/>
      <c r="UEV23" s="21"/>
      <c r="UEW23" s="21"/>
      <c r="UEX23" s="21"/>
      <c r="UEY23" s="21"/>
      <c r="UEZ23" s="21"/>
      <c r="UFA23" s="21"/>
      <c r="UFB23" s="21"/>
      <c r="UFC23" s="21"/>
      <c r="UFD23" s="21"/>
      <c r="UFE23" s="21"/>
      <c r="UFF23" s="21"/>
      <c r="UFG23" s="21"/>
      <c r="UFH23" s="21"/>
      <c r="UFI23" s="21"/>
      <c r="UFJ23" s="21"/>
      <c r="UFK23" s="21"/>
      <c r="UFL23" s="21"/>
      <c r="UFM23" s="21"/>
      <c r="UFN23" s="21"/>
      <c r="UFO23" s="21"/>
      <c r="UFP23" s="21"/>
      <c r="UFQ23" s="21"/>
      <c r="UFR23" s="21"/>
      <c r="UFS23" s="21"/>
      <c r="UFT23" s="21"/>
      <c r="UFU23" s="21"/>
      <c r="UFV23" s="21"/>
      <c r="UFW23" s="21"/>
      <c r="UFX23" s="21"/>
      <c r="UFY23" s="21"/>
      <c r="UFZ23" s="21"/>
      <c r="UGA23" s="21"/>
      <c r="UGB23" s="21"/>
      <c r="UGC23" s="21"/>
      <c r="UGD23" s="21"/>
      <c r="UGE23" s="21"/>
      <c r="UGF23" s="21"/>
      <c r="UGG23" s="21"/>
      <c r="UGH23" s="21"/>
      <c r="UGI23" s="21"/>
      <c r="UGJ23" s="21"/>
      <c r="UGK23" s="21"/>
      <c r="UGL23" s="21"/>
      <c r="UGM23" s="21"/>
      <c r="UGN23" s="21"/>
      <c r="UGO23" s="21"/>
      <c r="UGP23" s="21"/>
      <c r="UGQ23" s="21"/>
      <c r="UGR23" s="21"/>
      <c r="UGS23" s="21"/>
      <c r="UGT23" s="21"/>
      <c r="UGU23" s="21"/>
      <c r="UGV23" s="21"/>
      <c r="UGW23" s="21"/>
      <c r="UGX23" s="21"/>
      <c r="UGY23" s="21"/>
      <c r="UGZ23" s="21"/>
      <c r="UHA23" s="21"/>
      <c r="UHB23" s="21"/>
      <c r="UHC23" s="21"/>
      <c r="UHD23" s="21"/>
      <c r="UHE23" s="21"/>
      <c r="UHF23" s="21"/>
      <c r="UHG23" s="21"/>
      <c r="UHH23" s="21"/>
      <c r="UHI23" s="21"/>
      <c r="UHJ23" s="21"/>
      <c r="UHK23" s="21"/>
      <c r="UHL23" s="21"/>
      <c r="UHM23" s="21"/>
      <c r="UHN23" s="21"/>
      <c r="UHO23" s="21"/>
      <c r="UHP23" s="21"/>
      <c r="UHQ23" s="21"/>
      <c r="UHR23" s="21"/>
      <c r="UHS23" s="21"/>
      <c r="UHT23" s="21"/>
      <c r="UHU23" s="21"/>
      <c r="UHV23" s="21"/>
      <c r="UHW23" s="21"/>
      <c r="UHX23" s="21"/>
      <c r="UHY23" s="21"/>
      <c r="UHZ23" s="21"/>
      <c r="UIA23" s="21"/>
      <c r="UIB23" s="21"/>
      <c r="UIC23" s="21"/>
      <c r="UID23" s="21"/>
      <c r="UIE23" s="21"/>
      <c r="UIF23" s="21"/>
      <c r="UIG23" s="21"/>
      <c r="UIH23" s="21"/>
      <c r="UII23" s="21"/>
      <c r="UIJ23" s="21"/>
      <c r="UIK23" s="21"/>
      <c r="UIL23" s="21"/>
      <c r="UIM23" s="21"/>
      <c r="UIN23" s="21"/>
      <c r="UIO23" s="21"/>
      <c r="UIP23" s="21"/>
      <c r="UIQ23" s="21"/>
      <c r="UIR23" s="21"/>
      <c r="UIS23" s="21"/>
      <c r="UIT23" s="21"/>
      <c r="UIU23" s="21"/>
      <c r="UIV23" s="21"/>
      <c r="UIW23" s="21"/>
      <c r="UIX23" s="21"/>
      <c r="UIY23" s="21"/>
      <c r="UIZ23" s="21"/>
      <c r="UJA23" s="21"/>
      <c r="UJB23" s="21"/>
      <c r="UJC23" s="21"/>
      <c r="UJD23" s="21"/>
      <c r="UJE23" s="21"/>
      <c r="UJF23" s="21"/>
      <c r="UJG23" s="21"/>
      <c r="UJH23" s="21"/>
      <c r="UJI23" s="21"/>
      <c r="UJJ23" s="21"/>
      <c r="UJK23" s="21"/>
      <c r="UJL23" s="21"/>
      <c r="UJM23" s="21"/>
      <c r="UJN23" s="21"/>
      <c r="UJO23" s="21"/>
      <c r="UJP23" s="21"/>
      <c r="UJQ23" s="21"/>
      <c r="UJR23" s="21"/>
      <c r="UJS23" s="21"/>
      <c r="UJT23" s="21"/>
      <c r="UJU23" s="21"/>
      <c r="UJV23" s="21"/>
      <c r="UJW23" s="21"/>
      <c r="UJX23" s="21"/>
      <c r="UJY23" s="21"/>
      <c r="UJZ23" s="21"/>
      <c r="UKA23" s="21"/>
      <c r="UKB23" s="21"/>
      <c r="UKC23" s="21"/>
      <c r="UKD23" s="21"/>
      <c r="UKE23" s="21"/>
      <c r="UKF23" s="21"/>
      <c r="UKG23" s="21"/>
      <c r="UKH23" s="21"/>
      <c r="UKI23" s="21"/>
      <c r="UKJ23" s="21"/>
      <c r="UKK23" s="21"/>
      <c r="UKL23" s="21"/>
      <c r="UKM23" s="21"/>
      <c r="UKN23" s="21"/>
      <c r="UKO23" s="21"/>
      <c r="UKP23" s="21"/>
      <c r="UKQ23" s="21"/>
      <c r="UKR23" s="21"/>
      <c r="UKS23" s="21"/>
      <c r="UKT23" s="21"/>
      <c r="UKU23" s="21"/>
      <c r="UKV23" s="21"/>
      <c r="UKW23" s="21"/>
      <c r="UKX23" s="21"/>
      <c r="UKY23" s="21"/>
      <c r="UKZ23" s="21"/>
      <c r="ULA23" s="21"/>
      <c r="ULB23" s="21"/>
      <c r="ULC23" s="21"/>
      <c r="ULD23" s="21"/>
      <c r="ULE23" s="21"/>
      <c r="ULF23" s="21"/>
      <c r="ULG23" s="21"/>
      <c r="ULH23" s="21"/>
      <c r="ULI23" s="21"/>
      <c r="ULJ23" s="21"/>
      <c r="ULK23" s="21"/>
      <c r="ULL23" s="21"/>
      <c r="ULM23" s="21"/>
      <c r="ULN23" s="21"/>
      <c r="ULO23" s="21"/>
      <c r="ULP23" s="21"/>
      <c r="ULQ23" s="21"/>
      <c r="ULR23" s="21"/>
      <c r="ULS23" s="21"/>
      <c r="ULT23" s="21"/>
      <c r="ULU23" s="21"/>
      <c r="ULV23" s="21"/>
      <c r="ULW23" s="21"/>
      <c r="ULX23" s="21"/>
      <c r="ULY23" s="21"/>
      <c r="ULZ23" s="21"/>
      <c r="UMA23" s="21"/>
      <c r="UMB23" s="21"/>
      <c r="UMC23" s="21"/>
      <c r="UMD23" s="21"/>
      <c r="UME23" s="21"/>
      <c r="UMF23" s="21"/>
      <c r="UMG23" s="21"/>
      <c r="UMH23" s="21"/>
      <c r="UMI23" s="21"/>
      <c r="UMJ23" s="21"/>
      <c r="UMK23" s="21"/>
      <c r="UML23" s="21"/>
      <c r="UMM23" s="21"/>
      <c r="UMN23" s="21"/>
      <c r="UMO23" s="21"/>
      <c r="UMP23" s="21"/>
      <c r="UMQ23" s="21"/>
      <c r="UMR23" s="21"/>
      <c r="UMS23" s="21"/>
      <c r="UMT23" s="21"/>
      <c r="UMU23" s="21"/>
      <c r="UMV23" s="21"/>
      <c r="UMW23" s="21"/>
      <c r="UMX23" s="21"/>
      <c r="UMY23" s="21"/>
      <c r="UMZ23" s="21"/>
      <c r="UNA23" s="21"/>
      <c r="UNB23" s="21"/>
      <c r="UNC23" s="21"/>
      <c r="UND23" s="21"/>
      <c r="UNE23" s="21"/>
      <c r="UNF23" s="21"/>
      <c r="UNG23" s="21"/>
      <c r="UNH23" s="21"/>
      <c r="UNI23" s="21"/>
      <c r="UNJ23" s="21"/>
      <c r="UNK23" s="21"/>
      <c r="UNL23" s="21"/>
      <c r="UNM23" s="21"/>
      <c r="UNN23" s="21"/>
      <c r="UNO23" s="21"/>
      <c r="UNP23" s="21"/>
      <c r="UNQ23" s="21"/>
      <c r="UNR23" s="21"/>
      <c r="UNS23" s="21"/>
      <c r="UNT23" s="21"/>
      <c r="UNU23" s="21"/>
      <c r="UNV23" s="21"/>
      <c r="UNW23" s="21"/>
      <c r="UNX23" s="21"/>
      <c r="UNY23" s="21"/>
      <c r="UNZ23" s="21"/>
      <c r="UOA23" s="21"/>
      <c r="UOB23" s="21"/>
      <c r="UOC23" s="21"/>
      <c r="UOD23" s="21"/>
      <c r="UOE23" s="21"/>
      <c r="UOF23" s="21"/>
      <c r="UOG23" s="21"/>
      <c r="UOH23" s="21"/>
      <c r="UOI23" s="21"/>
      <c r="UOJ23" s="21"/>
      <c r="UOK23" s="21"/>
      <c r="UOL23" s="21"/>
      <c r="UOM23" s="21"/>
      <c r="UON23" s="21"/>
      <c r="UOO23" s="21"/>
      <c r="UOP23" s="21"/>
      <c r="UOQ23" s="21"/>
      <c r="UOR23" s="21"/>
      <c r="UOS23" s="21"/>
      <c r="UOT23" s="21"/>
      <c r="UOU23" s="21"/>
      <c r="UOV23" s="21"/>
      <c r="UOW23" s="21"/>
      <c r="UOX23" s="21"/>
      <c r="UOY23" s="21"/>
      <c r="UOZ23" s="21"/>
      <c r="UPA23" s="21"/>
      <c r="UPB23" s="21"/>
      <c r="UPC23" s="21"/>
      <c r="UPD23" s="21"/>
      <c r="UPE23" s="21"/>
      <c r="UPF23" s="21"/>
      <c r="UPG23" s="21"/>
      <c r="UPH23" s="21"/>
      <c r="UPI23" s="21"/>
      <c r="UPJ23" s="21"/>
      <c r="UPK23" s="21"/>
      <c r="UPL23" s="21"/>
      <c r="UPM23" s="21"/>
      <c r="UPN23" s="21"/>
      <c r="UPO23" s="21"/>
      <c r="UPP23" s="21"/>
      <c r="UPQ23" s="21"/>
      <c r="UPR23" s="21"/>
      <c r="UPS23" s="21"/>
      <c r="UPT23" s="21"/>
      <c r="UPU23" s="21"/>
      <c r="UPV23" s="21"/>
      <c r="UPW23" s="21"/>
      <c r="UPX23" s="21"/>
      <c r="UPY23" s="21"/>
      <c r="UPZ23" s="21"/>
      <c r="UQA23" s="21"/>
      <c r="UQB23" s="21"/>
      <c r="UQC23" s="21"/>
      <c r="UQD23" s="21"/>
      <c r="UQE23" s="21"/>
      <c r="UQF23" s="21"/>
      <c r="UQG23" s="21"/>
      <c r="UQH23" s="21"/>
      <c r="UQI23" s="21"/>
      <c r="UQJ23" s="21"/>
      <c r="UQK23" s="21"/>
      <c r="UQL23" s="21"/>
      <c r="UQM23" s="21"/>
      <c r="UQN23" s="21"/>
      <c r="UQO23" s="21"/>
      <c r="UQP23" s="21"/>
      <c r="UQQ23" s="21"/>
      <c r="UQR23" s="21"/>
      <c r="UQS23" s="21"/>
      <c r="UQT23" s="21"/>
      <c r="UQU23" s="21"/>
      <c r="UQV23" s="21"/>
      <c r="UQW23" s="21"/>
      <c r="UQX23" s="21"/>
      <c r="UQY23" s="21"/>
      <c r="UQZ23" s="21"/>
      <c r="URA23" s="21"/>
      <c r="URB23" s="21"/>
      <c r="URC23" s="21"/>
      <c r="URD23" s="21"/>
      <c r="URE23" s="21"/>
      <c r="URF23" s="21"/>
      <c r="URG23" s="21"/>
      <c r="URH23" s="21"/>
      <c r="URI23" s="21"/>
      <c r="URJ23" s="21"/>
      <c r="URK23" s="21"/>
      <c r="URL23" s="21"/>
      <c r="URM23" s="21"/>
      <c r="URN23" s="21"/>
      <c r="URO23" s="21"/>
      <c r="URP23" s="21"/>
      <c r="URQ23" s="21"/>
      <c r="URR23" s="21"/>
      <c r="URS23" s="21"/>
      <c r="URT23" s="21"/>
      <c r="URU23" s="21"/>
      <c r="URV23" s="21"/>
      <c r="URW23" s="21"/>
      <c r="URX23" s="21"/>
      <c r="URY23" s="21"/>
      <c r="URZ23" s="21"/>
      <c r="USA23" s="21"/>
      <c r="USB23" s="21"/>
      <c r="USC23" s="21"/>
      <c r="USD23" s="21"/>
      <c r="USE23" s="21"/>
      <c r="USF23" s="21"/>
      <c r="USG23" s="21"/>
      <c r="USH23" s="21"/>
      <c r="USI23" s="21"/>
      <c r="USJ23" s="21"/>
      <c r="USK23" s="21"/>
      <c r="USL23" s="21"/>
      <c r="USM23" s="21"/>
      <c r="USN23" s="21"/>
      <c r="USO23" s="21"/>
      <c r="USP23" s="21"/>
      <c r="USQ23" s="21"/>
      <c r="USR23" s="21"/>
      <c r="USS23" s="21"/>
      <c r="UST23" s="21"/>
      <c r="USU23" s="21"/>
      <c r="USV23" s="21"/>
      <c r="USW23" s="21"/>
      <c r="USX23" s="21"/>
      <c r="USY23" s="21"/>
      <c r="USZ23" s="21"/>
      <c r="UTA23" s="21"/>
      <c r="UTB23" s="21"/>
      <c r="UTC23" s="21"/>
      <c r="UTD23" s="21"/>
      <c r="UTE23" s="21"/>
      <c r="UTF23" s="21"/>
      <c r="UTG23" s="21"/>
      <c r="UTH23" s="21"/>
      <c r="UTI23" s="21"/>
      <c r="UTJ23" s="21"/>
      <c r="UTK23" s="21"/>
      <c r="UTL23" s="21"/>
      <c r="UTM23" s="21"/>
      <c r="UTN23" s="21"/>
      <c r="UTO23" s="21"/>
      <c r="UTP23" s="21"/>
      <c r="UTQ23" s="21"/>
      <c r="UTR23" s="21"/>
      <c r="UTS23" s="21"/>
      <c r="UTT23" s="21"/>
      <c r="UTU23" s="21"/>
      <c r="UTV23" s="21"/>
      <c r="UTW23" s="21"/>
      <c r="UTX23" s="21"/>
      <c r="UTY23" s="21"/>
      <c r="UTZ23" s="21"/>
      <c r="UUA23" s="21"/>
      <c r="UUB23" s="21"/>
      <c r="UUC23" s="21"/>
      <c r="UUD23" s="21"/>
      <c r="UUE23" s="21"/>
      <c r="UUF23" s="21"/>
      <c r="UUG23" s="21"/>
      <c r="UUH23" s="21"/>
      <c r="UUI23" s="21"/>
      <c r="UUJ23" s="21"/>
      <c r="UUK23" s="21"/>
      <c r="UUL23" s="21"/>
      <c r="UUM23" s="21"/>
      <c r="UUN23" s="21"/>
      <c r="UUO23" s="21"/>
      <c r="UUP23" s="21"/>
      <c r="UUQ23" s="21"/>
      <c r="UUR23" s="21"/>
      <c r="UUS23" s="21"/>
      <c r="UUT23" s="21"/>
      <c r="UUU23" s="21"/>
      <c r="UUV23" s="21"/>
      <c r="UUW23" s="21"/>
      <c r="UUX23" s="21"/>
      <c r="UUY23" s="21"/>
      <c r="UUZ23" s="21"/>
      <c r="UVA23" s="21"/>
      <c r="UVB23" s="21"/>
      <c r="UVC23" s="21"/>
      <c r="UVD23" s="21"/>
      <c r="UVE23" s="21"/>
      <c r="UVF23" s="21"/>
      <c r="UVG23" s="21"/>
      <c r="UVH23" s="21"/>
      <c r="UVI23" s="21"/>
      <c r="UVJ23" s="21"/>
      <c r="UVK23" s="21"/>
      <c r="UVL23" s="21"/>
      <c r="UVM23" s="21"/>
      <c r="UVN23" s="21"/>
      <c r="UVO23" s="21"/>
      <c r="UVP23" s="21"/>
      <c r="UVQ23" s="21"/>
      <c r="UVR23" s="21"/>
      <c r="UVS23" s="21"/>
      <c r="UVT23" s="21"/>
      <c r="UVU23" s="21"/>
      <c r="UVV23" s="21"/>
      <c r="UVW23" s="21"/>
      <c r="UVX23" s="21"/>
      <c r="UVY23" s="21"/>
      <c r="UVZ23" s="21"/>
      <c r="UWA23" s="21"/>
      <c r="UWB23" s="21"/>
      <c r="UWC23" s="21"/>
      <c r="UWD23" s="21"/>
      <c r="UWE23" s="21"/>
      <c r="UWF23" s="21"/>
      <c r="UWG23" s="21"/>
      <c r="UWH23" s="21"/>
      <c r="UWI23" s="21"/>
      <c r="UWJ23" s="21"/>
      <c r="UWK23" s="21"/>
      <c r="UWL23" s="21"/>
      <c r="UWM23" s="21"/>
      <c r="UWN23" s="21"/>
      <c r="UWO23" s="21"/>
      <c r="UWP23" s="21"/>
      <c r="UWQ23" s="21"/>
      <c r="UWR23" s="21"/>
      <c r="UWS23" s="21"/>
      <c r="UWT23" s="21"/>
      <c r="UWU23" s="21"/>
      <c r="UWV23" s="21"/>
      <c r="UWW23" s="21"/>
      <c r="UWX23" s="21"/>
      <c r="UWY23" s="21"/>
      <c r="UWZ23" s="21"/>
      <c r="UXA23" s="21"/>
      <c r="UXB23" s="21"/>
      <c r="UXC23" s="21"/>
      <c r="UXD23" s="21"/>
      <c r="UXE23" s="21"/>
      <c r="UXF23" s="21"/>
      <c r="UXG23" s="21"/>
      <c r="UXH23" s="21"/>
      <c r="UXI23" s="21"/>
      <c r="UXJ23" s="21"/>
      <c r="UXK23" s="21"/>
      <c r="UXL23" s="21"/>
      <c r="UXM23" s="21"/>
      <c r="UXN23" s="21"/>
      <c r="UXO23" s="21"/>
      <c r="UXP23" s="21"/>
      <c r="UXQ23" s="21"/>
      <c r="UXR23" s="21"/>
      <c r="UXS23" s="21"/>
      <c r="UXT23" s="21"/>
      <c r="UXU23" s="21"/>
      <c r="UXV23" s="21"/>
      <c r="UXW23" s="21"/>
      <c r="UXX23" s="21"/>
      <c r="UXY23" s="21"/>
      <c r="UXZ23" s="21"/>
      <c r="UYA23" s="21"/>
      <c r="UYB23" s="21"/>
      <c r="UYC23" s="21"/>
      <c r="UYD23" s="21"/>
      <c r="UYE23" s="21"/>
      <c r="UYF23" s="21"/>
      <c r="UYG23" s="21"/>
      <c r="UYH23" s="21"/>
      <c r="UYI23" s="21"/>
      <c r="UYJ23" s="21"/>
      <c r="UYK23" s="21"/>
      <c r="UYL23" s="21"/>
      <c r="UYM23" s="21"/>
      <c r="UYN23" s="21"/>
      <c r="UYO23" s="21"/>
      <c r="UYP23" s="21"/>
      <c r="UYQ23" s="21"/>
      <c r="UYR23" s="21"/>
      <c r="UYS23" s="21"/>
      <c r="UYT23" s="21"/>
      <c r="UYU23" s="21"/>
      <c r="UYV23" s="21"/>
      <c r="UYW23" s="21"/>
      <c r="UYX23" s="21"/>
      <c r="UYY23" s="21"/>
      <c r="UYZ23" s="21"/>
      <c r="UZA23" s="21"/>
      <c r="UZB23" s="21"/>
      <c r="UZC23" s="21"/>
      <c r="UZD23" s="21"/>
      <c r="UZE23" s="21"/>
      <c r="UZF23" s="21"/>
      <c r="UZG23" s="21"/>
      <c r="UZH23" s="21"/>
      <c r="UZI23" s="21"/>
      <c r="UZJ23" s="21"/>
      <c r="UZK23" s="21"/>
      <c r="UZL23" s="21"/>
      <c r="UZM23" s="21"/>
      <c r="UZN23" s="21"/>
      <c r="UZO23" s="21"/>
      <c r="UZP23" s="21"/>
      <c r="UZQ23" s="21"/>
      <c r="UZR23" s="21"/>
      <c r="UZS23" s="21"/>
      <c r="UZT23" s="21"/>
      <c r="UZU23" s="21"/>
      <c r="UZV23" s="21"/>
      <c r="UZW23" s="21"/>
      <c r="UZX23" s="21"/>
      <c r="UZY23" s="21"/>
      <c r="UZZ23" s="21"/>
      <c r="VAA23" s="21"/>
      <c r="VAB23" s="21"/>
      <c r="VAC23" s="21"/>
      <c r="VAD23" s="21"/>
      <c r="VAE23" s="21"/>
      <c r="VAF23" s="21"/>
      <c r="VAG23" s="21"/>
      <c r="VAH23" s="21"/>
      <c r="VAI23" s="21"/>
      <c r="VAJ23" s="21"/>
      <c r="VAK23" s="21"/>
      <c r="VAL23" s="21"/>
      <c r="VAM23" s="21"/>
      <c r="VAN23" s="21"/>
      <c r="VAO23" s="21"/>
      <c r="VAP23" s="21"/>
      <c r="VAQ23" s="21"/>
      <c r="VAR23" s="21"/>
      <c r="VAS23" s="21"/>
      <c r="VAT23" s="21"/>
      <c r="VAU23" s="21"/>
      <c r="VAV23" s="21"/>
      <c r="VAW23" s="21"/>
      <c r="VAX23" s="21"/>
      <c r="VAY23" s="21"/>
      <c r="VAZ23" s="21"/>
      <c r="VBA23" s="21"/>
      <c r="VBB23" s="21"/>
      <c r="VBC23" s="21"/>
      <c r="VBD23" s="21"/>
      <c r="VBE23" s="21"/>
      <c r="VBF23" s="21"/>
      <c r="VBG23" s="21"/>
      <c r="VBH23" s="21"/>
      <c r="VBI23" s="21"/>
      <c r="VBJ23" s="21"/>
      <c r="VBK23" s="21"/>
      <c r="VBL23" s="21"/>
      <c r="VBM23" s="21"/>
      <c r="VBN23" s="21"/>
      <c r="VBO23" s="21"/>
      <c r="VBP23" s="21"/>
      <c r="VBQ23" s="21"/>
      <c r="VBR23" s="21"/>
      <c r="VBS23" s="21"/>
      <c r="VBT23" s="21"/>
      <c r="VBU23" s="21"/>
      <c r="VBV23" s="21"/>
      <c r="VBW23" s="21"/>
      <c r="VBX23" s="21"/>
      <c r="VBY23" s="21"/>
      <c r="VBZ23" s="21"/>
      <c r="VCA23" s="21"/>
      <c r="VCB23" s="21"/>
      <c r="VCC23" s="21"/>
      <c r="VCD23" s="21"/>
      <c r="VCE23" s="21"/>
      <c r="VCF23" s="21"/>
      <c r="VCG23" s="21"/>
      <c r="VCH23" s="21"/>
      <c r="VCI23" s="21"/>
      <c r="VCJ23" s="21"/>
      <c r="VCK23" s="21"/>
      <c r="VCL23" s="21"/>
      <c r="VCM23" s="21"/>
      <c r="VCN23" s="21"/>
      <c r="VCO23" s="21"/>
      <c r="VCP23" s="21"/>
      <c r="VCQ23" s="21"/>
      <c r="VCR23" s="21"/>
      <c r="VCS23" s="21"/>
      <c r="VCT23" s="21"/>
      <c r="VCU23" s="21"/>
      <c r="VCV23" s="21"/>
      <c r="VCW23" s="21"/>
      <c r="VCX23" s="21"/>
      <c r="VCY23" s="21"/>
      <c r="VCZ23" s="21"/>
      <c r="VDA23" s="21"/>
      <c r="VDB23" s="21"/>
      <c r="VDC23" s="21"/>
      <c r="VDD23" s="21"/>
      <c r="VDE23" s="21"/>
      <c r="VDF23" s="21"/>
      <c r="VDG23" s="21"/>
      <c r="VDH23" s="21"/>
      <c r="VDI23" s="21"/>
      <c r="VDJ23" s="21"/>
      <c r="VDK23" s="21"/>
      <c r="VDL23" s="21"/>
      <c r="VDM23" s="21"/>
      <c r="VDN23" s="21"/>
      <c r="VDO23" s="21"/>
      <c r="VDP23" s="21"/>
      <c r="VDQ23" s="21"/>
      <c r="VDR23" s="21"/>
      <c r="VDS23" s="21"/>
      <c r="VDT23" s="21"/>
      <c r="VDU23" s="21"/>
      <c r="VDV23" s="21"/>
      <c r="VDW23" s="21"/>
      <c r="VDX23" s="21"/>
      <c r="VDY23" s="21"/>
      <c r="VDZ23" s="21"/>
      <c r="VEA23" s="21"/>
      <c r="VEB23" s="21"/>
      <c r="VEC23" s="21"/>
      <c r="VED23" s="21"/>
      <c r="VEE23" s="21"/>
      <c r="VEF23" s="21"/>
      <c r="VEG23" s="21"/>
      <c r="VEH23" s="21"/>
      <c r="VEI23" s="21"/>
      <c r="VEJ23" s="21"/>
      <c r="VEK23" s="21"/>
      <c r="VEL23" s="21"/>
      <c r="VEM23" s="21"/>
      <c r="VEN23" s="21"/>
      <c r="VEO23" s="21"/>
      <c r="VEP23" s="21"/>
      <c r="VEQ23" s="21"/>
      <c r="VER23" s="21"/>
      <c r="VES23" s="21"/>
      <c r="VET23" s="21"/>
      <c r="VEU23" s="21"/>
      <c r="VEV23" s="21"/>
      <c r="VEW23" s="21"/>
      <c r="VEX23" s="21"/>
      <c r="VEY23" s="21"/>
      <c r="VEZ23" s="21"/>
      <c r="VFA23" s="21"/>
      <c r="VFB23" s="21"/>
      <c r="VFC23" s="21"/>
      <c r="VFD23" s="21"/>
      <c r="VFE23" s="21"/>
      <c r="VFF23" s="21"/>
      <c r="VFG23" s="21"/>
      <c r="VFH23" s="21"/>
      <c r="VFI23" s="21"/>
      <c r="VFJ23" s="21"/>
      <c r="VFK23" s="21"/>
      <c r="VFL23" s="21"/>
      <c r="VFM23" s="21"/>
      <c r="VFN23" s="21"/>
      <c r="VFO23" s="21"/>
      <c r="VFP23" s="21"/>
      <c r="VFQ23" s="21"/>
      <c r="VFR23" s="21"/>
      <c r="VFS23" s="21"/>
      <c r="VFT23" s="21"/>
      <c r="VFU23" s="21"/>
      <c r="VFV23" s="21"/>
      <c r="VFW23" s="21"/>
      <c r="VFX23" s="21"/>
      <c r="VFY23" s="21"/>
      <c r="VFZ23" s="21"/>
      <c r="VGA23" s="21"/>
      <c r="VGB23" s="21"/>
      <c r="VGC23" s="21"/>
      <c r="VGD23" s="21"/>
      <c r="VGE23" s="21"/>
      <c r="VGF23" s="21"/>
      <c r="VGG23" s="21"/>
      <c r="VGH23" s="21"/>
      <c r="VGI23" s="21"/>
      <c r="VGJ23" s="21"/>
      <c r="VGK23" s="21"/>
      <c r="VGL23" s="21"/>
      <c r="VGM23" s="21"/>
      <c r="VGN23" s="21"/>
      <c r="VGO23" s="21"/>
      <c r="VGP23" s="21"/>
      <c r="VGQ23" s="21"/>
      <c r="VGR23" s="21"/>
      <c r="VGS23" s="21"/>
      <c r="VGT23" s="21"/>
      <c r="VGU23" s="21"/>
      <c r="VGV23" s="21"/>
      <c r="VGW23" s="21"/>
      <c r="VGX23" s="21"/>
      <c r="VGY23" s="21"/>
      <c r="VGZ23" s="21"/>
      <c r="VHA23" s="21"/>
      <c r="VHB23" s="21"/>
      <c r="VHC23" s="21"/>
      <c r="VHD23" s="21"/>
      <c r="VHE23" s="21"/>
      <c r="VHF23" s="21"/>
      <c r="VHG23" s="21"/>
      <c r="VHH23" s="21"/>
      <c r="VHI23" s="21"/>
      <c r="VHJ23" s="21"/>
      <c r="VHK23" s="21"/>
      <c r="VHL23" s="21"/>
      <c r="VHM23" s="21"/>
      <c r="VHN23" s="21"/>
      <c r="VHO23" s="21"/>
      <c r="VHP23" s="21"/>
      <c r="VHQ23" s="21"/>
      <c r="VHR23" s="21"/>
      <c r="VHS23" s="21"/>
      <c r="VHT23" s="21"/>
      <c r="VHU23" s="21"/>
      <c r="VHV23" s="21"/>
      <c r="VHW23" s="21"/>
      <c r="VHX23" s="21"/>
      <c r="VHY23" s="21"/>
      <c r="VHZ23" s="21"/>
      <c r="VIA23" s="21"/>
      <c r="VIB23" s="21"/>
      <c r="VIC23" s="21"/>
      <c r="VID23" s="21"/>
      <c r="VIE23" s="21"/>
      <c r="VIF23" s="21"/>
      <c r="VIG23" s="21"/>
      <c r="VIH23" s="21"/>
      <c r="VII23" s="21"/>
      <c r="VIJ23" s="21"/>
      <c r="VIK23" s="21"/>
      <c r="VIL23" s="21"/>
      <c r="VIM23" s="21"/>
      <c r="VIN23" s="21"/>
      <c r="VIO23" s="21"/>
      <c r="VIP23" s="21"/>
      <c r="VIQ23" s="21"/>
      <c r="VIR23" s="21"/>
      <c r="VIS23" s="21"/>
      <c r="VIT23" s="21"/>
      <c r="VIU23" s="21"/>
      <c r="VIV23" s="21"/>
      <c r="VIW23" s="21"/>
      <c r="VIX23" s="21"/>
      <c r="VIY23" s="21"/>
      <c r="VIZ23" s="21"/>
      <c r="VJA23" s="21"/>
      <c r="VJB23" s="21"/>
      <c r="VJC23" s="21"/>
      <c r="VJD23" s="21"/>
      <c r="VJE23" s="21"/>
      <c r="VJF23" s="21"/>
      <c r="VJG23" s="21"/>
      <c r="VJH23" s="21"/>
      <c r="VJI23" s="21"/>
      <c r="VJJ23" s="21"/>
      <c r="VJK23" s="21"/>
      <c r="VJL23" s="21"/>
      <c r="VJM23" s="21"/>
      <c r="VJN23" s="21"/>
      <c r="VJO23" s="21"/>
      <c r="VJP23" s="21"/>
      <c r="VJQ23" s="21"/>
      <c r="VJR23" s="21"/>
      <c r="VJS23" s="21"/>
      <c r="VJT23" s="21"/>
      <c r="VJU23" s="21"/>
      <c r="VJV23" s="21"/>
      <c r="VJW23" s="21"/>
      <c r="VJX23" s="21"/>
      <c r="VJY23" s="21"/>
      <c r="VJZ23" s="21"/>
      <c r="VKA23" s="21"/>
      <c r="VKB23" s="21"/>
      <c r="VKC23" s="21"/>
      <c r="VKD23" s="21"/>
      <c r="VKE23" s="21"/>
      <c r="VKF23" s="21"/>
      <c r="VKG23" s="21"/>
      <c r="VKH23" s="21"/>
      <c r="VKI23" s="21"/>
      <c r="VKJ23" s="21"/>
      <c r="VKK23" s="21"/>
      <c r="VKL23" s="21"/>
      <c r="VKM23" s="21"/>
      <c r="VKN23" s="21"/>
      <c r="VKO23" s="21"/>
      <c r="VKP23" s="21"/>
      <c r="VKQ23" s="21"/>
      <c r="VKR23" s="21"/>
      <c r="VKS23" s="21"/>
      <c r="VKT23" s="21"/>
      <c r="VKU23" s="21"/>
      <c r="VKV23" s="21"/>
      <c r="VKW23" s="21"/>
      <c r="VKX23" s="21"/>
      <c r="VKY23" s="21"/>
      <c r="VKZ23" s="21"/>
      <c r="VLA23" s="21"/>
      <c r="VLB23" s="21"/>
      <c r="VLC23" s="21"/>
      <c r="VLD23" s="21"/>
      <c r="VLE23" s="21"/>
      <c r="VLF23" s="21"/>
      <c r="VLG23" s="21"/>
      <c r="VLH23" s="21"/>
      <c r="VLI23" s="21"/>
      <c r="VLJ23" s="21"/>
      <c r="VLK23" s="21"/>
      <c r="VLL23" s="21"/>
      <c r="VLM23" s="21"/>
      <c r="VLN23" s="21"/>
      <c r="VLO23" s="21"/>
      <c r="VLP23" s="21"/>
      <c r="VLQ23" s="21"/>
      <c r="VLR23" s="21"/>
      <c r="VLS23" s="21"/>
      <c r="VLT23" s="21"/>
      <c r="VLU23" s="21"/>
      <c r="VLV23" s="21"/>
      <c r="VLW23" s="21"/>
      <c r="VLX23" s="21"/>
      <c r="VLY23" s="21"/>
      <c r="VLZ23" s="21"/>
      <c r="VMA23" s="21"/>
      <c r="VMB23" s="21"/>
      <c r="VMC23" s="21"/>
      <c r="VMD23" s="21"/>
      <c r="VME23" s="21"/>
      <c r="VMF23" s="21"/>
      <c r="VMG23" s="21"/>
      <c r="VMH23" s="21"/>
      <c r="VMI23" s="21"/>
      <c r="VMJ23" s="21"/>
      <c r="VMK23" s="21"/>
      <c r="VML23" s="21"/>
      <c r="VMM23" s="21"/>
      <c r="VMN23" s="21"/>
      <c r="VMO23" s="21"/>
      <c r="VMP23" s="21"/>
      <c r="VMQ23" s="21"/>
      <c r="VMR23" s="21"/>
      <c r="VMS23" s="21"/>
      <c r="VMT23" s="21"/>
      <c r="VMU23" s="21"/>
      <c r="VMV23" s="21"/>
      <c r="VMW23" s="21"/>
      <c r="VMX23" s="21"/>
      <c r="VMY23" s="21"/>
      <c r="VMZ23" s="21"/>
      <c r="VNA23" s="21"/>
      <c r="VNB23" s="21"/>
      <c r="VNC23" s="21"/>
      <c r="VND23" s="21"/>
      <c r="VNE23" s="21"/>
      <c r="VNF23" s="21"/>
      <c r="VNG23" s="21"/>
      <c r="VNH23" s="21"/>
      <c r="VNI23" s="21"/>
      <c r="VNJ23" s="21"/>
      <c r="VNK23" s="21"/>
      <c r="VNL23" s="21"/>
      <c r="VNM23" s="21"/>
      <c r="VNN23" s="21"/>
      <c r="VNO23" s="21"/>
      <c r="VNP23" s="21"/>
      <c r="VNQ23" s="21"/>
      <c r="VNR23" s="21"/>
      <c r="VNS23" s="21"/>
      <c r="VNT23" s="21"/>
      <c r="VNU23" s="21"/>
      <c r="VNV23" s="21"/>
      <c r="VNW23" s="21"/>
      <c r="VNX23" s="21"/>
      <c r="VNY23" s="21"/>
      <c r="VNZ23" s="21"/>
      <c r="VOA23" s="21"/>
      <c r="VOB23" s="21"/>
      <c r="VOC23" s="21"/>
      <c r="VOD23" s="21"/>
      <c r="VOE23" s="21"/>
      <c r="VOF23" s="21"/>
      <c r="VOG23" s="21"/>
      <c r="VOH23" s="21"/>
      <c r="VOI23" s="21"/>
      <c r="VOJ23" s="21"/>
      <c r="VOK23" s="21"/>
      <c r="VOL23" s="21"/>
      <c r="VOM23" s="21"/>
      <c r="VON23" s="21"/>
      <c r="VOO23" s="21"/>
      <c r="VOP23" s="21"/>
      <c r="VOQ23" s="21"/>
      <c r="VOR23" s="21"/>
      <c r="VOS23" s="21"/>
      <c r="VOT23" s="21"/>
      <c r="VOU23" s="21"/>
      <c r="VOV23" s="21"/>
      <c r="VOW23" s="21"/>
      <c r="VOX23" s="21"/>
      <c r="VOY23" s="21"/>
      <c r="VOZ23" s="21"/>
      <c r="VPA23" s="21"/>
      <c r="VPB23" s="21"/>
      <c r="VPC23" s="21"/>
      <c r="VPD23" s="21"/>
      <c r="VPE23" s="21"/>
      <c r="VPF23" s="21"/>
      <c r="VPG23" s="21"/>
      <c r="VPH23" s="21"/>
      <c r="VPI23" s="21"/>
      <c r="VPJ23" s="21"/>
      <c r="VPK23" s="21"/>
      <c r="VPL23" s="21"/>
      <c r="VPM23" s="21"/>
      <c r="VPN23" s="21"/>
      <c r="VPO23" s="21"/>
      <c r="VPP23" s="21"/>
      <c r="VPQ23" s="21"/>
      <c r="VPR23" s="21"/>
      <c r="VPS23" s="21"/>
      <c r="VPT23" s="21"/>
      <c r="VPU23" s="21"/>
      <c r="VPV23" s="21"/>
      <c r="VPW23" s="21"/>
      <c r="VPX23" s="21"/>
      <c r="VPY23" s="21"/>
      <c r="VPZ23" s="21"/>
      <c r="VQA23" s="21"/>
      <c r="VQB23" s="21"/>
      <c r="VQC23" s="21"/>
      <c r="VQD23" s="21"/>
      <c r="VQE23" s="21"/>
      <c r="VQF23" s="21"/>
      <c r="VQG23" s="21"/>
      <c r="VQH23" s="21"/>
      <c r="VQI23" s="21"/>
      <c r="VQJ23" s="21"/>
      <c r="VQK23" s="21"/>
      <c r="VQL23" s="21"/>
      <c r="VQM23" s="21"/>
      <c r="VQN23" s="21"/>
      <c r="VQO23" s="21"/>
      <c r="VQP23" s="21"/>
      <c r="VQQ23" s="21"/>
      <c r="VQR23" s="21"/>
      <c r="VQS23" s="21"/>
      <c r="VQT23" s="21"/>
      <c r="VQU23" s="21"/>
      <c r="VQV23" s="21"/>
      <c r="VQW23" s="21"/>
      <c r="VQX23" s="21"/>
      <c r="VQY23" s="21"/>
      <c r="VQZ23" s="21"/>
      <c r="VRA23" s="21"/>
      <c r="VRB23" s="21"/>
      <c r="VRC23" s="21"/>
      <c r="VRD23" s="21"/>
      <c r="VRE23" s="21"/>
      <c r="VRF23" s="21"/>
      <c r="VRG23" s="21"/>
      <c r="VRH23" s="21"/>
      <c r="VRI23" s="21"/>
      <c r="VRJ23" s="21"/>
      <c r="VRK23" s="21"/>
      <c r="VRL23" s="21"/>
      <c r="VRM23" s="21"/>
      <c r="VRN23" s="21"/>
      <c r="VRO23" s="21"/>
      <c r="VRP23" s="21"/>
      <c r="VRQ23" s="21"/>
      <c r="VRR23" s="21"/>
      <c r="VRS23" s="21"/>
      <c r="VRT23" s="21"/>
      <c r="VRU23" s="21"/>
      <c r="VRV23" s="21"/>
      <c r="VRW23" s="21"/>
      <c r="VRX23" s="21"/>
      <c r="VRY23" s="21"/>
      <c r="VRZ23" s="21"/>
      <c r="VSA23" s="21"/>
      <c r="VSB23" s="21"/>
      <c r="VSC23" s="21"/>
      <c r="VSD23" s="21"/>
      <c r="VSE23" s="21"/>
      <c r="VSF23" s="21"/>
      <c r="VSG23" s="21"/>
      <c r="VSH23" s="21"/>
      <c r="VSI23" s="21"/>
      <c r="VSJ23" s="21"/>
      <c r="VSK23" s="21"/>
      <c r="VSL23" s="21"/>
      <c r="VSM23" s="21"/>
      <c r="VSN23" s="21"/>
      <c r="VSO23" s="21"/>
      <c r="VSP23" s="21"/>
      <c r="VSQ23" s="21"/>
      <c r="VSR23" s="21"/>
      <c r="VSS23" s="21"/>
      <c r="VST23" s="21"/>
      <c r="VSU23" s="21"/>
      <c r="VSV23" s="21"/>
      <c r="VSW23" s="21"/>
      <c r="VSX23" s="21"/>
      <c r="VSY23" s="21"/>
      <c r="VSZ23" s="21"/>
      <c r="VTA23" s="21"/>
      <c r="VTB23" s="21"/>
      <c r="VTC23" s="21"/>
      <c r="VTD23" s="21"/>
      <c r="VTE23" s="21"/>
      <c r="VTF23" s="21"/>
      <c r="VTG23" s="21"/>
      <c r="VTH23" s="21"/>
      <c r="VTI23" s="21"/>
      <c r="VTJ23" s="21"/>
      <c r="VTK23" s="21"/>
      <c r="VTL23" s="21"/>
      <c r="VTM23" s="21"/>
      <c r="VTN23" s="21"/>
      <c r="VTO23" s="21"/>
      <c r="VTP23" s="21"/>
      <c r="VTQ23" s="21"/>
      <c r="VTR23" s="21"/>
      <c r="VTS23" s="21"/>
      <c r="VTT23" s="21"/>
      <c r="VTU23" s="21"/>
      <c r="VTV23" s="21"/>
      <c r="VTW23" s="21"/>
      <c r="VTX23" s="21"/>
      <c r="VTY23" s="21"/>
      <c r="VTZ23" s="21"/>
      <c r="VUA23" s="21"/>
      <c r="VUB23" s="21"/>
      <c r="VUC23" s="21"/>
      <c r="VUD23" s="21"/>
      <c r="VUE23" s="21"/>
      <c r="VUF23" s="21"/>
      <c r="VUG23" s="21"/>
      <c r="VUH23" s="21"/>
      <c r="VUI23" s="21"/>
      <c r="VUJ23" s="21"/>
      <c r="VUK23" s="21"/>
      <c r="VUL23" s="21"/>
      <c r="VUM23" s="21"/>
      <c r="VUN23" s="21"/>
      <c r="VUO23" s="21"/>
      <c r="VUP23" s="21"/>
      <c r="VUQ23" s="21"/>
      <c r="VUR23" s="21"/>
      <c r="VUS23" s="21"/>
      <c r="VUT23" s="21"/>
      <c r="VUU23" s="21"/>
      <c r="VUV23" s="21"/>
      <c r="VUW23" s="21"/>
      <c r="VUX23" s="21"/>
      <c r="VUY23" s="21"/>
      <c r="VUZ23" s="21"/>
      <c r="VVA23" s="21"/>
      <c r="VVB23" s="21"/>
      <c r="VVC23" s="21"/>
      <c r="VVD23" s="21"/>
      <c r="VVE23" s="21"/>
      <c r="VVF23" s="21"/>
      <c r="VVG23" s="21"/>
      <c r="VVH23" s="21"/>
      <c r="VVI23" s="21"/>
      <c r="VVJ23" s="21"/>
      <c r="VVK23" s="21"/>
      <c r="VVL23" s="21"/>
      <c r="VVM23" s="21"/>
      <c r="VVN23" s="21"/>
      <c r="VVO23" s="21"/>
      <c r="VVP23" s="21"/>
      <c r="VVQ23" s="21"/>
      <c r="VVR23" s="21"/>
      <c r="VVS23" s="21"/>
      <c r="VVT23" s="21"/>
      <c r="VVU23" s="21"/>
      <c r="VVV23" s="21"/>
      <c r="VVW23" s="21"/>
      <c r="VVX23" s="21"/>
      <c r="VVY23" s="21"/>
      <c r="VVZ23" s="21"/>
      <c r="VWA23" s="21"/>
      <c r="VWB23" s="21"/>
      <c r="VWC23" s="21"/>
      <c r="VWD23" s="21"/>
      <c r="VWE23" s="21"/>
      <c r="VWF23" s="21"/>
      <c r="VWG23" s="21"/>
      <c r="VWH23" s="21"/>
      <c r="VWI23" s="21"/>
      <c r="VWJ23" s="21"/>
      <c r="VWK23" s="21"/>
      <c r="VWL23" s="21"/>
      <c r="VWM23" s="21"/>
      <c r="VWN23" s="21"/>
      <c r="VWO23" s="21"/>
      <c r="VWP23" s="21"/>
      <c r="VWQ23" s="21"/>
      <c r="VWR23" s="21"/>
      <c r="VWS23" s="21"/>
      <c r="VWT23" s="21"/>
      <c r="VWU23" s="21"/>
      <c r="VWV23" s="21"/>
      <c r="VWW23" s="21"/>
      <c r="VWX23" s="21"/>
      <c r="VWY23" s="21"/>
      <c r="VWZ23" s="21"/>
      <c r="VXA23" s="21"/>
      <c r="VXB23" s="21"/>
      <c r="VXC23" s="21"/>
      <c r="VXD23" s="21"/>
      <c r="VXE23" s="21"/>
      <c r="VXF23" s="21"/>
      <c r="VXG23" s="21"/>
      <c r="VXH23" s="21"/>
      <c r="VXI23" s="21"/>
      <c r="VXJ23" s="21"/>
      <c r="VXK23" s="21"/>
      <c r="VXL23" s="21"/>
      <c r="VXM23" s="21"/>
      <c r="VXN23" s="21"/>
      <c r="VXO23" s="21"/>
      <c r="VXP23" s="21"/>
      <c r="VXQ23" s="21"/>
      <c r="VXR23" s="21"/>
      <c r="VXS23" s="21"/>
      <c r="VXT23" s="21"/>
      <c r="VXU23" s="21"/>
      <c r="VXV23" s="21"/>
      <c r="VXW23" s="21"/>
      <c r="VXX23" s="21"/>
      <c r="VXY23" s="21"/>
      <c r="VXZ23" s="21"/>
      <c r="VYA23" s="21"/>
      <c r="VYB23" s="21"/>
      <c r="VYC23" s="21"/>
      <c r="VYD23" s="21"/>
      <c r="VYE23" s="21"/>
      <c r="VYF23" s="21"/>
      <c r="VYG23" s="21"/>
      <c r="VYH23" s="21"/>
      <c r="VYI23" s="21"/>
      <c r="VYJ23" s="21"/>
      <c r="VYK23" s="21"/>
      <c r="VYL23" s="21"/>
      <c r="VYM23" s="21"/>
      <c r="VYN23" s="21"/>
      <c r="VYO23" s="21"/>
      <c r="VYP23" s="21"/>
      <c r="VYQ23" s="21"/>
      <c r="VYR23" s="21"/>
      <c r="VYS23" s="21"/>
      <c r="VYT23" s="21"/>
      <c r="VYU23" s="21"/>
      <c r="VYV23" s="21"/>
      <c r="VYW23" s="21"/>
      <c r="VYX23" s="21"/>
      <c r="VYY23" s="21"/>
      <c r="VYZ23" s="21"/>
      <c r="VZA23" s="21"/>
      <c r="VZB23" s="21"/>
      <c r="VZC23" s="21"/>
      <c r="VZD23" s="21"/>
      <c r="VZE23" s="21"/>
      <c r="VZF23" s="21"/>
      <c r="VZG23" s="21"/>
      <c r="VZH23" s="21"/>
      <c r="VZI23" s="21"/>
      <c r="VZJ23" s="21"/>
      <c r="VZK23" s="21"/>
      <c r="VZL23" s="21"/>
      <c r="VZM23" s="21"/>
      <c r="VZN23" s="21"/>
      <c r="VZO23" s="21"/>
      <c r="VZP23" s="21"/>
      <c r="VZQ23" s="21"/>
      <c r="VZR23" s="21"/>
      <c r="VZS23" s="21"/>
      <c r="VZT23" s="21"/>
      <c r="VZU23" s="21"/>
      <c r="VZV23" s="21"/>
      <c r="VZW23" s="21"/>
      <c r="VZX23" s="21"/>
      <c r="VZY23" s="21"/>
      <c r="VZZ23" s="21"/>
      <c r="WAA23" s="21"/>
      <c r="WAB23" s="21"/>
      <c r="WAC23" s="21"/>
      <c r="WAD23" s="21"/>
      <c r="WAE23" s="21"/>
      <c r="WAF23" s="21"/>
      <c r="WAG23" s="21"/>
      <c r="WAH23" s="21"/>
      <c r="WAI23" s="21"/>
      <c r="WAJ23" s="21"/>
      <c r="WAK23" s="21"/>
      <c r="WAL23" s="21"/>
      <c r="WAM23" s="21"/>
      <c r="WAN23" s="21"/>
      <c r="WAO23" s="21"/>
      <c r="WAP23" s="21"/>
      <c r="WAQ23" s="21"/>
      <c r="WAR23" s="21"/>
      <c r="WAS23" s="21"/>
      <c r="WAT23" s="21"/>
      <c r="WAU23" s="21"/>
      <c r="WAV23" s="21"/>
      <c r="WAW23" s="21"/>
      <c r="WAX23" s="21"/>
      <c r="WAY23" s="21"/>
      <c r="WAZ23" s="21"/>
      <c r="WBA23" s="21"/>
      <c r="WBB23" s="21"/>
      <c r="WBC23" s="21"/>
      <c r="WBD23" s="21"/>
      <c r="WBE23" s="21"/>
      <c r="WBF23" s="21"/>
      <c r="WBG23" s="21"/>
      <c r="WBH23" s="21"/>
      <c r="WBI23" s="21"/>
      <c r="WBJ23" s="21"/>
      <c r="WBK23" s="21"/>
      <c r="WBL23" s="21"/>
      <c r="WBM23" s="21"/>
      <c r="WBN23" s="21"/>
      <c r="WBO23" s="21"/>
      <c r="WBP23" s="21"/>
      <c r="WBQ23" s="21"/>
      <c r="WBR23" s="21"/>
      <c r="WBS23" s="21"/>
      <c r="WBT23" s="21"/>
      <c r="WBU23" s="21"/>
      <c r="WBV23" s="21"/>
      <c r="WBW23" s="21"/>
      <c r="WBX23" s="21"/>
      <c r="WBY23" s="21"/>
      <c r="WBZ23" s="21"/>
      <c r="WCA23" s="21"/>
      <c r="WCB23" s="21"/>
      <c r="WCC23" s="21"/>
      <c r="WCD23" s="21"/>
      <c r="WCE23" s="21"/>
      <c r="WCF23" s="21"/>
      <c r="WCG23" s="21"/>
      <c r="WCH23" s="21"/>
      <c r="WCI23" s="21"/>
      <c r="WCJ23" s="21"/>
      <c r="WCK23" s="21"/>
      <c r="WCL23" s="21"/>
      <c r="WCM23" s="21"/>
      <c r="WCN23" s="21"/>
      <c r="WCO23" s="21"/>
      <c r="WCP23" s="21"/>
      <c r="WCQ23" s="21"/>
      <c r="WCR23" s="21"/>
      <c r="WCS23" s="21"/>
      <c r="WCT23" s="21"/>
      <c r="WCU23" s="21"/>
      <c r="WCV23" s="21"/>
      <c r="WCW23" s="21"/>
      <c r="WCX23" s="21"/>
      <c r="WCY23" s="21"/>
      <c r="WCZ23" s="21"/>
      <c r="WDA23" s="21"/>
      <c r="WDB23" s="21"/>
      <c r="WDC23" s="21"/>
      <c r="WDD23" s="21"/>
      <c r="WDE23" s="21"/>
      <c r="WDF23" s="21"/>
      <c r="WDG23" s="21"/>
      <c r="WDH23" s="21"/>
      <c r="WDI23" s="21"/>
      <c r="WDJ23" s="21"/>
      <c r="WDK23" s="21"/>
      <c r="WDL23" s="21"/>
      <c r="WDM23" s="21"/>
      <c r="WDN23" s="21"/>
      <c r="WDO23" s="21"/>
      <c r="WDP23" s="21"/>
      <c r="WDQ23" s="21"/>
      <c r="WDR23" s="21"/>
      <c r="WDS23" s="21"/>
      <c r="WDT23" s="21"/>
      <c r="WDU23" s="21"/>
      <c r="WDV23" s="21"/>
      <c r="WDW23" s="21"/>
      <c r="WDX23" s="21"/>
      <c r="WDY23" s="21"/>
      <c r="WDZ23" s="21"/>
      <c r="WEA23" s="21"/>
      <c r="WEB23" s="21"/>
      <c r="WEC23" s="21"/>
      <c r="WED23" s="21"/>
      <c r="WEE23" s="21"/>
      <c r="WEF23" s="21"/>
      <c r="WEG23" s="21"/>
      <c r="WEH23" s="21"/>
      <c r="WEI23" s="21"/>
      <c r="WEJ23" s="21"/>
      <c r="WEK23" s="21"/>
      <c r="WEL23" s="21"/>
      <c r="WEM23" s="21"/>
      <c r="WEN23" s="21"/>
      <c r="WEO23" s="21"/>
      <c r="WEP23" s="21"/>
      <c r="WEQ23" s="21"/>
      <c r="WER23" s="21"/>
      <c r="WES23" s="21"/>
      <c r="WET23" s="21"/>
      <c r="WEU23" s="21"/>
      <c r="WEV23" s="21"/>
      <c r="WEW23" s="21"/>
      <c r="WEX23" s="21"/>
      <c r="WEY23" s="21"/>
      <c r="WEZ23" s="21"/>
      <c r="WFA23" s="21"/>
      <c r="WFB23" s="21"/>
      <c r="WFC23" s="21"/>
      <c r="WFD23" s="21"/>
      <c r="WFE23" s="21"/>
      <c r="WFF23" s="21"/>
      <c r="WFG23" s="21"/>
      <c r="WFH23" s="21"/>
      <c r="WFI23" s="21"/>
      <c r="WFJ23" s="21"/>
      <c r="WFK23" s="21"/>
      <c r="WFL23" s="21"/>
      <c r="WFM23" s="21"/>
      <c r="WFN23" s="21"/>
      <c r="WFO23" s="21"/>
      <c r="WFP23" s="21"/>
      <c r="WFQ23" s="21"/>
      <c r="WFR23" s="21"/>
      <c r="WFS23" s="21"/>
      <c r="WFT23" s="21"/>
      <c r="WFU23" s="21"/>
      <c r="WFV23" s="21"/>
      <c r="WFW23" s="21"/>
      <c r="WFX23" s="21"/>
      <c r="WFY23" s="21"/>
      <c r="WFZ23" s="21"/>
      <c r="WGA23" s="21"/>
      <c r="WGB23" s="21"/>
      <c r="WGC23" s="21"/>
      <c r="WGD23" s="21"/>
      <c r="WGE23" s="21"/>
      <c r="WGF23" s="21"/>
      <c r="WGG23" s="21"/>
      <c r="WGH23" s="21"/>
      <c r="WGI23" s="21"/>
      <c r="WGJ23" s="21"/>
      <c r="WGK23" s="21"/>
      <c r="WGL23" s="21"/>
      <c r="WGM23" s="21"/>
      <c r="WGN23" s="21"/>
      <c r="WGO23" s="21"/>
      <c r="WGP23" s="21"/>
      <c r="WGQ23" s="21"/>
      <c r="WGR23" s="21"/>
      <c r="WGS23" s="21"/>
      <c r="WGT23" s="21"/>
      <c r="WGU23" s="21"/>
      <c r="WGV23" s="21"/>
      <c r="WGW23" s="21"/>
      <c r="WGX23" s="21"/>
      <c r="WGY23" s="21"/>
      <c r="WGZ23" s="21"/>
      <c r="WHA23" s="21"/>
      <c r="WHB23" s="21"/>
      <c r="WHC23" s="21"/>
      <c r="WHD23" s="21"/>
      <c r="WHE23" s="21"/>
      <c r="WHF23" s="21"/>
      <c r="WHG23" s="21"/>
      <c r="WHH23" s="21"/>
      <c r="WHI23" s="21"/>
      <c r="WHJ23" s="21"/>
      <c r="WHK23" s="21"/>
      <c r="WHL23" s="21"/>
      <c r="WHM23" s="21"/>
      <c r="WHN23" s="21"/>
      <c r="WHO23" s="21"/>
      <c r="WHP23" s="21"/>
      <c r="WHQ23" s="21"/>
      <c r="WHR23" s="21"/>
      <c r="WHS23" s="21"/>
      <c r="WHT23" s="21"/>
      <c r="WHU23" s="21"/>
      <c r="WHV23" s="21"/>
      <c r="WHW23" s="21"/>
      <c r="WHX23" s="21"/>
      <c r="WHY23" s="21"/>
      <c r="WHZ23" s="21"/>
      <c r="WIA23" s="21"/>
      <c r="WIB23" s="21"/>
      <c r="WIC23" s="21"/>
      <c r="WID23" s="21"/>
      <c r="WIE23" s="21"/>
      <c r="WIF23" s="21"/>
      <c r="WIG23" s="21"/>
      <c r="WIH23" s="21"/>
      <c r="WII23" s="21"/>
      <c r="WIJ23" s="21"/>
      <c r="WIK23" s="21"/>
      <c r="WIL23" s="21"/>
      <c r="WIM23" s="21"/>
      <c r="WIN23" s="21"/>
      <c r="WIO23" s="21"/>
      <c r="WIP23" s="21"/>
      <c r="WIQ23" s="21"/>
      <c r="WIR23" s="21"/>
      <c r="WIS23" s="21"/>
      <c r="WIT23" s="21"/>
      <c r="WIU23" s="21"/>
      <c r="WIV23" s="21"/>
      <c r="WIW23" s="21"/>
      <c r="WIX23" s="21"/>
      <c r="WIY23" s="21"/>
      <c r="WIZ23" s="21"/>
      <c r="WJA23" s="21"/>
      <c r="WJB23" s="21"/>
      <c r="WJC23" s="21"/>
      <c r="WJD23" s="21"/>
      <c r="WJE23" s="21"/>
      <c r="WJF23" s="21"/>
      <c r="WJG23" s="21"/>
      <c r="WJH23" s="21"/>
      <c r="WJI23" s="21"/>
      <c r="WJJ23" s="21"/>
      <c r="WJK23" s="21"/>
      <c r="WJL23" s="21"/>
      <c r="WJM23" s="21"/>
      <c r="WJN23" s="21"/>
      <c r="WJO23" s="21"/>
      <c r="WJP23" s="21"/>
      <c r="WJQ23" s="21"/>
      <c r="WJR23" s="21"/>
      <c r="WJS23" s="21"/>
      <c r="WJT23" s="21"/>
      <c r="WJU23" s="21"/>
      <c r="WJV23" s="21"/>
      <c r="WJW23" s="21"/>
      <c r="WJX23" s="21"/>
      <c r="WJY23" s="21"/>
      <c r="WJZ23" s="21"/>
      <c r="WKA23" s="21"/>
      <c r="WKB23" s="21"/>
      <c r="WKC23" s="21"/>
      <c r="WKD23" s="21"/>
      <c r="WKE23" s="21"/>
      <c r="WKF23" s="21"/>
      <c r="WKG23" s="21"/>
      <c r="WKH23" s="21"/>
      <c r="WKI23" s="21"/>
      <c r="WKJ23" s="21"/>
      <c r="WKK23" s="21"/>
      <c r="WKL23" s="21"/>
      <c r="WKM23" s="21"/>
      <c r="WKN23" s="21"/>
      <c r="WKO23" s="21"/>
      <c r="WKP23" s="21"/>
      <c r="WKQ23" s="21"/>
      <c r="WKR23" s="21"/>
      <c r="WKS23" s="21"/>
      <c r="WKT23" s="21"/>
      <c r="WKU23" s="21"/>
      <c r="WKV23" s="21"/>
      <c r="WKW23" s="21"/>
      <c r="WKX23" s="21"/>
      <c r="WKY23" s="21"/>
      <c r="WKZ23" s="21"/>
      <c r="WLA23" s="21"/>
      <c r="WLB23" s="21"/>
      <c r="WLC23" s="21"/>
      <c r="WLD23" s="21"/>
      <c r="WLE23" s="21"/>
      <c r="WLF23" s="21"/>
      <c r="WLG23" s="21"/>
      <c r="WLH23" s="21"/>
      <c r="WLI23" s="21"/>
      <c r="WLJ23" s="21"/>
      <c r="WLK23" s="21"/>
      <c r="WLL23" s="21"/>
      <c r="WLM23" s="21"/>
      <c r="WLN23" s="21"/>
      <c r="WLO23" s="21"/>
      <c r="WLP23" s="21"/>
      <c r="WLQ23" s="21"/>
      <c r="WLR23" s="21"/>
      <c r="WLS23" s="21"/>
      <c r="WLT23" s="21"/>
      <c r="WLU23" s="21"/>
      <c r="WLV23" s="21"/>
      <c r="WLW23" s="21"/>
      <c r="WLX23" s="21"/>
      <c r="WLY23" s="21"/>
      <c r="WLZ23" s="21"/>
      <c r="WMA23" s="21"/>
      <c r="WMB23" s="21"/>
      <c r="WMC23" s="21"/>
      <c r="WMD23" s="21"/>
      <c r="WME23" s="21"/>
      <c r="WMF23" s="21"/>
      <c r="WMG23" s="21"/>
      <c r="WMH23" s="21"/>
      <c r="WMI23" s="21"/>
      <c r="WMJ23" s="21"/>
      <c r="WMK23" s="21"/>
      <c r="WML23" s="21"/>
      <c r="WMM23" s="21"/>
      <c r="WMN23" s="21"/>
      <c r="WMO23" s="21"/>
      <c r="WMP23" s="21"/>
      <c r="WMQ23" s="21"/>
      <c r="WMR23" s="21"/>
      <c r="WMS23" s="21"/>
      <c r="WMT23" s="21"/>
      <c r="WMU23" s="21"/>
      <c r="WMV23" s="21"/>
      <c r="WMW23" s="21"/>
      <c r="WMX23" s="21"/>
      <c r="WMY23" s="21"/>
      <c r="WMZ23" s="21"/>
      <c r="WNA23" s="21"/>
      <c r="WNB23" s="21"/>
      <c r="WNC23" s="21"/>
      <c r="WND23" s="21"/>
      <c r="WNE23" s="21"/>
      <c r="WNF23" s="21"/>
      <c r="WNG23" s="21"/>
      <c r="WNH23" s="21"/>
      <c r="WNI23" s="21"/>
      <c r="WNJ23" s="21"/>
      <c r="WNK23" s="21"/>
      <c r="WNL23" s="21"/>
      <c r="WNM23" s="21"/>
      <c r="WNN23" s="21"/>
      <c r="WNO23" s="21"/>
      <c r="WNP23" s="21"/>
      <c r="WNQ23" s="21"/>
      <c r="WNR23" s="21"/>
      <c r="WNS23" s="21"/>
      <c r="WNT23" s="21"/>
      <c r="WNU23" s="21"/>
      <c r="WNV23" s="21"/>
      <c r="WNW23" s="21"/>
      <c r="WNX23" s="21"/>
      <c r="WNY23" s="21"/>
      <c r="WNZ23" s="21"/>
      <c r="WOA23" s="21"/>
      <c r="WOB23" s="21"/>
      <c r="WOC23" s="21"/>
      <c r="WOD23" s="21"/>
      <c r="WOE23" s="21"/>
      <c r="WOF23" s="21"/>
      <c r="WOG23" s="21"/>
      <c r="WOH23" s="21"/>
      <c r="WOI23" s="21"/>
      <c r="WOJ23" s="21"/>
      <c r="WOK23" s="21"/>
      <c r="WOL23" s="21"/>
      <c r="WOM23" s="21"/>
      <c r="WON23" s="21"/>
      <c r="WOO23" s="21"/>
      <c r="WOP23" s="21"/>
      <c r="WOQ23" s="21"/>
      <c r="WOR23" s="21"/>
      <c r="WOS23" s="21"/>
      <c r="WOT23" s="21"/>
      <c r="WOU23" s="21"/>
      <c r="WOV23" s="21"/>
      <c r="WOW23" s="21"/>
      <c r="WOX23" s="21"/>
      <c r="WOY23" s="21"/>
      <c r="WOZ23" s="21"/>
      <c r="WPA23" s="21"/>
      <c r="WPB23" s="21"/>
      <c r="WPC23" s="21"/>
      <c r="WPD23" s="21"/>
      <c r="WPE23" s="21"/>
      <c r="WPF23" s="21"/>
      <c r="WPG23" s="21"/>
      <c r="WPH23" s="21"/>
      <c r="WPI23" s="21"/>
      <c r="WPJ23" s="21"/>
      <c r="WPK23" s="21"/>
      <c r="WPL23" s="21"/>
      <c r="WPM23" s="21"/>
      <c r="WPN23" s="21"/>
      <c r="WPO23" s="21"/>
      <c r="WPP23" s="21"/>
      <c r="WPQ23" s="21"/>
      <c r="WPR23" s="21"/>
      <c r="WPS23" s="21"/>
      <c r="WPT23" s="21"/>
      <c r="WPU23" s="21"/>
      <c r="WPV23" s="21"/>
      <c r="WPW23" s="21"/>
      <c r="WPX23" s="21"/>
      <c r="WPY23" s="21"/>
      <c r="WPZ23" s="21"/>
      <c r="WQA23" s="21"/>
      <c r="WQB23" s="21"/>
      <c r="WQC23" s="21"/>
      <c r="WQD23" s="21"/>
      <c r="WQE23" s="21"/>
      <c r="WQF23" s="21"/>
      <c r="WQG23" s="21"/>
      <c r="WQH23" s="21"/>
      <c r="WQI23" s="21"/>
      <c r="WQJ23" s="21"/>
      <c r="WQK23" s="21"/>
      <c r="WQL23" s="21"/>
      <c r="WQM23" s="21"/>
      <c r="WQN23" s="21"/>
      <c r="WQO23" s="21"/>
      <c r="WQP23" s="21"/>
      <c r="WQQ23" s="21"/>
      <c r="WQR23" s="21"/>
      <c r="WQS23" s="21"/>
      <c r="WQT23" s="21"/>
      <c r="WQU23" s="21"/>
      <c r="WQV23" s="21"/>
      <c r="WQW23" s="21"/>
      <c r="WQX23" s="21"/>
      <c r="WQY23" s="21"/>
      <c r="WQZ23" s="21"/>
      <c r="WRA23" s="21"/>
      <c r="WRB23" s="21"/>
      <c r="WRC23" s="21"/>
      <c r="WRD23" s="21"/>
      <c r="WRE23" s="21"/>
      <c r="WRF23" s="21"/>
      <c r="WRG23" s="21"/>
      <c r="WRH23" s="21"/>
      <c r="WRI23" s="21"/>
      <c r="WRJ23" s="21"/>
      <c r="WRK23" s="21"/>
      <c r="WRL23" s="21"/>
      <c r="WRM23" s="21"/>
      <c r="WRN23" s="21"/>
      <c r="WRO23" s="21"/>
      <c r="WRP23" s="21"/>
      <c r="WRQ23" s="21"/>
      <c r="WRR23" s="21"/>
      <c r="WRS23" s="21"/>
      <c r="WRT23" s="21"/>
      <c r="WRU23" s="21"/>
      <c r="WRV23" s="21"/>
      <c r="WRW23" s="21"/>
      <c r="WRX23" s="21"/>
      <c r="WRY23" s="21"/>
      <c r="WRZ23" s="21"/>
      <c r="WSA23" s="21"/>
      <c r="WSB23" s="21"/>
      <c r="WSC23" s="21"/>
      <c r="WSD23" s="21"/>
      <c r="WSE23" s="21"/>
      <c r="WSF23" s="21"/>
      <c r="WSG23" s="21"/>
      <c r="WSH23" s="21"/>
      <c r="WSI23" s="21"/>
      <c r="WSJ23" s="21"/>
      <c r="WSK23" s="21"/>
      <c r="WSL23" s="21"/>
      <c r="WSM23" s="21"/>
      <c r="WSN23" s="21"/>
      <c r="WSO23" s="21"/>
      <c r="WSP23" s="21"/>
      <c r="WSQ23" s="21"/>
      <c r="WSR23" s="21"/>
      <c r="WSS23" s="21"/>
      <c r="WST23" s="21"/>
      <c r="WSU23" s="21"/>
      <c r="WSV23" s="21"/>
      <c r="WSW23" s="21"/>
      <c r="WSX23" s="21"/>
      <c r="WSY23" s="21"/>
      <c r="WSZ23" s="21"/>
      <c r="WTA23" s="21"/>
      <c r="WTB23" s="21"/>
      <c r="WTC23" s="21"/>
      <c r="WTD23" s="21"/>
      <c r="WTE23" s="21"/>
      <c r="WTF23" s="21"/>
      <c r="WTG23" s="21"/>
      <c r="WTH23" s="21"/>
      <c r="WTI23" s="21"/>
      <c r="WTJ23" s="21"/>
      <c r="WTK23" s="21"/>
      <c r="WTL23" s="21"/>
      <c r="WTM23" s="21"/>
      <c r="WTN23" s="21"/>
      <c r="WTO23" s="21"/>
      <c r="WTP23" s="21"/>
      <c r="WTQ23" s="21"/>
      <c r="WTR23" s="21"/>
      <c r="WTS23" s="21"/>
      <c r="WTT23" s="21"/>
      <c r="WTU23" s="21"/>
      <c r="WTV23" s="21"/>
      <c r="WTW23" s="21"/>
      <c r="WTX23" s="21"/>
      <c r="WTY23" s="21"/>
      <c r="WTZ23" s="21"/>
      <c r="WUA23" s="21"/>
      <c r="WUB23" s="21"/>
      <c r="WUC23" s="21"/>
      <c r="WUD23" s="21"/>
      <c r="WUE23" s="21"/>
      <c r="WUF23" s="21"/>
      <c r="WUG23" s="21"/>
      <c r="WUH23" s="21"/>
      <c r="WUI23" s="21"/>
      <c r="WUJ23" s="21"/>
      <c r="WUK23" s="21"/>
      <c r="WUL23" s="21"/>
      <c r="WUM23" s="21"/>
      <c r="WUN23" s="21"/>
      <c r="WUO23" s="21"/>
      <c r="WUP23" s="21"/>
      <c r="WUQ23" s="21"/>
      <c r="WUR23" s="21"/>
      <c r="WUS23" s="21"/>
      <c r="WUT23" s="21"/>
      <c r="WUU23" s="21"/>
      <c r="WUV23" s="21"/>
      <c r="WUW23" s="21"/>
      <c r="WUX23" s="21"/>
      <c r="WUY23" s="21"/>
      <c r="WUZ23" s="21"/>
      <c r="WVA23" s="21"/>
      <c r="WVB23" s="21"/>
      <c r="WVC23" s="21"/>
      <c r="WVD23" s="21"/>
      <c r="WVE23" s="21"/>
      <c r="WVF23" s="21"/>
      <c r="WVG23" s="21"/>
      <c r="WVH23" s="21"/>
      <c r="WVI23" s="21"/>
      <c r="WVJ23" s="21"/>
      <c r="WVK23" s="21"/>
      <c r="WVL23" s="21"/>
      <c r="WVM23" s="21"/>
      <c r="WVN23" s="21"/>
      <c r="WVO23" s="21"/>
      <c r="WVP23" s="21"/>
      <c r="WVQ23" s="21"/>
      <c r="WVR23" s="21"/>
      <c r="WVS23" s="21"/>
      <c r="WVT23" s="21"/>
      <c r="WVU23" s="21"/>
      <c r="WVV23" s="21"/>
      <c r="WVW23" s="21"/>
      <c r="WVX23" s="21"/>
      <c r="WVY23" s="21"/>
      <c r="WVZ23" s="21"/>
      <c r="WWA23" s="21"/>
      <c r="WWB23" s="21"/>
      <c r="WWC23" s="21"/>
      <c r="WWD23" s="21"/>
      <c r="WWE23" s="21"/>
      <c r="WWF23" s="21"/>
      <c r="WWG23" s="21"/>
      <c r="WWH23" s="21"/>
      <c r="WWI23" s="21"/>
      <c r="WWJ23" s="21"/>
      <c r="WWK23" s="21"/>
      <c r="WWL23" s="21"/>
      <c r="WWM23" s="21"/>
      <c r="WWN23" s="21"/>
      <c r="WWO23" s="21"/>
      <c r="WWP23" s="21"/>
      <c r="WWQ23" s="21"/>
      <c r="WWR23" s="21"/>
      <c r="WWS23" s="21"/>
      <c r="WWT23" s="21"/>
      <c r="WWU23" s="21"/>
      <c r="WWV23" s="21"/>
      <c r="WWW23" s="21"/>
      <c r="WWX23" s="21"/>
      <c r="WWY23" s="21"/>
      <c r="WWZ23" s="21"/>
      <c r="WXA23" s="21"/>
      <c r="WXB23" s="21"/>
      <c r="WXC23" s="21"/>
      <c r="WXD23" s="21"/>
      <c r="WXE23" s="21"/>
      <c r="WXF23" s="21"/>
      <c r="WXG23" s="21"/>
      <c r="WXH23" s="21"/>
      <c r="WXI23" s="21"/>
      <c r="WXJ23" s="21"/>
      <c r="WXK23" s="21"/>
      <c r="WXL23" s="21"/>
      <c r="WXM23" s="21"/>
      <c r="WXN23" s="21"/>
      <c r="WXO23" s="21"/>
      <c r="WXP23" s="21"/>
      <c r="WXQ23" s="21"/>
      <c r="WXR23" s="21"/>
      <c r="WXS23" s="21"/>
      <c r="WXT23" s="21"/>
      <c r="WXU23" s="21"/>
      <c r="WXV23" s="21"/>
      <c r="WXW23" s="21"/>
      <c r="WXX23" s="21"/>
      <c r="WXY23" s="21"/>
      <c r="WXZ23" s="21"/>
      <c r="WYA23" s="21"/>
      <c r="WYB23" s="21"/>
      <c r="WYC23" s="21"/>
      <c r="WYD23" s="21"/>
      <c r="WYE23" s="21"/>
      <c r="WYF23" s="21"/>
      <c r="WYG23" s="21"/>
      <c r="WYH23" s="21"/>
      <c r="WYI23" s="21"/>
      <c r="WYJ23" s="21"/>
      <c r="WYK23" s="21"/>
      <c r="WYL23" s="21"/>
      <c r="WYM23" s="21"/>
      <c r="WYN23" s="21"/>
      <c r="WYO23" s="21"/>
      <c r="WYP23" s="21"/>
      <c r="WYQ23" s="21"/>
      <c r="WYR23" s="21"/>
      <c r="WYS23" s="21"/>
      <c r="WYT23" s="21"/>
      <c r="WYU23" s="21"/>
      <c r="WYV23" s="21"/>
      <c r="WYW23" s="21"/>
      <c r="WYX23" s="21"/>
      <c r="WYY23" s="21"/>
      <c r="WYZ23" s="21"/>
      <c r="WZA23" s="21"/>
      <c r="WZB23" s="21"/>
      <c r="WZC23" s="21"/>
      <c r="WZD23" s="21"/>
      <c r="WZE23" s="21"/>
      <c r="WZF23" s="21"/>
      <c r="WZG23" s="21"/>
      <c r="WZH23" s="21"/>
      <c r="WZI23" s="21"/>
      <c r="WZJ23" s="21"/>
      <c r="WZK23" s="21"/>
      <c r="WZL23" s="21"/>
      <c r="WZM23" s="21"/>
      <c r="WZN23" s="21"/>
      <c r="WZO23" s="21"/>
      <c r="WZP23" s="21"/>
      <c r="WZQ23" s="21"/>
      <c r="WZR23" s="21"/>
      <c r="WZS23" s="21"/>
      <c r="WZT23" s="21"/>
      <c r="WZU23" s="21"/>
      <c r="WZV23" s="21"/>
      <c r="WZW23" s="21"/>
      <c r="WZX23" s="21"/>
      <c r="WZY23" s="21"/>
      <c r="WZZ23" s="21"/>
      <c r="XAA23" s="21"/>
      <c r="XAB23" s="21"/>
      <c r="XAC23" s="21"/>
      <c r="XAD23" s="21"/>
      <c r="XAE23" s="21"/>
      <c r="XAF23" s="21"/>
      <c r="XAG23" s="21"/>
      <c r="XAH23" s="21"/>
      <c r="XAI23" s="21"/>
      <c r="XAJ23" s="21"/>
      <c r="XAK23" s="21"/>
      <c r="XAL23" s="21"/>
      <c r="XAM23" s="21"/>
      <c r="XAN23" s="21"/>
      <c r="XAO23" s="21"/>
      <c r="XAP23" s="21"/>
      <c r="XAQ23" s="21"/>
      <c r="XAR23" s="21"/>
      <c r="XAS23" s="21"/>
      <c r="XAT23" s="21"/>
      <c r="XAU23" s="21"/>
      <c r="XAV23" s="21"/>
      <c r="XAW23" s="21"/>
      <c r="XAX23" s="21"/>
      <c r="XAY23" s="21"/>
      <c r="XAZ23" s="21"/>
      <c r="XBA23" s="21"/>
      <c r="XBB23" s="21"/>
      <c r="XBC23" s="21"/>
      <c r="XBD23" s="21"/>
      <c r="XBE23" s="21"/>
      <c r="XBF23" s="21"/>
      <c r="XBG23" s="21"/>
      <c r="XBH23" s="21"/>
      <c r="XBI23" s="21"/>
      <c r="XBJ23" s="21"/>
      <c r="XBK23" s="21"/>
      <c r="XBL23" s="21"/>
      <c r="XBM23" s="21"/>
      <c r="XBN23" s="21"/>
      <c r="XBO23" s="21"/>
      <c r="XBP23" s="21"/>
      <c r="XBQ23" s="21"/>
      <c r="XBR23" s="21"/>
      <c r="XBS23" s="21"/>
      <c r="XBT23" s="21"/>
      <c r="XBU23" s="21"/>
      <c r="XBV23" s="21"/>
      <c r="XBW23" s="21"/>
      <c r="XBX23" s="21"/>
      <c r="XBY23" s="21"/>
      <c r="XBZ23" s="21"/>
      <c r="XCA23" s="21"/>
      <c r="XCB23" s="21"/>
      <c r="XCC23" s="21"/>
      <c r="XCD23" s="21"/>
      <c r="XCE23" s="21"/>
      <c r="XCF23" s="21"/>
      <c r="XCG23" s="21"/>
      <c r="XCH23" s="21"/>
      <c r="XCI23" s="21"/>
      <c r="XCJ23" s="21"/>
      <c r="XCK23" s="21"/>
      <c r="XCL23" s="21"/>
      <c r="XCM23" s="21"/>
      <c r="XCN23" s="21"/>
      <c r="XCO23" s="21"/>
      <c r="XCP23" s="21"/>
      <c r="XCQ23" s="21"/>
      <c r="XCR23" s="21"/>
      <c r="XCS23" s="21"/>
      <c r="XCT23" s="21"/>
      <c r="XCU23" s="21"/>
      <c r="XCV23" s="21"/>
      <c r="XCW23" s="21"/>
      <c r="XCX23" s="21"/>
      <c r="XCY23" s="21"/>
      <c r="XCZ23" s="21"/>
      <c r="XDA23" s="21"/>
      <c r="XDB23" s="21"/>
      <c r="XDC23" s="21"/>
      <c r="XDD23" s="21"/>
      <c r="XDE23" s="21"/>
      <c r="XDF23" s="21"/>
      <c r="XDG23" s="21"/>
      <c r="XDH23" s="21"/>
      <c r="XDI23" s="21"/>
      <c r="XDJ23" s="21"/>
      <c r="XDK23" s="21"/>
      <c r="XDL23" s="21"/>
      <c r="XDM23" s="21"/>
      <c r="XDN23" s="21"/>
      <c r="XDO23" s="21"/>
      <c r="XDP23" s="21"/>
      <c r="XDQ23" s="21"/>
      <c r="XDR23" s="21"/>
      <c r="XDS23" s="21"/>
      <c r="XDT23" s="21"/>
      <c r="XDU23" s="21"/>
      <c r="XDV23" s="21"/>
      <c r="XDW23" s="21"/>
      <c r="XDX23" s="21"/>
      <c r="XDY23" s="21"/>
      <c r="XDZ23" s="21"/>
      <c r="XEA23" s="21"/>
      <c r="XEB23" s="21"/>
      <c r="XEC23" s="21"/>
      <c r="XED23" s="21"/>
      <c r="XEE23" s="21"/>
      <c r="XEF23" s="21"/>
      <c r="XEG23" s="21"/>
      <c r="XEH23" s="21"/>
      <c r="XEI23" s="21"/>
      <c r="XEJ23" s="21"/>
      <c r="XEK23" s="21"/>
      <c r="XEL23" s="21"/>
      <c r="XEM23" s="21"/>
      <c r="XEN23" s="21"/>
      <c r="XEO23" s="21"/>
      <c r="XEP23" s="21"/>
      <c r="XEQ23" s="21"/>
      <c r="XER23" s="21"/>
      <c r="XES23" s="21"/>
      <c r="XET23" s="21"/>
      <c r="XEU23" s="21"/>
      <c r="XEV23" s="21"/>
      <c r="XEW23" s="21"/>
      <c r="XEX23" s="21"/>
      <c r="XEY23" s="21"/>
      <c r="XEZ23" s="21"/>
      <c r="XFA23" s="21"/>
      <c r="XFB23" s="21"/>
      <c r="XFC23" s="21"/>
      <c r="XFD23" s="21"/>
    </row>
    <row r="24" spans="2:16384" x14ac:dyDescent="0.25">
      <c r="B24" s="423" t="s">
        <v>242</v>
      </c>
      <c r="C24" s="423"/>
      <c r="D24" s="78"/>
      <c r="E24" s="195"/>
      <c r="F24" s="195"/>
      <c r="G24" s="164"/>
      <c r="I24" s="420" t="s">
        <v>278</v>
      </c>
      <c r="J24" s="409"/>
      <c r="K24" s="409"/>
      <c r="L24" s="409"/>
      <c r="M24" s="409"/>
      <c r="N24" s="409"/>
      <c r="O24" s="421"/>
    </row>
    <row r="25" spans="2:16384" x14ac:dyDescent="0.25">
      <c r="D25" s="78"/>
      <c r="E25" s="195"/>
      <c r="F25" s="195"/>
      <c r="G25" s="164"/>
      <c r="H25" s="164"/>
      <c r="I25" s="164"/>
      <c r="J25" s="164"/>
      <c r="K25" s="164"/>
      <c r="L25" s="164"/>
      <c r="M25" s="164"/>
      <c r="N25" s="164"/>
      <c r="O25" s="164"/>
    </row>
    <row r="26" spans="2:16384" ht="15.75" thickBot="1" x14ac:dyDescent="0.3">
      <c r="B26" s="422" t="s">
        <v>231</v>
      </c>
      <c r="C26" s="422"/>
      <c r="E26" s="164"/>
      <c r="F26" s="164"/>
      <c r="I26" s="417" t="s">
        <v>116</v>
      </c>
      <c r="J26" s="420" t="s">
        <v>115</v>
      </c>
      <c r="K26" s="409"/>
      <c r="L26" s="409"/>
      <c r="M26" s="409"/>
      <c r="N26" s="409"/>
      <c r="O26" s="421"/>
    </row>
    <row r="27" spans="2:16384" x14ac:dyDescent="0.25">
      <c r="B27" s="161" t="s">
        <v>232</v>
      </c>
      <c r="C27" s="319">
        <f>'Comps Valuation'!G26</f>
        <v>121539</v>
      </c>
      <c r="E27" s="169" t="s">
        <v>114</v>
      </c>
      <c r="F27" s="170">
        <f>Assumptions!C21</f>
        <v>16.309293984088868</v>
      </c>
      <c r="I27" s="418"/>
      <c r="J27" s="227">
        <f>F43</f>
        <v>1911.6458875377559</v>
      </c>
      <c r="K27" s="229">
        <f>L27-1%</f>
        <v>3.9999999999999994E-2</v>
      </c>
      <c r="L27" s="229">
        <f>M27-1%</f>
        <v>4.9999999999999996E-2</v>
      </c>
      <c r="M27" s="229">
        <v>0.06</v>
      </c>
      <c r="N27" s="229">
        <f>M27+1%</f>
        <v>6.9999999999999993E-2</v>
      </c>
      <c r="O27" s="230">
        <f>N27+1%</f>
        <v>7.9999999999999988E-2</v>
      </c>
    </row>
    <row r="28" spans="2:16384" x14ac:dyDescent="0.25">
      <c r="B28" s="151" t="s">
        <v>233</v>
      </c>
      <c r="C28" s="152">
        <v>0</v>
      </c>
      <c r="E28" s="171" t="s">
        <v>115</v>
      </c>
      <c r="F28" s="172">
        <f>Assumptions!C22</f>
        <v>0.06</v>
      </c>
      <c r="I28" s="418"/>
      <c r="J28" s="231">
        <f>J29-1%</f>
        <v>0.12212865499323657</v>
      </c>
      <c r="K28" s="225">
        <f t="dataTable" ref="K28:O32" dt2D="1" dtr="1" r1="F28" r2="F29" ca="1"/>
        <v>2197.6902177047195</v>
      </c>
      <c r="L28" s="225">
        <v>2281.3684673094785</v>
      </c>
      <c r="M28" s="225">
        <v>2391.9838040325312</v>
      </c>
      <c r="N28" s="225">
        <v>2545.0385003505721</v>
      </c>
      <c r="O28" s="228">
        <v>2770.7538103732818</v>
      </c>
    </row>
    <row r="29" spans="2:16384" ht="15.75" thickBot="1" x14ac:dyDescent="0.3">
      <c r="B29" s="153" t="s">
        <v>56</v>
      </c>
      <c r="C29" s="154">
        <f>1-C28</f>
        <v>1</v>
      </c>
      <c r="E29" s="173" t="s">
        <v>116</v>
      </c>
      <c r="F29" s="174">
        <f>Assumptions!C23</f>
        <v>0.14212865499323657</v>
      </c>
      <c r="I29" s="418"/>
      <c r="J29" s="231">
        <f>J30-1%</f>
        <v>0.13212865499323656</v>
      </c>
      <c r="K29" s="225">
        <v>1987.8862818956093</v>
      </c>
      <c r="L29" s="225">
        <v>2048.626143419332</v>
      </c>
      <c r="M29" s="225">
        <v>2126.2080939933549</v>
      </c>
      <c r="N29" s="225">
        <v>2228.764655906532</v>
      </c>
      <c r="O29" s="228">
        <v>2370.6686983662457</v>
      </c>
    </row>
    <row r="30" spans="2:16384" x14ac:dyDescent="0.25">
      <c r="E30" s="194"/>
      <c r="F30" s="26"/>
      <c r="I30" s="418"/>
      <c r="J30" s="231">
        <v>0.14212865499323657</v>
      </c>
      <c r="K30" s="225">
        <v>1809.977034306723</v>
      </c>
      <c r="L30" s="225">
        <v>1855.2936959424678</v>
      </c>
      <c r="M30" s="225">
        <v>1911.6458875377559</v>
      </c>
      <c r="N30" s="225">
        <v>1983.6235449345547</v>
      </c>
      <c r="O30" s="228">
        <v>2078.7717207997262</v>
      </c>
    </row>
    <row r="31" spans="2:16384" ht="15.75" thickBot="1" x14ac:dyDescent="0.3">
      <c r="B31" s="422" t="s">
        <v>234</v>
      </c>
      <c r="C31" s="422"/>
      <c r="E31" s="405" t="s">
        <v>258</v>
      </c>
      <c r="F31" s="405"/>
      <c r="I31" s="418"/>
      <c r="J31" s="231">
        <f>J30+1%</f>
        <v>0.15212865499323658</v>
      </c>
      <c r="K31" s="225">
        <v>1656.7010994550294</v>
      </c>
      <c r="L31" s="225">
        <v>1691.2677189726764</v>
      </c>
      <c r="M31" s="225">
        <v>1733.3383272374044</v>
      </c>
      <c r="N31" s="225">
        <v>1785.6539853615736</v>
      </c>
      <c r="O31" s="228">
        <v>1852.4758499661148</v>
      </c>
    </row>
    <row r="32" spans="2:16384" x14ac:dyDescent="0.25">
      <c r="B32" s="151" t="s">
        <v>235</v>
      </c>
      <c r="C32" s="157">
        <v>0</v>
      </c>
      <c r="E32" t="s">
        <v>177</v>
      </c>
      <c r="F32" s="145">
        <f>F27*(Q13+Q16)</f>
        <v>169229.72679579278</v>
      </c>
      <c r="I32" s="419"/>
      <c r="J32" s="232">
        <f>J31+1%</f>
        <v>0.16212865499323659</v>
      </c>
      <c r="K32" s="226">
        <v>1523.0181655820877</v>
      </c>
      <c r="L32" s="226">
        <v>1549.8707933634919</v>
      </c>
      <c r="M32" s="226">
        <v>1581.9820094976324</v>
      </c>
      <c r="N32" s="226">
        <v>1621.064176447564</v>
      </c>
      <c r="O32" s="167">
        <v>1669.6636469386649</v>
      </c>
    </row>
    <row r="33" spans="2:15" x14ac:dyDescent="0.25">
      <c r="B33" s="161" t="s">
        <v>236</v>
      </c>
      <c r="C33" s="157">
        <f>Assumptions!C18</f>
        <v>5.9841140489988225E-2</v>
      </c>
      <c r="E33" t="s">
        <v>259</v>
      </c>
      <c r="F33" s="145">
        <f>Q22*(1+F28)/(F29-F28)</f>
        <v>109021.459913415</v>
      </c>
    </row>
    <row r="34" spans="2:15" ht="15.75" customHeight="1" thickBot="1" x14ac:dyDescent="0.3">
      <c r="B34" s="6" t="s">
        <v>237</v>
      </c>
      <c r="C34" s="162">
        <f>C32*(1-C33)</f>
        <v>0</v>
      </c>
      <c r="E34" s="165" t="s">
        <v>184</v>
      </c>
      <c r="F34" s="224">
        <f>AVERAGE(F32:F33)</f>
        <v>139125.59335460389</v>
      </c>
    </row>
    <row r="35" spans="2:15" x14ac:dyDescent="0.25">
      <c r="B35" s="78"/>
      <c r="C35" s="156"/>
    </row>
    <row r="36" spans="2:15" ht="15.75" thickBot="1" x14ac:dyDescent="0.3">
      <c r="B36" s="422" t="s">
        <v>238</v>
      </c>
      <c r="C36" s="422"/>
      <c r="E36" s="405" t="s">
        <v>260</v>
      </c>
      <c r="F36" s="405"/>
      <c r="I36" s="417" t="s">
        <v>177</v>
      </c>
      <c r="J36" s="420" t="s">
        <v>115</v>
      </c>
      <c r="K36" s="409"/>
      <c r="L36" s="409"/>
      <c r="M36" s="409"/>
      <c r="N36" s="409"/>
      <c r="O36" s="421"/>
    </row>
    <row r="37" spans="2:15" x14ac:dyDescent="0.25">
      <c r="B37" s="155" t="s">
        <v>239</v>
      </c>
      <c r="C37" s="156">
        <f>Assumptions!C14</f>
        <v>6.4810000000000006E-2</v>
      </c>
      <c r="E37" t="s">
        <v>261</v>
      </c>
      <c r="F37" s="166">
        <f>XNPV($F$29,G22:R22,G10:R10)</f>
        <v>60829.503812454408</v>
      </c>
      <c r="I37" s="418"/>
      <c r="J37" s="227">
        <f>F43</f>
        <v>1911.6458875377559</v>
      </c>
      <c r="K37" s="229">
        <f>L37-1%</f>
        <v>3.9999999999999994E-2</v>
      </c>
      <c r="L37" s="229">
        <f>M37-1%</f>
        <v>4.9999999999999996E-2</v>
      </c>
      <c r="M37" s="229">
        <v>0.06</v>
      </c>
      <c r="N37" s="229">
        <f>M37+1%</f>
        <v>6.9999999999999993E-2</v>
      </c>
      <c r="O37" s="230">
        <f>N37+1%</f>
        <v>7.9999999999999988E-2</v>
      </c>
    </row>
    <row r="38" spans="2:15" x14ac:dyDescent="0.25">
      <c r="B38" s="78" t="s">
        <v>240</v>
      </c>
      <c r="C38" s="157">
        <f>'Market Data'!F10</f>
        <v>0.12363300317763359</v>
      </c>
      <c r="E38" t="s">
        <v>262</v>
      </c>
      <c r="F38" s="166">
        <f>'Comps Valuation'!I26</f>
        <v>152</v>
      </c>
      <c r="I38" s="418"/>
      <c r="J38" s="302">
        <f>J39-4</f>
        <v>7.3092939840888675</v>
      </c>
      <c r="K38" s="304">
        <f t="dataTable" ref="K38:O42" dt2D="1" dtr="1" r1="F28" r2="F27"/>
        <v>1397.2448010409887</v>
      </c>
      <c r="L38" s="305">
        <v>1442.5614626767335</v>
      </c>
      <c r="M38" s="305">
        <v>1498.9136542720216</v>
      </c>
      <c r="N38" s="305">
        <v>1570.8913116688202</v>
      </c>
      <c r="O38" s="306">
        <v>1666.0394875339921</v>
      </c>
    </row>
    <row r="39" spans="2:15" x14ac:dyDescent="0.25">
      <c r="B39" s="155" t="s">
        <v>241</v>
      </c>
      <c r="C39" s="156">
        <f>C38-C37</f>
        <v>5.8823003177633587E-2</v>
      </c>
      <c r="E39" t="s">
        <v>263</v>
      </c>
      <c r="F39" s="166">
        <f>'Comps Valuation'!H26</f>
        <v>0</v>
      </c>
      <c r="I39" s="418"/>
      <c r="J39" s="302">
        <f>J40-5</f>
        <v>11.309293984088868</v>
      </c>
      <c r="K39" s="307">
        <v>1580.6813491590931</v>
      </c>
      <c r="L39" s="225">
        <v>1625.9980107948377</v>
      </c>
      <c r="M39" s="225">
        <v>1682.3502023901258</v>
      </c>
      <c r="N39" s="225">
        <v>1754.3278597869246</v>
      </c>
      <c r="O39" s="228">
        <v>1849.4760356520962</v>
      </c>
    </row>
    <row r="40" spans="2:15" x14ac:dyDescent="0.25">
      <c r="B40" s="155" t="s">
        <v>205</v>
      </c>
      <c r="C40" s="158">
        <f>'Equity Return'!I10</f>
        <v>1.3144288937399173</v>
      </c>
      <c r="E40" t="s">
        <v>264</v>
      </c>
      <c r="F40" s="166">
        <v>0</v>
      </c>
      <c r="I40" s="418"/>
      <c r="J40" s="302">
        <v>16.309293984088868</v>
      </c>
      <c r="K40" s="307">
        <v>1809.977034306723</v>
      </c>
      <c r="L40" s="225">
        <v>1855.2936959424678</v>
      </c>
      <c r="M40" s="225">
        <v>1911.6458875377559</v>
      </c>
      <c r="N40" s="225">
        <v>1983.6235449345547</v>
      </c>
      <c r="O40" s="228">
        <v>2078.7717207997262</v>
      </c>
    </row>
    <row r="41" spans="2:15" ht="15.75" thickBot="1" x14ac:dyDescent="0.3">
      <c r="B41" s="159" t="s">
        <v>238</v>
      </c>
      <c r="C41" s="160">
        <f>C37+(C40*C39)</f>
        <v>0.14212865499323657</v>
      </c>
      <c r="E41" s="6" t="s">
        <v>265</v>
      </c>
      <c r="F41" s="163">
        <f>SUM(F37:F40)</f>
        <v>60981.503812454408</v>
      </c>
      <c r="I41" s="418"/>
      <c r="J41" s="302">
        <f>J40+5</f>
        <v>21.309293984088868</v>
      </c>
      <c r="K41" s="307">
        <v>2039.2727194543536</v>
      </c>
      <c r="L41" s="225">
        <v>2084.589381090098</v>
      </c>
      <c r="M41" s="225">
        <v>2140.9415726853863</v>
      </c>
      <c r="N41" s="225">
        <v>2212.9192300821851</v>
      </c>
      <c r="O41" s="228">
        <v>2308.0674059473567</v>
      </c>
    </row>
    <row r="42" spans="2:15" x14ac:dyDescent="0.25">
      <c r="F42" s="166"/>
      <c r="I42" s="419"/>
      <c r="J42" s="303">
        <f>J41+5</f>
        <v>26.309293984088868</v>
      </c>
      <c r="K42" s="308">
        <v>2268.5684046019837</v>
      </c>
      <c r="L42" s="226">
        <v>2313.8850662377281</v>
      </c>
      <c r="M42" s="226">
        <v>2370.2372578330169</v>
      </c>
      <c r="N42" s="226">
        <v>2442.2149152298152</v>
      </c>
      <c r="O42" s="167">
        <v>2537.3630910949873</v>
      </c>
    </row>
    <row r="43" spans="2:15" ht="15.75" thickBot="1" x14ac:dyDescent="0.3">
      <c r="B43" s="165" t="s">
        <v>242</v>
      </c>
      <c r="C43" s="193">
        <f>(C41*C29)+(C34*C28)</f>
        <v>0.14212865499323657</v>
      </c>
      <c r="E43" s="165" t="s">
        <v>266</v>
      </c>
      <c r="F43" s="224">
        <f>F41/'Comps Valuation'!F26</f>
        <v>1911.6458875377559</v>
      </c>
    </row>
  </sheetData>
  <mergeCells count="11">
    <mergeCell ref="I26:I32"/>
    <mergeCell ref="J26:O26"/>
    <mergeCell ref="I24:O24"/>
    <mergeCell ref="B26:C26"/>
    <mergeCell ref="B36:C36"/>
    <mergeCell ref="B31:C31"/>
    <mergeCell ref="B24:C24"/>
    <mergeCell ref="E31:F31"/>
    <mergeCell ref="E36:F36"/>
    <mergeCell ref="I36:I42"/>
    <mergeCell ref="J36:O36"/>
  </mergeCells>
  <conditionalFormatting sqref="K28:O32">
    <cfRule type="colorScale" priority="3">
      <colorScale>
        <cfvo type="min"/>
        <cfvo type="percentile" val="50"/>
        <cfvo type="max"/>
        <color rgb="FFF8696B"/>
        <color rgb="FFFCFCFF"/>
        <color rgb="FF63BE7B"/>
      </colorScale>
    </cfRule>
  </conditionalFormatting>
  <conditionalFormatting sqref="K38:O4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I14"/>
  <sheetViews>
    <sheetView showGridLines="0" topLeftCell="A20" workbookViewId="0">
      <selection activeCell="D36" sqref="D36"/>
    </sheetView>
  </sheetViews>
  <sheetFormatPr defaultRowHeight="15" x14ac:dyDescent="0.25"/>
  <cols>
    <col min="1" max="1" width="1.85546875" customWidth="1"/>
    <col min="5" max="5" width="14.42578125" bestFit="1" customWidth="1"/>
    <col min="6" max="6" width="14.85546875" bestFit="1" customWidth="1"/>
    <col min="7" max="7" width="13.7109375" bestFit="1" customWidth="1"/>
    <col min="8" max="8" width="14.5703125" bestFit="1" customWidth="1"/>
    <col min="9" max="9" width="17.5703125" bestFit="1" customWidth="1"/>
  </cols>
  <sheetData>
    <row r="7" spans="2:9" x14ac:dyDescent="0.25">
      <c r="B7" s="409" t="s">
        <v>301</v>
      </c>
      <c r="C7" s="409"/>
      <c r="D7" s="409"/>
      <c r="E7" s="409"/>
      <c r="F7" s="409"/>
      <c r="G7" s="409"/>
      <c r="H7" s="409"/>
      <c r="I7" s="409"/>
    </row>
    <row r="8" spans="2:9" ht="15.75" thickBot="1" x14ac:dyDescent="0.3"/>
    <row r="9" spans="2:9" x14ac:dyDescent="0.25">
      <c r="B9" s="269" t="s">
        <v>302</v>
      </c>
      <c r="C9" s="270"/>
      <c r="D9" s="270"/>
      <c r="E9" s="270"/>
      <c r="F9" s="270"/>
      <c r="G9" s="270"/>
      <c r="H9" s="270"/>
      <c r="I9" s="271"/>
    </row>
    <row r="10" spans="2:9" ht="15.75" thickBot="1" x14ac:dyDescent="0.3">
      <c r="B10" s="257"/>
      <c r="C10" s="6"/>
      <c r="D10" s="6"/>
      <c r="E10" s="258" t="s">
        <v>303</v>
      </c>
      <c r="F10" s="258" t="s">
        <v>304</v>
      </c>
      <c r="G10" s="258" t="s">
        <v>305</v>
      </c>
      <c r="H10" s="258" t="s">
        <v>306</v>
      </c>
      <c r="I10" s="259" t="s">
        <v>307</v>
      </c>
    </row>
    <row r="11" spans="2:9" x14ac:dyDescent="0.25">
      <c r="B11" s="260" t="s">
        <v>182</v>
      </c>
      <c r="C11" s="107"/>
      <c r="D11" s="107"/>
      <c r="E11" s="109">
        <v>19474</v>
      </c>
      <c r="F11" s="109">
        <v>19790</v>
      </c>
      <c r="G11" s="109">
        <v>2229</v>
      </c>
      <c r="H11" s="109">
        <v>5760</v>
      </c>
      <c r="I11" s="261">
        <v>13453.5</v>
      </c>
    </row>
    <row r="12" spans="2:9" x14ac:dyDescent="0.25">
      <c r="B12" s="262" t="s">
        <v>182</v>
      </c>
      <c r="C12" s="99"/>
      <c r="D12" s="99"/>
      <c r="E12" s="100">
        <f t="shared" ref="E12:I12" si="0">E11</f>
        <v>19474</v>
      </c>
      <c r="F12" s="100">
        <f t="shared" si="0"/>
        <v>19790</v>
      </c>
      <c r="G12" s="100">
        <f t="shared" si="0"/>
        <v>2229</v>
      </c>
      <c r="H12" s="100">
        <f t="shared" si="0"/>
        <v>5760</v>
      </c>
      <c r="I12" s="263">
        <f t="shared" si="0"/>
        <v>13453.5</v>
      </c>
    </row>
    <row r="13" spans="2:9" x14ac:dyDescent="0.25">
      <c r="B13" s="262" t="s">
        <v>187</v>
      </c>
      <c r="C13" s="99"/>
      <c r="D13" s="99"/>
      <c r="E13" s="264">
        <v>962</v>
      </c>
      <c r="F13" s="100">
        <v>886</v>
      </c>
      <c r="G13" s="100">
        <v>1635</v>
      </c>
      <c r="H13" s="100">
        <v>2850</v>
      </c>
      <c r="I13" s="263">
        <v>3000</v>
      </c>
    </row>
    <row r="14" spans="2:9" ht="15.75" thickBot="1" x14ac:dyDescent="0.3">
      <c r="B14" s="265" t="s">
        <v>187</v>
      </c>
      <c r="C14" s="266"/>
      <c r="D14" s="266"/>
      <c r="E14" s="267">
        <f t="shared" ref="E14:I14" si="1">E13</f>
        <v>962</v>
      </c>
      <c r="F14" s="267">
        <f t="shared" si="1"/>
        <v>886</v>
      </c>
      <c r="G14" s="267">
        <f t="shared" si="1"/>
        <v>1635</v>
      </c>
      <c r="H14" s="267">
        <f t="shared" si="1"/>
        <v>2850</v>
      </c>
      <c r="I14" s="268">
        <f t="shared" si="1"/>
        <v>3000</v>
      </c>
    </row>
  </sheetData>
  <mergeCells count="1">
    <mergeCell ref="B7:I7"/>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AK47"/>
  <sheetViews>
    <sheetView showGridLines="0" topLeftCell="B1" workbookViewId="0">
      <selection activeCell="J3" sqref="J3"/>
    </sheetView>
  </sheetViews>
  <sheetFormatPr defaultRowHeight="15" x14ac:dyDescent="0.25"/>
  <cols>
    <col min="1" max="1" width="1.85546875" customWidth="1"/>
    <col min="2" max="2" width="24.5703125" bestFit="1" customWidth="1"/>
    <col min="18" max="18" width="1.140625" customWidth="1"/>
    <col min="19" max="19" width="0.85546875" customWidth="1"/>
  </cols>
  <sheetData>
    <row r="7" spans="2:37" x14ac:dyDescent="0.25">
      <c r="B7" s="424" t="s">
        <v>345</v>
      </c>
      <c r="C7" s="424"/>
      <c r="D7" s="424"/>
      <c r="E7" s="424"/>
      <c r="F7" s="424"/>
      <c r="G7" s="424"/>
      <c r="H7" s="424"/>
      <c r="I7" s="424"/>
      <c r="J7" s="424"/>
      <c r="K7" s="424"/>
      <c r="L7" s="424"/>
      <c r="M7" s="424"/>
      <c r="N7" s="424"/>
      <c r="O7" s="424"/>
      <c r="P7" s="424"/>
      <c r="Q7" s="424"/>
      <c r="R7" s="424"/>
      <c r="S7" s="424"/>
      <c r="T7" s="424"/>
      <c r="U7" s="424"/>
      <c r="V7" s="424"/>
      <c r="W7" s="424"/>
      <c r="X7" s="424"/>
      <c r="Y7" s="424"/>
      <c r="Z7" s="424"/>
      <c r="AA7" s="424"/>
      <c r="AB7" s="424"/>
      <c r="AC7" s="424"/>
      <c r="AD7" s="424"/>
      <c r="AE7" s="424"/>
      <c r="AF7" s="424"/>
      <c r="AG7" s="424"/>
      <c r="AH7" s="424"/>
      <c r="AI7" s="424"/>
      <c r="AJ7" s="424"/>
      <c r="AK7" s="424"/>
    </row>
    <row r="9" spans="2:37" x14ac:dyDescent="0.25">
      <c r="B9" s="11" t="s">
        <v>0</v>
      </c>
      <c r="C9" s="13">
        <v>2021</v>
      </c>
      <c r="D9" s="13">
        <f>C9+1</f>
        <v>2022</v>
      </c>
      <c r="E9" s="13">
        <f t="shared" ref="E9:Q9" si="0">D9+1</f>
        <v>2023</v>
      </c>
      <c r="F9" s="13">
        <f t="shared" si="0"/>
        <v>2024</v>
      </c>
      <c r="G9" s="13">
        <f t="shared" si="0"/>
        <v>2025</v>
      </c>
      <c r="H9" s="14">
        <f t="shared" si="0"/>
        <v>2026</v>
      </c>
      <c r="I9" s="14">
        <f t="shared" si="0"/>
        <v>2027</v>
      </c>
      <c r="J9" s="14">
        <f t="shared" si="0"/>
        <v>2028</v>
      </c>
      <c r="K9" s="14">
        <f t="shared" si="0"/>
        <v>2029</v>
      </c>
      <c r="L9" s="14">
        <f t="shared" si="0"/>
        <v>2030</v>
      </c>
      <c r="M9" s="14">
        <f t="shared" si="0"/>
        <v>2031</v>
      </c>
      <c r="N9" s="14">
        <f t="shared" si="0"/>
        <v>2032</v>
      </c>
      <c r="O9" s="14">
        <f t="shared" si="0"/>
        <v>2033</v>
      </c>
      <c r="P9" s="14">
        <f t="shared" si="0"/>
        <v>2034</v>
      </c>
      <c r="Q9" s="14">
        <f t="shared" si="0"/>
        <v>2035</v>
      </c>
      <c r="T9" s="407" t="s">
        <v>358</v>
      </c>
      <c r="U9" s="407"/>
      <c r="V9" s="407"/>
      <c r="W9" s="407"/>
      <c r="X9" s="407"/>
      <c r="Y9" s="407"/>
      <c r="Z9" s="407"/>
      <c r="AA9" s="407"/>
      <c r="AB9" s="407"/>
      <c r="AC9" s="407"/>
      <c r="AD9" s="407"/>
      <c r="AE9" s="407"/>
      <c r="AF9" s="407"/>
      <c r="AG9" s="407"/>
      <c r="AH9" s="407"/>
      <c r="AI9" s="407"/>
      <c r="AJ9" s="407"/>
      <c r="AK9" s="407"/>
    </row>
    <row r="11" spans="2:37" x14ac:dyDescent="0.25">
      <c r="B11" s="276"/>
    </row>
    <row r="12" spans="2:37" x14ac:dyDescent="0.25">
      <c r="B12" s="281" t="s">
        <v>346</v>
      </c>
      <c r="C12" s="282">
        <f>'Income Statement'!C20/'Income Statement'!C13</f>
        <v>0.8852520330956124</v>
      </c>
      <c r="D12" s="282">
        <f>'Income Statement'!D20/'Income Statement'!D13</f>
        <v>0.90708835128968401</v>
      </c>
      <c r="E12" s="282">
        <f>'Income Statement'!E20/'Income Statement'!E13</f>
        <v>0.25747302234684333</v>
      </c>
      <c r="F12" s="282">
        <f>'Income Statement'!F20/'Income Statement'!F13</f>
        <v>0.70879721903458082</v>
      </c>
      <c r="G12" s="282">
        <f>'Income Statement'!G20/'Income Statement'!G13</f>
        <v>0.7285543681562332</v>
      </c>
      <c r="H12" s="282">
        <f>'Income Statement'!H20/'Income Statement'!H13</f>
        <v>0.69743299878459086</v>
      </c>
      <c r="I12" s="282">
        <f>'Income Statement'!I20/'Income Statement'!I13</f>
        <v>0.69743299878459086</v>
      </c>
      <c r="J12" s="282">
        <f>'Income Statement'!J20/'Income Statement'!J13</f>
        <v>0.69743299878459086</v>
      </c>
      <c r="K12" s="282">
        <f>'Income Statement'!K20/'Income Statement'!K13</f>
        <v>0.69743299878459086</v>
      </c>
      <c r="L12" s="282">
        <f>'Income Statement'!L20/'Income Statement'!L13</f>
        <v>0.69743299878459086</v>
      </c>
      <c r="M12" s="282">
        <f>'Income Statement'!M20/'Income Statement'!M13</f>
        <v>0.69743299878459086</v>
      </c>
      <c r="N12" s="282">
        <f>'Income Statement'!N20/'Income Statement'!N13</f>
        <v>0.69743299878459075</v>
      </c>
      <c r="O12" s="282">
        <f>'Income Statement'!O20/'Income Statement'!O13</f>
        <v>0.69743299878459086</v>
      </c>
      <c r="P12" s="282">
        <f>'Income Statement'!P20/'Income Statement'!P13</f>
        <v>0.69743299878459075</v>
      </c>
      <c r="Q12" s="282">
        <f>'Income Statement'!Q20/'Income Statement'!Q13</f>
        <v>0.69743299878459075</v>
      </c>
      <c r="T12" s="425" t="s">
        <v>357</v>
      </c>
      <c r="U12" s="426"/>
      <c r="V12" s="426"/>
      <c r="W12" s="426"/>
      <c r="X12" s="426"/>
      <c r="Y12" s="426"/>
      <c r="Z12" s="426"/>
      <c r="AA12" s="426"/>
      <c r="AB12" s="426"/>
      <c r="AC12" s="426"/>
      <c r="AD12" s="426"/>
      <c r="AE12" s="426"/>
      <c r="AF12" s="426"/>
      <c r="AG12" s="426"/>
      <c r="AH12" s="426"/>
      <c r="AI12" s="426"/>
      <c r="AJ12" s="426"/>
      <c r="AK12" s="427"/>
    </row>
    <row r="13" spans="2:37" x14ac:dyDescent="0.25">
      <c r="B13" s="278"/>
      <c r="C13" s="280"/>
      <c r="D13" s="280"/>
      <c r="E13" s="280"/>
      <c r="F13" s="280"/>
      <c r="G13" s="280"/>
      <c r="H13" s="280"/>
      <c r="I13" s="280"/>
      <c r="J13" s="280"/>
      <c r="K13" s="280"/>
      <c r="L13" s="280"/>
      <c r="M13" s="280"/>
      <c r="N13" s="280"/>
      <c r="O13" s="280"/>
      <c r="P13" s="280"/>
      <c r="Q13" s="280"/>
      <c r="T13" s="425"/>
      <c r="U13" s="426"/>
      <c r="V13" s="426"/>
      <c r="W13" s="426"/>
      <c r="X13" s="426"/>
      <c r="Y13" s="426"/>
      <c r="Z13" s="426"/>
      <c r="AA13" s="426"/>
      <c r="AB13" s="426"/>
      <c r="AC13" s="426"/>
      <c r="AD13" s="426"/>
      <c r="AE13" s="426"/>
      <c r="AF13" s="426"/>
      <c r="AG13" s="426"/>
      <c r="AH13" s="426"/>
      <c r="AI13" s="426"/>
      <c r="AJ13" s="426"/>
      <c r="AK13" s="427"/>
    </row>
    <row r="14" spans="2:37" x14ac:dyDescent="0.25">
      <c r="B14" s="278"/>
      <c r="C14" s="280"/>
      <c r="D14" s="280"/>
      <c r="E14" s="280"/>
      <c r="F14" s="280"/>
      <c r="G14" s="280"/>
      <c r="H14" s="280"/>
      <c r="I14" s="280"/>
      <c r="J14" s="280"/>
      <c r="K14" s="280"/>
      <c r="L14" s="280"/>
      <c r="M14" s="280"/>
      <c r="N14" s="280"/>
      <c r="O14" s="280"/>
      <c r="P14" s="280"/>
      <c r="Q14" s="280"/>
      <c r="T14" s="425"/>
      <c r="U14" s="426"/>
      <c r="V14" s="426"/>
      <c r="W14" s="426"/>
      <c r="X14" s="426"/>
      <c r="Y14" s="426"/>
      <c r="Z14" s="426"/>
      <c r="AA14" s="426"/>
      <c r="AB14" s="426"/>
      <c r="AC14" s="426"/>
      <c r="AD14" s="426"/>
      <c r="AE14" s="426"/>
      <c r="AF14" s="426"/>
      <c r="AG14" s="426"/>
      <c r="AH14" s="426"/>
      <c r="AI14" s="426"/>
      <c r="AJ14" s="426"/>
      <c r="AK14" s="427"/>
    </row>
    <row r="15" spans="2:37" x14ac:dyDescent="0.25">
      <c r="B15" s="281" t="s">
        <v>394</v>
      </c>
      <c r="C15" s="282">
        <f>'Income Statement'!C24/'Income Statement'!C13</f>
        <v>0.88480725394362425</v>
      </c>
      <c r="D15" s="282">
        <f>'Income Statement'!D24/'Income Statement'!D13</f>
        <v>0.90685564907296878</v>
      </c>
      <c r="E15" s="282">
        <f>'Income Statement'!E24/'Income Statement'!E13</f>
        <v>0.25624946894383543</v>
      </c>
      <c r="F15" s="282">
        <f>'Income Statement'!F24/'Income Statement'!F13</f>
        <v>0.70831403971465567</v>
      </c>
      <c r="G15" s="282">
        <f>'Income Statement'!G24/'Income Statement'!G13</f>
        <v>0.72823824869820253</v>
      </c>
      <c r="H15" s="282">
        <f>'Income Statement'!H24/'Income Statement'!H13</f>
        <v>0.69707455898460391</v>
      </c>
      <c r="I15" s="282">
        <f>'Income Statement'!I24/'Income Statement'!I13</f>
        <v>0.69717465658263467</v>
      </c>
      <c r="J15" s="282">
        <f>'Income Statement'!J24/'Income Statement'!J13</f>
        <v>0.69723590066351726</v>
      </c>
      <c r="K15" s="282">
        <f>'Income Statement'!K24/'Income Statement'!K13</f>
        <v>0.69721271627009485</v>
      </c>
      <c r="L15" s="282">
        <f>'Income Statement'!L24/'Income Statement'!L13</f>
        <v>0.69724974219762625</v>
      </c>
      <c r="M15" s="282">
        <f>'Income Statement'!M24/'Income Statement'!M13</f>
        <v>0.69727538554975077</v>
      </c>
      <c r="N15" s="282">
        <f>'Income Statement'!N24/'Income Statement'!N13</f>
        <v>0.69725412357510153</v>
      </c>
      <c r="O15" s="282">
        <f>'Income Statement'!O24/'Income Statement'!O13</f>
        <v>0.69727151676993759</v>
      </c>
      <c r="P15" s="282">
        <f>'Income Statement'!P24/'Income Statement'!P13</f>
        <v>0.69728451423247828</v>
      </c>
      <c r="Q15" s="282">
        <f>'Income Statement'!Q24/'Income Statement'!Q13</f>
        <v>0.69726376972284709</v>
      </c>
      <c r="T15" s="425" t="s">
        <v>416</v>
      </c>
      <c r="U15" s="426"/>
      <c r="V15" s="426"/>
      <c r="W15" s="426"/>
      <c r="X15" s="426"/>
      <c r="Y15" s="426"/>
      <c r="Z15" s="426"/>
      <c r="AA15" s="426"/>
      <c r="AB15" s="426"/>
      <c r="AC15" s="426"/>
      <c r="AD15" s="426"/>
      <c r="AE15" s="426"/>
      <c r="AF15" s="426"/>
      <c r="AG15" s="426"/>
      <c r="AH15" s="426"/>
      <c r="AI15" s="426"/>
      <c r="AJ15" s="426"/>
      <c r="AK15" s="427"/>
    </row>
    <row r="16" spans="2:37" x14ac:dyDescent="0.25">
      <c r="B16" s="278"/>
      <c r="C16" s="280"/>
      <c r="D16" s="280"/>
      <c r="E16" s="280"/>
      <c r="F16" s="280"/>
      <c r="G16" s="280"/>
      <c r="H16" s="280"/>
      <c r="I16" s="280"/>
      <c r="J16" s="280"/>
      <c r="K16" s="280"/>
      <c r="L16" s="280"/>
      <c r="M16" s="280"/>
      <c r="N16" s="280"/>
      <c r="O16" s="280"/>
      <c r="P16" s="280"/>
      <c r="Q16" s="280"/>
      <c r="T16" s="425"/>
      <c r="U16" s="426"/>
      <c r="V16" s="426"/>
      <c r="W16" s="426"/>
      <c r="X16" s="426"/>
      <c r="Y16" s="426"/>
      <c r="Z16" s="426"/>
      <c r="AA16" s="426"/>
      <c r="AB16" s="426"/>
      <c r="AC16" s="426"/>
      <c r="AD16" s="426"/>
      <c r="AE16" s="426"/>
      <c r="AF16" s="426"/>
      <c r="AG16" s="426"/>
      <c r="AH16" s="426"/>
      <c r="AI16" s="426"/>
      <c r="AJ16" s="426"/>
      <c r="AK16" s="427"/>
    </row>
    <row r="17" spans="2:37" x14ac:dyDescent="0.25">
      <c r="B17" s="278"/>
      <c r="C17" s="280"/>
      <c r="D17" s="280"/>
      <c r="E17" s="280"/>
      <c r="F17" s="280"/>
      <c r="G17" s="280"/>
      <c r="H17" s="280"/>
      <c r="I17" s="280"/>
      <c r="J17" s="280"/>
      <c r="K17" s="280"/>
      <c r="L17" s="280"/>
      <c r="M17" s="280"/>
      <c r="N17" s="280"/>
      <c r="O17" s="280"/>
      <c r="P17" s="280"/>
      <c r="Q17" s="280"/>
      <c r="T17" s="425"/>
      <c r="U17" s="426"/>
      <c r="V17" s="426"/>
      <c r="W17" s="426"/>
      <c r="X17" s="426"/>
      <c r="Y17" s="426"/>
      <c r="Z17" s="426"/>
      <c r="AA17" s="426"/>
      <c r="AB17" s="426"/>
      <c r="AC17" s="426"/>
      <c r="AD17" s="426"/>
      <c r="AE17" s="426"/>
      <c r="AF17" s="426"/>
      <c r="AG17" s="426"/>
      <c r="AH17" s="426"/>
      <c r="AI17" s="426"/>
      <c r="AJ17" s="426"/>
      <c r="AK17" s="427"/>
    </row>
    <row r="18" spans="2:37" x14ac:dyDescent="0.25">
      <c r="B18" s="281" t="s">
        <v>347</v>
      </c>
      <c r="C18" s="282">
        <f>'Income Statement'!C30/'Income Statement'!C13</f>
        <v>6.7330617484874979</v>
      </c>
      <c r="D18" s="282">
        <f>'Income Statement'!D30/'Income Statement'!D13</f>
        <v>13.885709968418984</v>
      </c>
      <c r="E18" s="282">
        <f>'Income Statement'!E30/'Income Statement'!E13</f>
        <v>38.222618744158382</v>
      </c>
      <c r="F18" s="282">
        <f>'Income Statement'!F30/'Income Statement'!F13</f>
        <v>13.035117741405111</v>
      </c>
      <c r="G18" s="282">
        <f>'Income Statement'!G30/'Income Statement'!G13</f>
        <v>11.985050183963965</v>
      </c>
      <c r="H18" s="282">
        <f>'Income Statement'!H30/'Income Statement'!H13</f>
        <v>8.7986434388075647</v>
      </c>
      <c r="I18" s="282">
        <f>'Income Statement'!I30/'Income Statement'!I13</f>
        <v>8.7987435364055937</v>
      </c>
      <c r="J18" s="282">
        <f>'Income Statement'!J30/'Income Statement'!J13</f>
        <v>8.798804780486476</v>
      </c>
      <c r="K18" s="282">
        <f>'Income Statement'!K30/'Income Statement'!K13</f>
        <v>8.798781596093054</v>
      </c>
      <c r="L18" s="282">
        <f>'Income Statement'!L30/'Income Statement'!L13</f>
        <v>8.7988186220205868</v>
      </c>
      <c r="M18" s="282">
        <f>'Income Statement'!M30/'Income Statement'!M13</f>
        <v>8.7988442653727112</v>
      </c>
      <c r="N18" s="282">
        <f>'Income Statement'!N30/'Income Statement'!N13</f>
        <v>8.798823003398061</v>
      </c>
      <c r="O18" s="282">
        <f>'Income Statement'!O30/'Income Statement'!O13</f>
        <v>8.7988403965928974</v>
      </c>
      <c r="P18" s="282">
        <f>'Income Statement'!P30/'Income Statement'!P13</f>
        <v>8.7988533940554383</v>
      </c>
      <c r="Q18" s="282">
        <f>'Income Statement'!Q30/'Income Statement'!Q13</f>
        <v>8.7988326495458065</v>
      </c>
      <c r="T18" s="425" t="s">
        <v>417</v>
      </c>
      <c r="U18" s="426"/>
      <c r="V18" s="426"/>
      <c r="W18" s="426"/>
      <c r="X18" s="426"/>
      <c r="Y18" s="426"/>
      <c r="Z18" s="426"/>
      <c r="AA18" s="426"/>
      <c r="AB18" s="426"/>
      <c r="AC18" s="426"/>
      <c r="AD18" s="426"/>
      <c r="AE18" s="426"/>
      <c r="AF18" s="426"/>
      <c r="AG18" s="426"/>
      <c r="AH18" s="426"/>
      <c r="AI18" s="426"/>
      <c r="AJ18" s="426"/>
      <c r="AK18" s="427"/>
    </row>
    <row r="19" spans="2:37" x14ac:dyDescent="0.25">
      <c r="B19" s="278"/>
      <c r="T19" s="425"/>
      <c r="U19" s="426"/>
      <c r="V19" s="426"/>
      <c r="W19" s="426"/>
      <c r="X19" s="426"/>
      <c r="Y19" s="426"/>
      <c r="Z19" s="426"/>
      <c r="AA19" s="426"/>
      <c r="AB19" s="426"/>
      <c r="AC19" s="426"/>
      <c r="AD19" s="426"/>
      <c r="AE19" s="426"/>
      <c r="AF19" s="426"/>
      <c r="AG19" s="426"/>
      <c r="AH19" s="426"/>
      <c r="AI19" s="426"/>
      <c r="AJ19" s="426"/>
      <c r="AK19" s="427"/>
    </row>
    <row r="20" spans="2:37" ht="31.5" customHeight="1" x14ac:dyDescent="0.25">
      <c r="B20" s="278"/>
      <c r="T20" s="425"/>
      <c r="U20" s="426"/>
      <c r="V20" s="426"/>
      <c r="W20" s="426"/>
      <c r="X20" s="426"/>
      <c r="Y20" s="426"/>
      <c r="Z20" s="426"/>
      <c r="AA20" s="426"/>
      <c r="AB20" s="426"/>
      <c r="AC20" s="426"/>
      <c r="AD20" s="426"/>
      <c r="AE20" s="426"/>
      <c r="AF20" s="426"/>
      <c r="AG20" s="426"/>
      <c r="AH20" s="426"/>
      <c r="AI20" s="426"/>
      <c r="AJ20" s="426"/>
      <c r="AK20" s="427"/>
    </row>
    <row r="21" spans="2:37" x14ac:dyDescent="0.25">
      <c r="B21" s="281" t="s">
        <v>316</v>
      </c>
      <c r="C21" s="283">
        <f>Cost_BuildUp!C19</f>
        <v>2.7795814713585554E-2</v>
      </c>
      <c r="D21" s="283">
        <f>Cost_BuildUp!D19</f>
        <v>6.614778031789588E-2</v>
      </c>
      <c r="E21" s="283">
        <f>Cost_BuildUp!E19</f>
        <v>-1.5612592865939599E-2</v>
      </c>
      <c r="F21" s="283">
        <f>Cost_BuildUp!F19</f>
        <v>4.8185699973537922E-2</v>
      </c>
      <c r="G21" s="283">
        <f>Cost_BuildUp!G19</f>
        <v>5.4841140489988227E-2</v>
      </c>
      <c r="H21" s="283">
        <f>Cost_BuildUp!H19</f>
        <v>5.9841140489988225E-2</v>
      </c>
      <c r="I21" s="283">
        <f>Cost_BuildUp!I19</f>
        <v>5.9841140489988225E-2</v>
      </c>
      <c r="J21" s="283">
        <f>Cost_BuildUp!J19</f>
        <v>6.4841140489988222E-2</v>
      </c>
      <c r="K21" s="283">
        <f>Cost_BuildUp!K19</f>
        <v>6.4841140489988222E-2</v>
      </c>
      <c r="L21" s="283">
        <f>Cost_BuildUp!L19</f>
        <v>6.9841140489988227E-2</v>
      </c>
      <c r="M21" s="283">
        <f>Cost_BuildUp!M19</f>
        <v>6.9841140489988227E-2</v>
      </c>
      <c r="N21" s="283">
        <f>Cost_BuildUp!N19</f>
        <v>7.4841140489988231E-2</v>
      </c>
      <c r="O21" s="283">
        <f>Cost_BuildUp!O19</f>
        <v>7.4841140489988231E-2</v>
      </c>
      <c r="P21" s="283">
        <f>Cost_BuildUp!P19</f>
        <v>7.9841140489988235E-2</v>
      </c>
      <c r="Q21" s="283">
        <f>Cost_BuildUp!Q19</f>
        <v>7.9841140489988235E-2</v>
      </c>
      <c r="R21" s="84"/>
      <c r="S21" s="84"/>
      <c r="T21" s="425" t="s">
        <v>395</v>
      </c>
      <c r="U21" s="426"/>
      <c r="V21" s="426"/>
      <c r="W21" s="426"/>
      <c r="X21" s="426"/>
      <c r="Y21" s="426"/>
      <c r="Z21" s="426"/>
      <c r="AA21" s="426"/>
      <c r="AB21" s="426"/>
      <c r="AC21" s="426"/>
      <c r="AD21" s="426"/>
      <c r="AE21" s="426"/>
      <c r="AF21" s="426"/>
      <c r="AG21" s="426"/>
      <c r="AH21" s="426"/>
      <c r="AI21" s="426"/>
      <c r="AJ21" s="426"/>
      <c r="AK21" s="427"/>
    </row>
    <row r="22" spans="2:37" x14ac:dyDescent="0.25">
      <c r="B22" s="278"/>
      <c r="T22" s="425"/>
      <c r="U22" s="426"/>
      <c r="V22" s="426"/>
      <c r="W22" s="426"/>
      <c r="X22" s="426"/>
      <c r="Y22" s="426"/>
      <c r="Z22" s="426"/>
      <c r="AA22" s="426"/>
      <c r="AB22" s="426"/>
      <c r="AC22" s="426"/>
      <c r="AD22" s="426"/>
      <c r="AE22" s="426"/>
      <c r="AF22" s="426"/>
      <c r="AG22" s="426"/>
      <c r="AH22" s="426"/>
      <c r="AI22" s="426"/>
      <c r="AJ22" s="426"/>
      <c r="AK22" s="427"/>
    </row>
    <row r="23" spans="2:37" x14ac:dyDescent="0.25">
      <c r="B23" s="278"/>
      <c r="T23" s="425"/>
      <c r="U23" s="426"/>
      <c r="V23" s="426"/>
      <c r="W23" s="426"/>
      <c r="X23" s="426"/>
      <c r="Y23" s="426"/>
      <c r="Z23" s="426"/>
      <c r="AA23" s="426"/>
      <c r="AB23" s="426"/>
      <c r="AC23" s="426"/>
      <c r="AD23" s="426"/>
      <c r="AE23" s="426"/>
      <c r="AF23" s="426"/>
      <c r="AG23" s="426"/>
      <c r="AH23" s="426"/>
      <c r="AI23" s="426"/>
      <c r="AJ23" s="426"/>
      <c r="AK23" s="427"/>
    </row>
    <row r="24" spans="2:37" x14ac:dyDescent="0.25">
      <c r="B24" s="281" t="s">
        <v>354</v>
      </c>
      <c r="C24" s="282">
        <f>'Income Statement'!C34/'Income Statement'!C13</f>
        <v>6.5459108116714093</v>
      </c>
      <c r="D24" s="282">
        <f>'Income Statement'!D34/'Income Statement'!D13</f>
        <v>12.967201075869987</v>
      </c>
      <c r="E24" s="282">
        <f>'Income Statement'!E34/'Income Statement'!E13</f>
        <v>38.819372928880959</v>
      </c>
      <c r="F24" s="282">
        <f>'Income Statement'!F34/'Income Statement'!F13</f>
        <v>12.407011468798025</v>
      </c>
      <c r="G24" s="282">
        <f>'Income Statement'!G34/'Income Statement'!G13</f>
        <v>11.327776363045636</v>
      </c>
      <c r="H24" s="282">
        <f>'Income Statement'!H34/'Income Statement'!H13</f>
        <v>8.2721225806645666</v>
      </c>
      <c r="I24" s="282">
        <f>'Income Statement'!I34/'Income Statement'!I13</f>
        <v>8.2722166883081716</v>
      </c>
      <c r="J24" s="282">
        <f>'Income Statement'!J34/'Income Statement'!J13</f>
        <v>8.2282802435709712</v>
      </c>
      <c r="K24" s="282">
        <f>'Income Statement'!K34/'Income Statement'!K13</f>
        <v>8.2282585624800628</v>
      </c>
      <c r="L24" s="282">
        <f>'Income Statement'!L34/'Income Statement'!L13</f>
        <v>8.1842990944941221</v>
      </c>
      <c r="M24" s="282">
        <f>'Income Statement'!M34/'Income Statement'!M13</f>
        <v>8.1843229468852883</v>
      </c>
      <c r="N24" s="282">
        <f>'Income Statement'!N34/'Income Statement'!N13</f>
        <v>8.1403090548542067</v>
      </c>
      <c r="O24" s="282">
        <f>'Income Statement'!O34/'Income Statement'!O13</f>
        <v>8.140325146322505</v>
      </c>
      <c r="P24" s="282">
        <f>'Income Statement'!P34/'Income Statement'!P13</f>
        <v>8.0963429040698465</v>
      </c>
      <c r="Q24" s="282">
        <f>'Income Statement'!Q34/'Income Statement'!Q13</f>
        <v>8.0963238158255244</v>
      </c>
      <c r="T24" s="425" t="s">
        <v>418</v>
      </c>
      <c r="U24" s="426"/>
      <c r="V24" s="426"/>
      <c r="W24" s="426"/>
      <c r="X24" s="426"/>
      <c r="Y24" s="426"/>
      <c r="Z24" s="426"/>
      <c r="AA24" s="426"/>
      <c r="AB24" s="426"/>
      <c r="AC24" s="426"/>
      <c r="AD24" s="426"/>
      <c r="AE24" s="426"/>
      <c r="AF24" s="426"/>
      <c r="AG24" s="426"/>
      <c r="AH24" s="426"/>
      <c r="AI24" s="426"/>
      <c r="AJ24" s="426"/>
      <c r="AK24" s="427"/>
    </row>
    <row r="25" spans="2:37" x14ac:dyDescent="0.25">
      <c r="B25" s="278"/>
      <c r="T25" s="425"/>
      <c r="U25" s="426"/>
      <c r="V25" s="426"/>
      <c r="W25" s="426"/>
      <c r="X25" s="426"/>
      <c r="Y25" s="426"/>
      <c r="Z25" s="426"/>
      <c r="AA25" s="426"/>
      <c r="AB25" s="426"/>
      <c r="AC25" s="426"/>
      <c r="AD25" s="426"/>
      <c r="AE25" s="426"/>
      <c r="AF25" s="426"/>
      <c r="AG25" s="426"/>
      <c r="AH25" s="426"/>
      <c r="AI25" s="426"/>
      <c r="AJ25" s="426"/>
      <c r="AK25" s="427"/>
    </row>
    <row r="26" spans="2:37" ht="29.25" customHeight="1" x14ac:dyDescent="0.25">
      <c r="B26" s="278"/>
      <c r="T26" s="425"/>
      <c r="U26" s="426"/>
      <c r="V26" s="426"/>
      <c r="W26" s="426"/>
      <c r="X26" s="426"/>
      <c r="Y26" s="426"/>
      <c r="Z26" s="426"/>
      <c r="AA26" s="426"/>
      <c r="AB26" s="426"/>
      <c r="AC26" s="426"/>
      <c r="AD26" s="426"/>
      <c r="AE26" s="426"/>
      <c r="AF26" s="426"/>
      <c r="AG26" s="426"/>
      <c r="AH26" s="426"/>
      <c r="AI26" s="426"/>
      <c r="AJ26" s="426"/>
      <c r="AK26" s="427"/>
    </row>
    <row r="27" spans="2:37" x14ac:dyDescent="0.25">
      <c r="B27" s="281" t="s">
        <v>348</v>
      </c>
      <c r="C27" s="282">
        <f>'Income Statement'!C34/'Balance Sheet'!C52</f>
        <v>5.6167882907779049E-2</v>
      </c>
      <c r="D27" s="282">
        <f>'Income Statement'!D34/'Balance Sheet'!D52</f>
        <v>0.15452048499785903</v>
      </c>
      <c r="E27" s="282">
        <f>'Income Statement'!E34/'Balance Sheet'!E52</f>
        <v>7.3697511405675556E-2</v>
      </c>
      <c r="F27" s="282">
        <f>'Income Statement'!F34/'Balance Sheet'!F52</f>
        <v>5.6072459649524009E-2</v>
      </c>
      <c r="G27" s="282">
        <f>'Income Statement'!G34/'Balance Sheet'!G52</f>
        <v>7.2872839142999468E-2</v>
      </c>
      <c r="H27" s="282">
        <f>'Income Statement'!H34/'Balance Sheet'!H52</f>
        <v>7.2933871511475235E-2</v>
      </c>
      <c r="I27" s="282">
        <f>'Income Statement'!I34/'Balance Sheet'!I52</f>
        <v>9.1622126489657618E-2</v>
      </c>
      <c r="J27" s="282">
        <f>'Income Statement'!J34/'Balance Sheet'!J52</f>
        <v>0.10640468940884992</v>
      </c>
      <c r="K27" s="282">
        <f>'Income Statement'!K34/'Balance Sheet'!K52</f>
        <v>0.11701562996233636</v>
      </c>
      <c r="L27" s="282">
        <f>'Income Statement'!L34/'Balance Sheet'!L52</f>
        <v>0.12224260311759511</v>
      </c>
      <c r="M27" s="282">
        <f>'Income Statement'!M34/'Balance Sheet'!M52</f>
        <v>0.12394707707157594</v>
      </c>
      <c r="N27" s="282">
        <f>'Income Statement'!N34/'Balance Sheet'!N52</f>
        <v>0.12189787369816579</v>
      </c>
      <c r="O27" s="282">
        <f>'Income Statement'!O34/'Balance Sheet'!O52</f>
        <v>0.11832464032535318</v>
      </c>
      <c r="P27" s="282">
        <f>'Income Statement'!P34/'Balance Sheet'!P52</f>
        <v>0.11284736224700739</v>
      </c>
      <c r="Q27" s="282">
        <f>'Income Statement'!Q34/'Balance Sheet'!Q52</f>
        <v>0.10726853500290714</v>
      </c>
      <c r="T27" s="425" t="s">
        <v>396</v>
      </c>
      <c r="U27" s="426"/>
      <c r="V27" s="426"/>
      <c r="W27" s="426"/>
      <c r="X27" s="426"/>
      <c r="Y27" s="426"/>
      <c r="Z27" s="426"/>
      <c r="AA27" s="426"/>
      <c r="AB27" s="426"/>
      <c r="AC27" s="426"/>
      <c r="AD27" s="426"/>
      <c r="AE27" s="426"/>
      <c r="AF27" s="426"/>
      <c r="AG27" s="426"/>
      <c r="AH27" s="426"/>
      <c r="AI27" s="426"/>
      <c r="AJ27" s="426"/>
      <c r="AK27" s="427"/>
    </row>
    <row r="28" spans="2:37" x14ac:dyDescent="0.25">
      <c r="B28" s="278"/>
      <c r="T28" s="425"/>
      <c r="U28" s="426"/>
      <c r="V28" s="426"/>
      <c r="W28" s="426"/>
      <c r="X28" s="426"/>
      <c r="Y28" s="426"/>
      <c r="Z28" s="426"/>
      <c r="AA28" s="426"/>
      <c r="AB28" s="426"/>
      <c r="AC28" s="426"/>
      <c r="AD28" s="426"/>
      <c r="AE28" s="426"/>
      <c r="AF28" s="426"/>
      <c r="AG28" s="426"/>
      <c r="AH28" s="426"/>
      <c r="AI28" s="426"/>
      <c r="AJ28" s="426"/>
      <c r="AK28" s="427"/>
    </row>
    <row r="29" spans="2:37" x14ac:dyDescent="0.25">
      <c r="B29" s="278"/>
      <c r="T29" s="425"/>
      <c r="U29" s="426"/>
      <c r="V29" s="426"/>
      <c r="W29" s="426"/>
      <c r="X29" s="426"/>
      <c r="Y29" s="426"/>
      <c r="Z29" s="426"/>
      <c r="AA29" s="426"/>
      <c r="AB29" s="426"/>
      <c r="AC29" s="426"/>
      <c r="AD29" s="426"/>
      <c r="AE29" s="426"/>
      <c r="AF29" s="426"/>
      <c r="AG29" s="426"/>
      <c r="AH29" s="426"/>
      <c r="AI29" s="426"/>
      <c r="AJ29" s="426"/>
      <c r="AK29" s="427"/>
    </row>
    <row r="30" spans="2:37" ht="18" customHeight="1" x14ac:dyDescent="0.25">
      <c r="B30" s="281" t="s">
        <v>349</v>
      </c>
      <c r="C30" s="282">
        <f>'Income Statement'!C24/(SUM('Balance Sheet'!C22)-SUM('Balance Sheet'!C39))</f>
        <v>7.7325872898721523E-3</v>
      </c>
      <c r="D30" s="282">
        <f>'Income Statement'!D24/(SUM('Balance Sheet'!D22)-SUM('Balance Sheet'!D39))</f>
        <v>1.0916475108553031E-2</v>
      </c>
      <c r="E30" s="282">
        <f>'Income Statement'!E24/(SUM('Balance Sheet'!E22)-SUM('Balance Sheet'!E39))</f>
        <v>4.9020801445078205E-4</v>
      </c>
      <c r="F30" s="282">
        <f>'Income Statement'!F24/(SUM('Balance Sheet'!F22)-SUM('Balance Sheet'!F39))</f>
        <v>3.2198946953982911E-3</v>
      </c>
      <c r="G30" s="282">
        <f>'Income Statement'!G24/(SUM('Balance Sheet'!G22)-SUM('Balance Sheet'!G39))</f>
        <v>4.6965248972025515E-3</v>
      </c>
      <c r="H30" s="282">
        <f>'Income Statement'!H24/(SUM('Balance Sheet'!H22)-SUM('Balance Sheet'!H39))</f>
        <v>6.1660139494840492E-3</v>
      </c>
      <c r="I30" s="282">
        <f>'Income Statement'!I24/(SUM('Balance Sheet'!I22)-SUM('Balance Sheet'!I39))</f>
        <v>7.7511932399868038E-3</v>
      </c>
      <c r="J30" s="282">
        <f>'Income Statement'!J24/(SUM('Balance Sheet'!J22)-SUM('Balance Sheet'!J39))</f>
        <v>9.0545283077902786E-3</v>
      </c>
      <c r="K30" s="282">
        <f>'Income Statement'!K24/(SUM('Balance Sheet'!K22)-SUM('Balance Sheet'!K39))</f>
        <v>9.9598861975862506E-3</v>
      </c>
      <c r="L30" s="282">
        <f>'Income Statement'!L24/(SUM('Balance Sheet'!L22)-SUM('Balance Sheet'!L39))</f>
        <v>1.0462503376508525E-2</v>
      </c>
      <c r="M30" s="282">
        <f>'Income Statement'!M24/(SUM('Balance Sheet'!M22)-SUM('Balance Sheet'!M39))</f>
        <v>1.0608650886114721E-2</v>
      </c>
      <c r="N30" s="282">
        <f>'Income Statement'!N24/(SUM('Balance Sheet'!N22)-SUM('Balance Sheet'!N39))</f>
        <v>1.0488258256653785E-2</v>
      </c>
      <c r="O30" s="282">
        <f>'Income Statement'!O24/(SUM('Balance Sheet'!O22)-SUM('Balance Sheet'!O39))</f>
        <v>1.0179320079930646E-2</v>
      </c>
      <c r="P30" s="282">
        <f>'Income Statement'!P24/(SUM('Balance Sheet'!P22)-SUM('Balance Sheet'!P39))</f>
        <v>9.75903312321404E-3</v>
      </c>
      <c r="Q30" s="282">
        <f>'Income Statement'!Q24/(SUM('Balance Sheet'!Q22)-SUM('Balance Sheet'!Q39))</f>
        <v>9.2742418305144427E-3</v>
      </c>
      <c r="T30" s="425" t="s">
        <v>419</v>
      </c>
      <c r="U30" s="426"/>
      <c r="V30" s="426"/>
      <c r="W30" s="426"/>
      <c r="X30" s="426"/>
      <c r="Y30" s="426"/>
      <c r="Z30" s="426"/>
      <c r="AA30" s="426"/>
      <c r="AB30" s="426"/>
      <c r="AC30" s="426"/>
      <c r="AD30" s="426"/>
      <c r="AE30" s="426"/>
      <c r="AF30" s="426"/>
      <c r="AG30" s="426"/>
      <c r="AH30" s="426"/>
      <c r="AI30" s="426"/>
      <c r="AJ30" s="426"/>
      <c r="AK30" s="427"/>
    </row>
    <row r="31" spans="2:37" x14ac:dyDescent="0.25">
      <c r="B31" s="278"/>
      <c r="T31" s="425"/>
      <c r="U31" s="426"/>
      <c r="V31" s="426"/>
      <c r="W31" s="426"/>
      <c r="X31" s="426"/>
      <c r="Y31" s="426"/>
      <c r="Z31" s="426"/>
      <c r="AA31" s="426"/>
      <c r="AB31" s="426"/>
      <c r="AC31" s="426"/>
      <c r="AD31" s="426"/>
      <c r="AE31" s="426"/>
      <c r="AF31" s="426"/>
      <c r="AG31" s="426"/>
      <c r="AH31" s="426"/>
      <c r="AI31" s="426"/>
      <c r="AJ31" s="426"/>
      <c r="AK31" s="427"/>
    </row>
    <row r="32" spans="2:37" ht="28.5" customHeight="1" x14ac:dyDescent="0.25">
      <c r="B32" s="278"/>
      <c r="T32" s="425"/>
      <c r="U32" s="426"/>
      <c r="V32" s="426"/>
      <c r="W32" s="426"/>
      <c r="X32" s="426"/>
      <c r="Y32" s="426"/>
      <c r="Z32" s="426"/>
      <c r="AA32" s="426"/>
      <c r="AB32" s="426"/>
      <c r="AC32" s="426"/>
      <c r="AD32" s="426"/>
      <c r="AE32" s="426"/>
      <c r="AF32" s="426"/>
      <c r="AG32" s="426"/>
      <c r="AH32" s="426"/>
      <c r="AI32" s="426"/>
      <c r="AJ32" s="426"/>
      <c r="AK32" s="427"/>
    </row>
    <row r="33" spans="2:37" x14ac:dyDescent="0.25">
      <c r="B33" s="281" t="s">
        <v>350</v>
      </c>
      <c r="C33" s="282">
        <f>'Income Statement'!C34/'Balance Sheet'!C32</f>
        <v>5.6130253271019698E-2</v>
      </c>
      <c r="D33" s="282">
        <f>'Income Statement'!D34/'Balance Sheet'!D32</f>
        <v>0.1544829051174387</v>
      </c>
      <c r="E33" s="282">
        <f>'Income Statement'!E34/'Balance Sheet'!E32</f>
        <v>7.3671383187616069E-2</v>
      </c>
      <c r="F33" s="282">
        <f>'Income Statement'!F34/'Balance Sheet'!F32</f>
        <v>5.6062291772230391E-2</v>
      </c>
      <c r="G33" s="282">
        <f>'Income Statement'!G34/'Balance Sheet'!G32</f>
        <v>7.2861962731922955E-2</v>
      </c>
      <c r="H33" s="282">
        <f>'Income Statement'!H34/'Balance Sheet'!H32</f>
        <v>7.2891865471872652E-2</v>
      </c>
      <c r="I33" s="282">
        <f>'Income Statement'!I34/'Balance Sheet'!I32</f>
        <v>9.1555846121511186E-2</v>
      </c>
      <c r="J33" s="282">
        <f>'Income Statement'!J34/'Balance Sheet'!J32</f>
        <v>0.10631482951380028</v>
      </c>
      <c r="K33" s="282">
        <f>'Income Statement'!K34/'Balance Sheet'!K32</f>
        <v>0.11690696320935635</v>
      </c>
      <c r="L33" s="282">
        <f>'Income Statement'!L34/'Balance Sheet'!L32</f>
        <v>0.12212338005343523</v>
      </c>
      <c r="M33" s="282">
        <f>'Income Statement'!M34/'Balance Sheet'!M32</f>
        <v>0.12382450810922747</v>
      </c>
      <c r="N33" s="282">
        <f>'Income Statement'!N34/'Balance Sheet'!N32</f>
        <v>0.12177868176286538</v>
      </c>
      <c r="O33" s="282">
        <f>'Income Statement'!O34/'Balance Sheet'!O32</f>
        <v>0.11821233080108441</v>
      </c>
      <c r="P33" s="282">
        <f>'Income Statement'!P34/'Balance Sheet'!P32</f>
        <v>0.11274465080400499</v>
      </c>
      <c r="Q33" s="282">
        <f>'Income Statement'!Q34/'Balance Sheet'!Q32</f>
        <v>0.10717572361430203</v>
      </c>
      <c r="T33" s="425" t="s">
        <v>420</v>
      </c>
      <c r="U33" s="426"/>
      <c r="V33" s="426"/>
      <c r="W33" s="426"/>
      <c r="X33" s="426"/>
      <c r="Y33" s="426"/>
      <c r="Z33" s="426"/>
      <c r="AA33" s="426"/>
      <c r="AB33" s="426"/>
      <c r="AC33" s="426"/>
      <c r="AD33" s="426"/>
      <c r="AE33" s="426"/>
      <c r="AF33" s="426"/>
      <c r="AG33" s="426"/>
      <c r="AH33" s="426"/>
      <c r="AI33" s="426"/>
      <c r="AJ33" s="426"/>
      <c r="AK33" s="427"/>
    </row>
    <row r="34" spans="2:37" x14ac:dyDescent="0.25">
      <c r="B34" s="279"/>
      <c r="T34" s="425"/>
      <c r="U34" s="426"/>
      <c r="V34" s="426"/>
      <c r="W34" s="426"/>
      <c r="X34" s="426"/>
      <c r="Y34" s="426"/>
      <c r="Z34" s="426"/>
      <c r="AA34" s="426"/>
      <c r="AB34" s="426"/>
      <c r="AC34" s="426"/>
      <c r="AD34" s="426"/>
      <c r="AE34" s="426"/>
      <c r="AF34" s="426"/>
      <c r="AG34" s="426"/>
      <c r="AH34" s="426"/>
      <c r="AI34" s="426"/>
      <c r="AJ34" s="426"/>
      <c r="AK34" s="427"/>
    </row>
    <row r="35" spans="2:37" ht="31.5" customHeight="1" x14ac:dyDescent="0.25">
      <c r="B35" s="279"/>
      <c r="T35" s="425"/>
      <c r="U35" s="426"/>
      <c r="V35" s="426"/>
      <c r="W35" s="426"/>
      <c r="X35" s="426"/>
      <c r="Y35" s="426"/>
      <c r="Z35" s="426"/>
      <c r="AA35" s="426"/>
      <c r="AB35" s="426"/>
      <c r="AC35" s="426"/>
      <c r="AD35" s="426"/>
      <c r="AE35" s="426"/>
      <c r="AF35" s="426"/>
      <c r="AG35" s="426"/>
      <c r="AH35" s="426"/>
      <c r="AI35" s="426"/>
      <c r="AJ35" s="426"/>
      <c r="AK35" s="427"/>
    </row>
    <row r="36" spans="2:37" x14ac:dyDescent="0.25">
      <c r="B36" s="284" t="s">
        <v>351</v>
      </c>
      <c r="C36" s="98">
        <f>'Balance Sheet'!C32/'Balance Sheet'!C52</f>
        <v>1.0006703984850676</v>
      </c>
      <c r="D36" s="98">
        <f>'Balance Sheet'!D32/'Balance Sheet'!D52</f>
        <v>1.0002432623881055</v>
      </c>
      <c r="E36" s="98">
        <f>'Balance Sheet'!E32/'Balance Sheet'!E52</f>
        <v>1.0003546589860128</v>
      </c>
      <c r="F36" s="98">
        <f>'Balance Sheet'!F32/'Balance Sheet'!F52</f>
        <v>1.0001813674926976</v>
      </c>
      <c r="G36" s="98">
        <f>'Balance Sheet'!G32/'Balance Sheet'!G52</f>
        <v>1.0001492741983429</v>
      </c>
      <c r="H36" s="98">
        <f>'Balance Sheet'!H32/'Balance Sheet'!H52</f>
        <v>1.0005762788389441</v>
      </c>
      <c r="I36" s="98">
        <f>'Balance Sheet'!I32/'Balance Sheet'!I52</f>
        <v>1.0007239337623342</v>
      </c>
      <c r="J36" s="98">
        <f>'Balance Sheet'!J32/'Balance Sheet'!J52</f>
        <v>1.0008452244664323</v>
      </c>
      <c r="K36" s="98">
        <f>'Balance Sheet'!K32/'Balance Sheet'!K52</f>
        <v>1.0009295148038821</v>
      </c>
      <c r="L36" s="98">
        <f>'Balance Sheet'!L32/'Balance Sheet'!L52</f>
        <v>1.000976250936616</v>
      </c>
      <c r="M36" s="98">
        <f>'Balance Sheet'!M32/'Balance Sheet'!M52</f>
        <v>1.0009898602806511</v>
      </c>
      <c r="N36" s="98">
        <f>'Balance Sheet'!N32/'Balance Sheet'!N52</f>
        <v>1.00097875862651</v>
      </c>
      <c r="O36" s="98">
        <f>'Balance Sheet'!O32/'Balance Sheet'!O52</f>
        <v>1.0009500660676234</v>
      </c>
      <c r="P36" s="98">
        <f>'Balance Sheet'!P32/'Balance Sheet'!P52</f>
        <v>1.000911009456058</v>
      </c>
      <c r="Q36" s="98">
        <f>'Balance Sheet'!Q32/'Balance Sheet'!Q52</f>
        <v>1.0008659739862278</v>
      </c>
      <c r="T36" s="425" t="s">
        <v>397</v>
      </c>
      <c r="U36" s="426"/>
      <c r="V36" s="426"/>
      <c r="W36" s="426"/>
      <c r="X36" s="426"/>
      <c r="Y36" s="426"/>
      <c r="Z36" s="426"/>
      <c r="AA36" s="426"/>
      <c r="AB36" s="426"/>
      <c r="AC36" s="426"/>
      <c r="AD36" s="426"/>
      <c r="AE36" s="426"/>
      <c r="AF36" s="426"/>
      <c r="AG36" s="426"/>
      <c r="AH36" s="426"/>
      <c r="AI36" s="426"/>
      <c r="AJ36" s="426"/>
      <c r="AK36" s="427"/>
    </row>
    <row r="37" spans="2:37" x14ac:dyDescent="0.25">
      <c r="B37" s="279"/>
      <c r="T37" s="425"/>
      <c r="U37" s="426"/>
      <c r="V37" s="426"/>
      <c r="W37" s="426"/>
      <c r="X37" s="426"/>
      <c r="Y37" s="426"/>
      <c r="Z37" s="426"/>
      <c r="AA37" s="426"/>
      <c r="AB37" s="426"/>
      <c r="AC37" s="426"/>
      <c r="AD37" s="426"/>
      <c r="AE37" s="426"/>
      <c r="AF37" s="426"/>
      <c r="AG37" s="426"/>
      <c r="AH37" s="426"/>
      <c r="AI37" s="426"/>
      <c r="AJ37" s="426"/>
      <c r="AK37" s="427"/>
    </row>
    <row r="38" spans="2:37" x14ac:dyDescent="0.25">
      <c r="B38" s="279"/>
      <c r="T38" s="425"/>
      <c r="U38" s="426"/>
      <c r="V38" s="426"/>
      <c r="W38" s="426"/>
      <c r="X38" s="426"/>
      <c r="Y38" s="426"/>
      <c r="Z38" s="426"/>
      <c r="AA38" s="426"/>
      <c r="AB38" s="426"/>
      <c r="AC38" s="426"/>
      <c r="AD38" s="426"/>
      <c r="AE38" s="426"/>
      <c r="AF38" s="426"/>
      <c r="AG38" s="426"/>
      <c r="AH38" s="426"/>
      <c r="AI38" s="426"/>
      <c r="AJ38" s="426"/>
      <c r="AK38" s="427"/>
    </row>
    <row r="39" spans="2:37" x14ac:dyDescent="0.25">
      <c r="B39" s="284" t="s">
        <v>353</v>
      </c>
      <c r="C39" s="301">
        <f>'Income Statement'!C13/'Balance Sheet'!C32</f>
        <v>8.5748576303451961E-3</v>
      </c>
      <c r="D39" s="301">
        <f>'Income Statement'!D13/'Balance Sheet'!D32</f>
        <v>1.19133577256628E-2</v>
      </c>
      <c r="E39" s="301">
        <f>'Income Statement'!E13/'Balance Sheet'!E32</f>
        <v>1.8977994137768721E-3</v>
      </c>
      <c r="F39" s="301">
        <f>'Income Statement'!F13/'Balance Sheet'!F32</f>
        <v>4.5185975618076569E-3</v>
      </c>
      <c r="G39" s="301">
        <f>'Income Statement'!G13/'Balance Sheet'!G32</f>
        <v>6.4321505295266059E-3</v>
      </c>
      <c r="H39" s="301">
        <f>'Income Statement'!H13/'Balance Sheet'!H32</f>
        <v>8.8117487091223263E-3</v>
      </c>
      <c r="I39" s="301">
        <f>'Income Statement'!I13/'Balance Sheet'!I32</f>
        <v>1.1067873288536416E-2</v>
      </c>
      <c r="J39" s="301">
        <f>'Income Statement'!J13/'Balance Sheet'!J32</f>
        <v>1.2920662199961843E-2</v>
      </c>
      <c r="K39" s="301">
        <f>'Income Statement'!K13/'Balance Sheet'!K32</f>
        <v>1.4207983660411332E-2</v>
      </c>
      <c r="L39" s="301">
        <f>'Income Statement'!L13/'Balance Sheet'!L32</f>
        <v>1.4921666308064437E-2</v>
      </c>
      <c r="M39" s="301">
        <f>'Income Statement'!M13/'Balance Sheet'!M32</f>
        <v>1.5129474840231156E-2</v>
      </c>
      <c r="N39" s="301">
        <f>'Income Statement'!N13/'Balance Sheet'!N32</f>
        <v>1.4959958023982719E-2</v>
      </c>
      <c r="O39" s="301">
        <f>'Income Statement'!O13/'Balance Sheet'!O32</f>
        <v>1.4521819297904621E-2</v>
      </c>
      <c r="P39" s="301">
        <f>'Income Statement'!P13/'Balance Sheet'!P32</f>
        <v>1.392537990792495E-2</v>
      </c>
      <c r="Q39" s="301">
        <f>'Income Statement'!Q13/'Balance Sheet'!Q32</f>
        <v>1.3237578690319971E-2</v>
      </c>
      <c r="T39" s="425" t="s">
        <v>421</v>
      </c>
      <c r="U39" s="426"/>
      <c r="V39" s="426"/>
      <c r="W39" s="426"/>
      <c r="X39" s="426"/>
      <c r="Y39" s="426"/>
      <c r="Z39" s="426"/>
      <c r="AA39" s="426"/>
      <c r="AB39" s="426"/>
      <c r="AC39" s="426"/>
      <c r="AD39" s="426"/>
      <c r="AE39" s="426"/>
      <c r="AF39" s="426"/>
      <c r="AG39" s="426"/>
      <c r="AH39" s="426"/>
      <c r="AI39" s="426"/>
      <c r="AJ39" s="426"/>
      <c r="AK39" s="427"/>
    </row>
    <row r="40" spans="2:37" x14ac:dyDescent="0.25">
      <c r="B40" s="279"/>
      <c r="T40" s="425"/>
      <c r="U40" s="426"/>
      <c r="V40" s="426"/>
      <c r="W40" s="426"/>
      <c r="X40" s="426"/>
      <c r="Y40" s="426"/>
      <c r="Z40" s="426"/>
      <c r="AA40" s="426"/>
      <c r="AB40" s="426"/>
      <c r="AC40" s="426"/>
      <c r="AD40" s="426"/>
      <c r="AE40" s="426"/>
      <c r="AF40" s="426"/>
      <c r="AG40" s="426"/>
      <c r="AH40" s="426"/>
      <c r="AI40" s="426"/>
      <c r="AJ40" s="426"/>
      <c r="AK40" s="427"/>
    </row>
    <row r="41" spans="2:37" ht="32.25" customHeight="1" x14ac:dyDescent="0.25">
      <c r="B41" s="279"/>
      <c r="T41" s="425"/>
      <c r="U41" s="426"/>
      <c r="V41" s="426"/>
      <c r="W41" s="426"/>
      <c r="X41" s="426"/>
      <c r="Y41" s="426"/>
      <c r="Z41" s="426"/>
      <c r="AA41" s="426"/>
      <c r="AB41" s="426"/>
      <c r="AC41" s="426"/>
      <c r="AD41" s="426"/>
      <c r="AE41" s="426"/>
      <c r="AF41" s="426"/>
      <c r="AG41" s="426"/>
      <c r="AH41" s="426"/>
      <c r="AI41" s="426"/>
      <c r="AJ41" s="426"/>
      <c r="AK41" s="427"/>
    </row>
    <row r="42" spans="2:37" x14ac:dyDescent="0.25">
      <c r="B42" s="281" t="s">
        <v>352</v>
      </c>
      <c r="C42" s="285">
        <f>('Income Statement'!C17+'Income Statement'!C16)/'Income Statement'!C13</f>
        <v>0.11474796690438763</v>
      </c>
      <c r="D42" s="285">
        <f>('Income Statement'!D17+'Income Statement'!D16)/'Income Statement'!D13</f>
        <v>9.2911648710315972E-2</v>
      </c>
      <c r="E42" s="285">
        <f>('Income Statement'!E17+'Income Statement'!E16)/'Income Statement'!E13</f>
        <v>0.74252697765315667</v>
      </c>
      <c r="F42" s="285">
        <f>('Income Statement'!F17+'Income Statement'!F16)/'Income Statement'!F13</f>
        <v>0.29120278096541913</v>
      </c>
      <c r="G42" s="285">
        <f>('Income Statement'!G17+'Income Statement'!G16)/'Income Statement'!G13</f>
        <v>0.27144563184376674</v>
      </c>
      <c r="H42" s="285">
        <f>('Income Statement'!H17+'Income Statement'!H16)/'Income Statement'!H13</f>
        <v>0.30256700121540914</v>
      </c>
      <c r="I42" s="285">
        <f>('Income Statement'!I17+'Income Statement'!I16)/'Income Statement'!I13</f>
        <v>0.30256700121540914</v>
      </c>
      <c r="J42" s="285">
        <f>('Income Statement'!J17+'Income Statement'!J16)/'Income Statement'!J13</f>
        <v>0.30256700121540914</v>
      </c>
      <c r="K42" s="285">
        <f>('Income Statement'!K17+'Income Statement'!K16)/'Income Statement'!K13</f>
        <v>0.30256700121540919</v>
      </c>
      <c r="L42" s="285">
        <f>('Income Statement'!L17+'Income Statement'!L16)/'Income Statement'!L13</f>
        <v>0.30256700121540914</v>
      </c>
      <c r="M42" s="285">
        <f>('Income Statement'!M17+'Income Statement'!M16)/'Income Statement'!M13</f>
        <v>0.30256700121540919</v>
      </c>
      <c r="N42" s="285">
        <f>('Income Statement'!N17+'Income Statement'!N16)/'Income Statement'!N13</f>
        <v>0.30256700121540919</v>
      </c>
      <c r="O42" s="285">
        <f>('Income Statement'!O17+'Income Statement'!O16)/'Income Statement'!O13</f>
        <v>0.30256700121540914</v>
      </c>
      <c r="P42" s="285">
        <f>('Income Statement'!P17+'Income Statement'!P16)/'Income Statement'!P13</f>
        <v>0.30256700121540919</v>
      </c>
      <c r="Q42" s="285">
        <f>('Income Statement'!Q17+'Income Statement'!Q16)/'Income Statement'!Q13</f>
        <v>0.30256700121540919</v>
      </c>
      <c r="T42" s="425" t="s">
        <v>422</v>
      </c>
      <c r="U42" s="426"/>
      <c r="V42" s="426"/>
      <c r="W42" s="426"/>
      <c r="X42" s="426"/>
      <c r="Y42" s="426"/>
      <c r="Z42" s="426"/>
      <c r="AA42" s="426"/>
      <c r="AB42" s="426"/>
      <c r="AC42" s="426"/>
      <c r="AD42" s="426"/>
      <c r="AE42" s="426"/>
      <c r="AF42" s="426"/>
      <c r="AG42" s="426"/>
      <c r="AH42" s="426"/>
      <c r="AI42" s="426"/>
      <c r="AJ42" s="426"/>
      <c r="AK42" s="427"/>
    </row>
    <row r="43" spans="2:37" x14ac:dyDescent="0.25">
      <c r="B43" s="278"/>
      <c r="C43" s="277"/>
      <c r="D43" s="277"/>
      <c r="E43" s="277"/>
      <c r="F43" s="277"/>
      <c r="G43" s="277"/>
      <c r="H43" s="277"/>
      <c r="I43" s="277"/>
      <c r="J43" s="277"/>
      <c r="K43" s="277"/>
      <c r="L43" s="277"/>
      <c r="M43" s="277"/>
      <c r="N43" s="277"/>
      <c r="O43" s="277"/>
      <c r="P43" s="277"/>
      <c r="Q43" s="277"/>
      <c r="T43" s="425"/>
      <c r="U43" s="426"/>
      <c r="V43" s="426"/>
      <c r="W43" s="426"/>
      <c r="X43" s="426"/>
      <c r="Y43" s="426"/>
      <c r="Z43" s="426"/>
      <c r="AA43" s="426"/>
      <c r="AB43" s="426"/>
      <c r="AC43" s="426"/>
      <c r="AD43" s="426"/>
      <c r="AE43" s="426"/>
      <c r="AF43" s="426"/>
      <c r="AG43" s="426"/>
      <c r="AH43" s="426"/>
      <c r="AI43" s="426"/>
      <c r="AJ43" s="426"/>
      <c r="AK43" s="427"/>
    </row>
    <row r="44" spans="2:37" ht="33" customHeight="1" x14ac:dyDescent="0.25">
      <c r="B44" s="278"/>
      <c r="C44" s="277"/>
      <c r="D44" s="277"/>
      <c r="E44" s="277"/>
      <c r="F44" s="277"/>
      <c r="G44" s="277"/>
      <c r="H44" s="277"/>
      <c r="I44" s="277"/>
      <c r="J44" s="277"/>
      <c r="K44" s="277"/>
      <c r="L44" s="277"/>
      <c r="M44" s="277"/>
      <c r="N44" s="277"/>
      <c r="O44" s="277"/>
      <c r="P44" s="277"/>
      <c r="Q44" s="277"/>
      <c r="T44" s="425"/>
      <c r="U44" s="426"/>
      <c r="V44" s="426"/>
      <c r="W44" s="426"/>
      <c r="X44" s="426"/>
      <c r="Y44" s="426"/>
      <c r="Z44" s="426"/>
      <c r="AA44" s="426"/>
      <c r="AB44" s="426"/>
      <c r="AC44" s="426"/>
      <c r="AD44" s="426"/>
      <c r="AE44" s="426"/>
      <c r="AF44" s="426"/>
      <c r="AG44" s="426"/>
      <c r="AH44" s="426"/>
      <c r="AI44" s="426"/>
      <c r="AJ44" s="426"/>
      <c r="AK44" s="427"/>
    </row>
    <row r="45" spans="2:37" ht="17.25" customHeight="1" x14ac:dyDescent="0.25">
      <c r="B45" s="281" t="s">
        <v>355</v>
      </c>
      <c r="C45" s="85" t="s">
        <v>356</v>
      </c>
      <c r="D45" s="150">
        <f>('Income Statement'!D24-'Income Statement'!C24)/('Income Statement'!D13-'Income Statement'!C13)</f>
        <v>0.93964402753976128</v>
      </c>
      <c r="E45" s="150">
        <f>('Income Statement'!E24-'Income Statement'!D24)/('Income Statement'!E13-'Income Statement'!D13)</f>
        <v>1.0475831648594007</v>
      </c>
      <c r="F45" s="150">
        <f>('Income Statement'!F24-'Income Statement'!E24)/('Income Statement'!F13-'Income Statement'!E13)</f>
        <v>1.0033382131132995</v>
      </c>
      <c r="G45" s="150">
        <f>('Income Statement'!G24-'Income Statement'!F24)/('Income Statement'!G13-'Income Statement'!F13)</f>
        <v>0.76593988495092002</v>
      </c>
      <c r="H45" s="150">
        <f>('Income Statement'!H24-'Income Statement'!G24)/('Income Statement'!H13-'Income Statement'!G13)</f>
        <v>0.6318461007459848</v>
      </c>
      <c r="I45" s="150">
        <f>('Income Statement'!I24-'Income Statement'!H24)/('Income Statement'!I13-'Income Statement'!H13)</f>
        <v>0.69743654838897007</v>
      </c>
      <c r="J45" s="150">
        <f>('Income Statement'!J24-'Income Statement'!I24)/('Income Statement'!J13-'Income Statement'!I13)</f>
        <v>0.69743619671563561</v>
      </c>
      <c r="K45" s="150">
        <f>('Income Statement'!K24-'Income Statement'!J24)/('Income Statement'!K13-'Income Statement'!J13)</f>
        <v>0.69711793685618362</v>
      </c>
      <c r="L45" s="150">
        <f>('Income Statement'!L24-'Income Statement'!K24)/('Income Statement'!L13-'Income Statement'!K13)</f>
        <v>0.69743894790850136</v>
      </c>
      <c r="M45" s="150">
        <f>('Income Statement'!M24-'Income Statement'!L24)/('Income Statement'!M13-'Income Statement'!L13)</f>
        <v>0.69743918525010318</v>
      </c>
      <c r="N45" s="150">
        <f>('Income Statement'!N24-'Income Statement'!M24)/('Income Statement'!N13-'Income Statement'!M13)</f>
        <v>0.69708435710602079</v>
      </c>
      <c r="O45" s="150">
        <f>('Income Statement'!O24-'Income Statement'!N24)/('Income Statement'!O13-'Income Statement'!N13)</f>
        <v>0.69744511196288506</v>
      </c>
      <c r="P45" s="150">
        <f>('Income Statement'!P24-'Income Statement'!O24)/('Income Statement'!P13-'Income Statement'!O13)</f>
        <v>0.69744666795400956</v>
      </c>
      <c r="Q45" s="150">
        <f>('Income Statement'!Q24-'Income Statement'!P24)/('Income Statement'!Q13-'Income Statement'!P13)</f>
        <v>0.69694026432443767</v>
      </c>
      <c r="T45" s="425" t="s">
        <v>423</v>
      </c>
      <c r="U45" s="426"/>
      <c r="V45" s="426"/>
      <c r="W45" s="426"/>
      <c r="X45" s="426"/>
      <c r="Y45" s="426"/>
      <c r="Z45" s="426"/>
      <c r="AA45" s="426"/>
      <c r="AB45" s="426"/>
      <c r="AC45" s="426"/>
      <c r="AD45" s="426"/>
      <c r="AE45" s="426"/>
      <c r="AF45" s="426"/>
      <c r="AG45" s="426"/>
      <c r="AH45" s="426"/>
      <c r="AI45" s="426"/>
      <c r="AJ45" s="426"/>
      <c r="AK45" s="427"/>
    </row>
    <row r="46" spans="2:37" x14ac:dyDescent="0.25">
      <c r="T46" s="425"/>
      <c r="U46" s="426"/>
      <c r="V46" s="426"/>
      <c r="W46" s="426"/>
      <c r="X46" s="426"/>
      <c r="Y46" s="426"/>
      <c r="Z46" s="426"/>
      <c r="AA46" s="426"/>
      <c r="AB46" s="426"/>
      <c r="AC46" s="426"/>
      <c r="AD46" s="426"/>
      <c r="AE46" s="426"/>
      <c r="AF46" s="426"/>
      <c r="AG46" s="426"/>
      <c r="AH46" s="426"/>
      <c r="AI46" s="426"/>
      <c r="AJ46" s="426"/>
      <c r="AK46" s="427"/>
    </row>
    <row r="47" spans="2:37" ht="30" customHeight="1" x14ac:dyDescent="0.25">
      <c r="T47" s="425"/>
      <c r="U47" s="426"/>
      <c r="V47" s="426"/>
      <c r="W47" s="426"/>
      <c r="X47" s="426"/>
      <c r="Y47" s="426"/>
      <c r="Z47" s="426"/>
      <c r="AA47" s="426"/>
      <c r="AB47" s="426"/>
      <c r="AC47" s="426"/>
      <c r="AD47" s="426"/>
      <c r="AE47" s="426"/>
      <c r="AF47" s="426"/>
      <c r="AG47" s="426"/>
      <c r="AH47" s="426"/>
      <c r="AI47" s="426"/>
      <c r="AJ47" s="426"/>
      <c r="AK47" s="427"/>
    </row>
  </sheetData>
  <mergeCells count="14">
    <mergeCell ref="B7:AK7"/>
    <mergeCell ref="T42:AK44"/>
    <mergeCell ref="T45:AK47"/>
    <mergeCell ref="T12:AK14"/>
    <mergeCell ref="T15:AK17"/>
    <mergeCell ref="T18:AK20"/>
    <mergeCell ref="T21:AK23"/>
    <mergeCell ref="T24:AK26"/>
    <mergeCell ref="T27:AK29"/>
    <mergeCell ref="T9:AK9"/>
    <mergeCell ref="T30:AK32"/>
    <mergeCell ref="T33:AK35"/>
    <mergeCell ref="T36:AK38"/>
    <mergeCell ref="T39:AK4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Assumptions</vt:lpstr>
      <vt:lpstr>Historical P&amp;L</vt:lpstr>
      <vt:lpstr>Historical B_Sheet</vt:lpstr>
      <vt:lpstr>Revenue_BuildUp</vt:lpstr>
      <vt:lpstr>Cost_BuildUp</vt:lpstr>
      <vt:lpstr>FSA</vt:lpstr>
      <vt:lpstr>Investment</vt:lpstr>
      <vt:lpstr>Income Statement</vt:lpstr>
      <vt:lpstr>Balance_Sheet_Forecast</vt:lpstr>
      <vt:lpstr>Net Working Capital</vt:lpstr>
      <vt:lpstr>Balance Sheet</vt:lpstr>
      <vt:lpstr>Cash flow</vt:lpstr>
      <vt:lpstr>CommonSize Statement</vt:lpstr>
      <vt:lpstr>Market Data</vt:lpstr>
      <vt:lpstr>Equity Return</vt:lpstr>
      <vt:lpstr>Comps Data</vt:lpstr>
      <vt:lpstr>Comps Valuation</vt:lpstr>
      <vt:lpstr>DCF</vt:lpstr>
      <vt:lpstr>Football Field Analysis</vt:lpstr>
      <vt:lpstr>Ratio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Dhiraj Kumar</dc:creator>
  <cp:lastModifiedBy>Dhiraj Kumar</cp:lastModifiedBy>
  <dcterms:created xsi:type="dcterms:W3CDTF">2025-09-05T16:41:59Z</dcterms:created>
  <dcterms:modified xsi:type="dcterms:W3CDTF">2026-02-13T09:40:51Z</dcterms:modified>
</cp:coreProperties>
</file>